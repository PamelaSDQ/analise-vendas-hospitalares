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979e9d8c7185241/Área de Trabalho/Projetos/analise-vendas-hospitalares/data/"/>
    </mc:Choice>
  </mc:AlternateContent>
  <xr:revisionPtr revIDLastSave="59" documentId="11_6FD2D6465672FFFBC8170BC67BDDC4DB5138AA31" xr6:coauthVersionLast="47" xr6:coauthVersionMax="47" xr10:uidLastSave="{0D934516-87B0-4EED-A5FC-6BDA84086920}"/>
  <bookViews>
    <workbookView xWindow="-108" yWindow="-108" windowWidth="23256" windowHeight="12456" xr2:uid="{00000000-000D-0000-FFFF-FFFF00000000}"/>
  </bookViews>
  <sheets>
    <sheet name="Planilha1" sheetId="2" r:id="rId1"/>
    <sheet name="Vendas_Equipamentos" sheetId="1" r:id="rId2"/>
  </sheets>
  <definedNames>
    <definedName name="SegmentaçãodeDados_Categoria">#N/A</definedName>
  </definedNames>
  <calcPr calcId="191029"/>
  <pivotCaches>
    <pivotCache cacheId="7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</calcChain>
</file>

<file path=xl/sharedStrings.xml><?xml version="1.0" encoding="utf-8"?>
<sst xmlns="http://schemas.openxmlformats.org/spreadsheetml/2006/main" count="18033" uniqueCount="296">
  <si>
    <t>Data_Venda</t>
  </si>
  <si>
    <t>Hospital_Cliente</t>
  </si>
  <si>
    <t>Regiao</t>
  </si>
  <si>
    <t>Vendedor</t>
  </si>
  <si>
    <t>Categoria</t>
  </si>
  <si>
    <t>Equipamento</t>
  </si>
  <si>
    <t>Quantidade</t>
  </si>
  <si>
    <t>Preco_Unitario</t>
  </si>
  <si>
    <t>Faturamento_Total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</si>
  <si>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</si>
  <si>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</si>
  <si>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</si>
  <si>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</si>
  <si>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</si>
  <si>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</si>
  <si>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</si>
  <si>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</si>
  <si>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</si>
  <si>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</si>
  <si>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</si>
  <si>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</si>
  <si>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</si>
  <si>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</si>
  <si>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</si>
  <si>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</si>
  <si>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</si>
  <si>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</si>
  <si>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</si>
  <si>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</si>
  <si>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</si>
  <si>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</si>
  <si>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</si>
  <si>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</si>
  <si>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</si>
  <si>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</si>
  <si>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</si>
  <si>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</si>
  <si>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</si>
  <si>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</si>
  <si>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</si>
  <si>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</si>
  <si>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</si>
  <si>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</si>
  <si>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</si>
  <si>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</si>
  <si>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</si>
  <si>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</si>
  <si>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</si>
  <si>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</si>
  <si>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</si>
  <si>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</si>
  <si>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</si>
  <si>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</si>
  <si>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</si>
  <si>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</si>
  <si>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</si>
  <si>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</si>
  <si>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</si>
  <si>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</si>
  <si>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</si>
  <si>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</si>
  <si>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</si>
  <si>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</si>
  <si>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</si>
  <si>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</si>
  <si>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</si>
  <si>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</si>
  <si>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</si>
  <si>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</si>
  <si>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</si>
  <si>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</si>
  <si>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</si>
  <si>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</si>
  <si>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</si>
  <si>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</si>
  <si>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</si>
  <si>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</si>
  <si>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</si>
  <si>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</si>
  <si>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</si>
  <si>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</si>
  <si>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</si>
  <si>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</si>
  <si>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</si>
  <si>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</si>
  <si>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</si>
  <si>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</si>
  <si>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</si>
  <si>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</si>
  <si>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</si>
  <si>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</si>
  <si>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</si>
  <si>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</si>
  <si>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</si>
  <si>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</si>
  <si>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</si>
  <si>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</si>
  <si>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</si>
  <si>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</si>
  <si>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</si>
  <si>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</si>
  <si>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</si>
  <si>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</si>
  <si>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</si>
  <si>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</si>
  <si>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</si>
  <si>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</si>
  <si>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</si>
  <si>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</si>
  <si>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</si>
  <si>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</si>
  <si>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</si>
  <si>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</si>
  <si>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</si>
  <si>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</si>
  <si>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</si>
  <si>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</si>
  <si>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</si>
  <si>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</si>
  <si>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</si>
  <si>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</si>
  <si>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</si>
  <si>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</si>
  <si>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</si>
  <si>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</si>
  <si>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</si>
  <si>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</si>
  <si>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</si>
  <si>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</si>
  <si>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</si>
  <si>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</si>
  <si>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</si>
  <si>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</si>
  <si>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</si>
  <si>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</si>
  <si>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</si>
  <si>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</si>
  <si>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</si>
  <si>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</si>
  <si>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</si>
  <si>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</si>
  <si>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</si>
  <si>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</si>
  <si>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</si>
  <si>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</si>
  <si>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</si>
  <si>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</si>
  <si>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</si>
  <si>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</si>
  <si>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</si>
  <si>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</si>
  <si>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</si>
  <si>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</si>
  <si>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</si>
  <si>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</si>
  <si>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</si>
  <si>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</si>
  <si>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</si>
  <si>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</si>
  <si>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</si>
  <si>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</si>
  <si>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</si>
  <si>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</si>
  <si>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</si>
  <si>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</si>
  <si>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</si>
  <si>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</si>
  <si>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</si>
  <si>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</si>
  <si>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</si>
  <si>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</si>
  <si>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</si>
  <si>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</si>
  <si>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</si>
  <si>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</si>
  <si>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</si>
  <si>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</si>
  <si>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</si>
  <si>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</si>
  <si>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</si>
  <si>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</si>
  <si>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</si>
  <si>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</si>
  <si>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</si>
  <si>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</si>
  <si>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</si>
  <si>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</si>
  <si>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</si>
  <si>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</si>
  <si>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</si>
  <si>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</si>
  <si>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</si>
  <si>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</si>
  <si>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</si>
  <si>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</si>
  <si>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</si>
  <si>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</si>
  <si>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</si>
  <si>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</si>
  <si>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</si>
  <si>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</si>
  <si>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</si>
  <si>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</si>
  <si>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</si>
  <si>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</si>
  <si>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</si>
  <si>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</si>
  <si>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</si>
  <si>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</si>
  <si>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</si>
  <si>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</si>
  <si>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</si>
  <si>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</si>
  <si>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</si>
  <si>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</si>
  <si>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</si>
  <si>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</si>
  <si>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</si>
  <si>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</si>
  <si>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</si>
  <si>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</si>
  <si>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</si>
  <si>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</si>
  <si>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</si>
  <si>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</si>
  <si>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</si>
  <si>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</si>
  <si>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</si>
  <si>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</si>
  <si>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</si>
  <si>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</si>
  <si>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</si>
  <si>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</si>
  <si>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</si>
  <si>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</si>
  <si>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</si>
  <si>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</si>
  <si>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</si>
  <si>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</si>
  <si>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</si>
  <si>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</si>
  <si>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</si>
  <si>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</si>
  <si>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</si>
  <si>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</si>
  <si>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</si>
  <si>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</si>
  <si>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</si>
  <si>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</si>
  <si>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</si>
  <si>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</si>
  <si>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</si>
  <si>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</si>
  <si>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Hospital Metropolitano</t>
  </si>
  <si>
    <t>Rede Saúde Total</t>
  </si>
  <si>
    <t>Hospital Regional</t>
  </si>
  <si>
    <t>Hospital Santa Maria</t>
  </si>
  <si>
    <t>Centro Médico Avançado</t>
  </si>
  <si>
    <t>Clínica Vida</t>
  </si>
  <si>
    <t>Clínica Ortopédica Central</t>
  </si>
  <si>
    <t>Hospital São Lucas</t>
  </si>
  <si>
    <t>Nordeste</t>
  </si>
  <si>
    <t>Sul</t>
  </si>
  <si>
    <t>Centro-Oeste</t>
  </si>
  <si>
    <t>Norte</t>
  </si>
  <si>
    <t>Sudeste</t>
  </si>
  <si>
    <t>Mariana Dias</t>
  </si>
  <si>
    <t>Roberto Alves</t>
  </si>
  <si>
    <t>Ana Souza</t>
  </si>
  <si>
    <t>Fernanda Costa</t>
  </si>
  <si>
    <t>Carlos Lima</t>
  </si>
  <si>
    <t>Mobiliário Hospitalar</t>
  </si>
  <si>
    <t>Cirúrgico</t>
  </si>
  <si>
    <t>Diagnóstico e Imagem</t>
  </si>
  <si>
    <t>Suporte à Vida</t>
  </si>
  <si>
    <t>Carro de Emergência (Crash Cart)</t>
  </si>
  <si>
    <t>Bisturi Eletrônico</t>
  </si>
  <si>
    <t>Aspirador Cirúrgico de Secreção</t>
  </si>
  <si>
    <t>Ultrassom Portátil</t>
  </si>
  <si>
    <t>Eletrocardiógrafo</t>
  </si>
  <si>
    <t>Desfibrilador Externo</t>
  </si>
  <si>
    <t>Poltrona de Coleta</t>
  </si>
  <si>
    <t>Maca de Transporte</t>
  </si>
  <si>
    <t>Monitor de Pressão Arterial 24h</t>
  </si>
  <si>
    <t>Ventilador Pulmonar</t>
  </si>
  <si>
    <t>Cama Hospitalar Elétrica</t>
  </si>
  <si>
    <t>Mesa Cirúrgica Eletromecânica</t>
  </si>
  <si>
    <t>Bomba de Infusão</t>
  </si>
  <si>
    <t>Aparelho de Raio-X Móvel</t>
  </si>
  <si>
    <t>Monitor Multiparamétrico</t>
  </si>
  <si>
    <t>Foco Cirúrgico LED</t>
  </si>
  <si>
    <t>Rótulos de Linha</t>
  </si>
  <si>
    <t>Total Geral</t>
  </si>
  <si>
    <t>Rótulos de Coluna</t>
  </si>
  <si>
    <t>Soma de Preco_Unitario</t>
  </si>
  <si>
    <t>Soma de Faturamento_Total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</si>
</sst>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44" fontId="1" fillId="0" borderId="1" xfId="1" applyFont="1" applyBorder="1" applyAlignment="1">
      <alignment horizontal="center" vertical="top"/>
    </xf>
    <xf numFmtId="44" fontId="0" fillId="0" borderId="0" xfId="1" applyFon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</cellXfs>
  <cellStyles count="2">
    <cellStyle name="Moeda" xfId="1" builtinId="4"/>
    <cellStyle name="Normal" xfId="0" builtinId="0"/>
  </cellStyles>
  <dxfs count="5">
    <dxf>
      <numFmt numFmtId="1" formatCode="0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1</xdr:row>
      <xdr:rowOff>83821</xdr:rowOff>
    </xdr:from>
    <xdr:to>
      <xdr:col>10</xdr:col>
      <xdr:colOff>91440</xdr:colOff>
      <xdr:row>9</xdr:row>
      <xdr:rowOff>22861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Categoria">
              <a:extLst>
                <a:ext uri="{FF2B5EF4-FFF2-40B4-BE49-F238E27FC236}">
                  <a16:creationId xmlns:a16="http://schemas.microsoft.com/office/drawing/2014/main" id="{60EE647D-A357-3110-B72B-9DB16CFBA4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60080" y="266701"/>
              <a:ext cx="1828800" cy="14020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mela brenda silva de queiroz" refreshedDate="46286.421073611113" createdVersion="8" refreshedVersion="8" minRefreshableVersion="3" recordCount="3000" xr:uid="{0A00356D-E832-43F3-801A-7E75A98AF9AC}">
  <cacheSource type="worksheet">
    <worksheetSource name="Tabela1"/>
  </cacheSource>
  <cacheFields count="9">
    <cacheField name="Data_Venda" numFmtId="14">
      <sharedItems/>
    </cacheField>
    <cacheField name="Hospital_Cliente" numFmtId="0">
      <sharedItems/>
    </cacheField>
    <cacheField name="Regiao" numFmtId="0">
      <sharedItems count="5">
        <s v="Nordeste"/>
        <s v="Sul"/>
        <s v="Centro-Oeste"/>
        <s v="Norte"/>
        <s v="Sudeste"/>
      </sharedItems>
    </cacheField>
    <cacheField name="Vendedor" numFmtId="0">
      <sharedItems count="5">
        <s v="Mariana Dias"/>
        <s v="Roberto Alves"/>
        <s v="Ana Souza"/>
        <s v="Fernanda Costa"/>
        <s v="Carlos Lima"/>
      </sharedItems>
    </cacheField>
    <cacheField name="Categoria" numFmtId="0">
      <sharedItems count="4">
        <s v="Mobiliário Hospitalar"/>
        <s v="Cirúrgico"/>
        <s v="Diagnóstico e Imagem"/>
        <s v="Suporte à Vida"/>
      </sharedItems>
    </cacheField>
    <cacheField name="Equipamento" numFmtId="0">
      <sharedItems/>
    </cacheField>
    <cacheField name="Quantidade" numFmtId="1">
      <sharedItems containsSemiMixedTypes="0" containsString="0" containsNumber="1" containsInteger="1" minValue="1" maxValue="9"/>
    </cacheField>
    <cacheField name="Preco_Unitario" numFmtId="44">
      <sharedItems containsSemiMixedTypes="0" containsString="0" containsNumber="1" minValue="7227.13" maxValue="56247.29"/>
    </cacheField>
    <cacheField name="Faturamento_Total" numFmtId="44">
      <sharedItems containsSemiMixedTypes="0" containsString="0" containsNumber="1" minValue="7229.31" maxValue="506163.78"/>
    </cacheField>
  </cacheFields>
  <extLst>
    <ext xmlns:x14="http://schemas.microsoft.com/office/spreadsheetml/2009/9/main" uri="{725AE2AE-9491-48be-B2B4-4EB974FC3084}">
      <x14:pivotCacheDefinition pivotCacheId="1347900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s v="2026-01-01"/>
    <s v="Hospital Metropolitano"/>
    <x v="0"/>
    <x v="0"/>
    <x v="0"/>
    <s v="Carro de Emergência (Crash Cart)"/>
    <n v="4"/>
    <n v="9655.65"/>
    <n v="38622.6"/>
  </r>
  <r>
    <s v="2026-01-01"/>
    <s v="Rede Saúde Total"/>
    <x v="0"/>
    <x v="1"/>
    <x v="1"/>
    <s v="Bisturi Eletrônico"/>
    <n v="9"/>
    <n v="28614.26"/>
    <n v="257528.34"/>
  </r>
  <r>
    <s v="2026-01-01"/>
    <s v="Hospital Regional"/>
    <x v="0"/>
    <x v="1"/>
    <x v="1"/>
    <s v="Aspirador Cirúrgico de Secreção"/>
    <n v="7"/>
    <n v="27232.15"/>
    <n v="190625.05"/>
  </r>
  <r>
    <s v="2026-01-01"/>
    <s v="Hospital Metropolitano"/>
    <x v="1"/>
    <x v="0"/>
    <x v="0"/>
    <s v="Carro de Emergência (Crash Cart)"/>
    <n v="3"/>
    <n v="10496.52"/>
    <n v="31489.56"/>
  </r>
  <r>
    <s v="2026-01-01"/>
    <s v="Hospital Santa Maria"/>
    <x v="2"/>
    <x v="2"/>
    <x v="2"/>
    <s v="Ultrassom Portátil"/>
    <n v="7"/>
    <n v="55610.79"/>
    <n v="389275.53"/>
  </r>
  <r>
    <s v="2026-01-01"/>
    <s v="Centro Médico Avançado"/>
    <x v="3"/>
    <x v="0"/>
    <x v="1"/>
    <s v="Bisturi Eletrônico"/>
    <n v="1"/>
    <n v="27041.69"/>
    <n v="27041.69"/>
  </r>
  <r>
    <s v="2026-01-01"/>
    <s v="Hospital Regional"/>
    <x v="4"/>
    <x v="3"/>
    <x v="2"/>
    <s v="Eletrocardiógrafo"/>
    <n v="3"/>
    <n v="46883.25"/>
    <n v="140649.75"/>
  </r>
  <r>
    <s v="2026-01-02"/>
    <s v="Hospital Regional"/>
    <x v="2"/>
    <x v="1"/>
    <x v="1"/>
    <s v="Aspirador Cirúrgico de Secreção"/>
    <n v="6"/>
    <n v="34695.85"/>
    <n v="208175.1"/>
  </r>
  <r>
    <s v="2026-01-02"/>
    <s v="Hospital Metropolitano"/>
    <x v="0"/>
    <x v="4"/>
    <x v="3"/>
    <s v="Desfibrilador Externo"/>
    <n v="4"/>
    <n v="27262.32"/>
    <n v="109049.28"/>
  </r>
  <r>
    <s v="2026-01-02"/>
    <s v="Clínica Vida"/>
    <x v="2"/>
    <x v="3"/>
    <x v="1"/>
    <s v="Bisturi Eletrônico"/>
    <n v="7"/>
    <n v="28422"/>
    <n v="198954"/>
  </r>
  <r>
    <s v="2026-01-02"/>
    <s v="Hospital Santa Maria"/>
    <x v="3"/>
    <x v="1"/>
    <x v="0"/>
    <s v="Poltrona de Coleta"/>
    <n v="3"/>
    <n v="7566.56"/>
    <n v="22699.68"/>
  </r>
  <r>
    <s v="2026-01-02"/>
    <s v="Hospital Metropolitano"/>
    <x v="4"/>
    <x v="0"/>
    <x v="0"/>
    <s v="Maca de Transporte"/>
    <n v="1"/>
    <n v="8956.14"/>
    <n v="8956.14"/>
  </r>
  <r>
    <s v="2026-01-02"/>
    <s v="Hospital Santa Maria"/>
    <x v="4"/>
    <x v="3"/>
    <x v="2"/>
    <s v="Monitor de Pressão Arterial 24h"/>
    <n v="9"/>
    <n v="38694.06"/>
    <n v="348246.54"/>
  </r>
  <r>
    <s v="2026-01-03"/>
    <s v="Hospital Santa Maria"/>
    <x v="3"/>
    <x v="1"/>
    <x v="1"/>
    <s v="Aspirador Cirúrgico de Secreção"/>
    <n v="6"/>
    <n v="28357.26"/>
    <n v="170143.56"/>
  </r>
  <r>
    <s v="2026-01-03"/>
    <s v="Centro Médico Avançado"/>
    <x v="3"/>
    <x v="2"/>
    <x v="2"/>
    <s v="Monitor de Pressão Arterial 24h"/>
    <n v="8"/>
    <n v="42222.58"/>
    <n v="337780.64"/>
  </r>
  <r>
    <s v="2026-01-03"/>
    <s v="Hospital Regional"/>
    <x v="0"/>
    <x v="2"/>
    <x v="2"/>
    <s v="Monitor de Pressão Arterial 24h"/>
    <n v="3"/>
    <n v="47849.55"/>
    <n v="143548.65"/>
  </r>
  <r>
    <s v="2026-01-03"/>
    <s v="Rede Saúde Total"/>
    <x v="4"/>
    <x v="4"/>
    <x v="3"/>
    <s v="Ventilador Pulmonar"/>
    <n v="8"/>
    <n v="39948.720000000001"/>
    <n v="319589.76000000001"/>
  </r>
  <r>
    <s v="2026-01-03"/>
    <s v="Centro Médico Avançado"/>
    <x v="2"/>
    <x v="1"/>
    <x v="3"/>
    <s v="Ventilador Pulmonar"/>
    <n v="2"/>
    <n v="37446.86"/>
    <n v="74893.72"/>
  </r>
  <r>
    <s v="2026-01-03"/>
    <s v="Centro Médico Avançado"/>
    <x v="1"/>
    <x v="2"/>
    <x v="0"/>
    <s v="Cama Hospitalar Elétrica"/>
    <n v="4"/>
    <n v="10100.18"/>
    <n v="40400.720000000001"/>
  </r>
  <r>
    <s v="2026-01-04"/>
    <s v="Hospital Santa Maria"/>
    <x v="1"/>
    <x v="0"/>
    <x v="2"/>
    <s v="Eletrocardiógrafo"/>
    <n v="3"/>
    <n v="49684.77"/>
    <n v="149054.31"/>
  </r>
  <r>
    <s v="2026-01-04"/>
    <s v="Clínica Ortopédica Central"/>
    <x v="3"/>
    <x v="1"/>
    <x v="0"/>
    <s v="Carro de Emergência (Crash Cart)"/>
    <n v="1"/>
    <n v="7366.3"/>
    <n v="7366.3"/>
  </r>
  <r>
    <s v="2026-01-04"/>
    <s v="Hospital Regional"/>
    <x v="0"/>
    <x v="0"/>
    <x v="1"/>
    <s v="Mesa Cirúrgica Eletromecânica"/>
    <n v="7"/>
    <n v="26116.13"/>
    <n v="182812.91"/>
  </r>
  <r>
    <s v="2026-01-04"/>
    <s v="Clínica Vida"/>
    <x v="1"/>
    <x v="0"/>
    <x v="2"/>
    <s v="Ultrassom Portátil"/>
    <n v="2"/>
    <n v="54901.16"/>
    <n v="109802.32"/>
  </r>
  <r>
    <s v="2026-01-04"/>
    <s v="Centro Médico Avançado"/>
    <x v="4"/>
    <x v="2"/>
    <x v="2"/>
    <s v="Eletrocardiógrafo"/>
    <n v="4"/>
    <n v="44840.04"/>
    <n v="179360.16"/>
  </r>
  <r>
    <s v="2026-01-04"/>
    <s v="Rede Saúde Total"/>
    <x v="3"/>
    <x v="1"/>
    <x v="1"/>
    <s v="Aspirador Cirúrgico de Secreção"/>
    <n v="9"/>
    <n v="24960.73"/>
    <n v="224646.57"/>
  </r>
  <r>
    <s v="2026-01-05"/>
    <s v="Clínica Ortopédica Central"/>
    <x v="2"/>
    <x v="3"/>
    <x v="1"/>
    <s v="Aspirador Cirúrgico de Secreção"/>
    <n v="6"/>
    <n v="31666.94"/>
    <n v="190001.64"/>
  </r>
  <r>
    <s v="2026-01-05"/>
    <s v="Clínica Ortopédica Central"/>
    <x v="3"/>
    <x v="2"/>
    <x v="0"/>
    <s v="Cama Hospitalar Elétrica"/>
    <n v="8"/>
    <n v="8243.16"/>
    <n v="65945.279999999999"/>
  </r>
  <r>
    <s v="2026-01-05"/>
    <s v="Clínica Vida"/>
    <x v="2"/>
    <x v="2"/>
    <x v="0"/>
    <s v="Maca de Transporte"/>
    <n v="2"/>
    <n v="8139.11"/>
    <n v="16278.22"/>
  </r>
  <r>
    <s v="2026-01-05"/>
    <s v="Centro Médico Avançado"/>
    <x v="3"/>
    <x v="1"/>
    <x v="1"/>
    <s v="Mesa Cirúrgica Eletromecânica"/>
    <n v="7"/>
    <n v="34977.35"/>
    <n v="244841.45"/>
  </r>
  <r>
    <s v="2026-01-05"/>
    <s v="Rede Saúde Total"/>
    <x v="3"/>
    <x v="1"/>
    <x v="0"/>
    <s v="Poltrona de Coleta"/>
    <n v="6"/>
    <n v="10142.67"/>
    <n v="60856.02"/>
  </r>
  <r>
    <s v="2026-01-05"/>
    <s v="Hospital Regional"/>
    <x v="3"/>
    <x v="0"/>
    <x v="1"/>
    <s v="Mesa Cirúrgica Eletromecânica"/>
    <n v="9"/>
    <n v="28368.9"/>
    <n v="255320.1"/>
  </r>
  <r>
    <s v="2026-01-06"/>
    <s v="Hospital São Lucas"/>
    <x v="2"/>
    <x v="1"/>
    <x v="2"/>
    <s v="Ultrassom Portátil"/>
    <n v="7"/>
    <n v="55894.7"/>
    <n v="391262.9"/>
  </r>
  <r>
    <s v="2026-01-06"/>
    <s v="Rede Saúde Total"/>
    <x v="2"/>
    <x v="0"/>
    <x v="2"/>
    <s v="Monitor de Pressão Arterial 24h"/>
    <n v="1"/>
    <n v="49952.04"/>
    <n v="49952.04"/>
  </r>
  <r>
    <s v="2026-01-06"/>
    <s v="Clínica Vida"/>
    <x v="3"/>
    <x v="2"/>
    <x v="3"/>
    <s v="Bomba de Infusão"/>
    <n v="8"/>
    <n v="36697.89"/>
    <n v="293583.12"/>
  </r>
  <r>
    <s v="2026-01-06"/>
    <s v="Clínica Ortopédica Central"/>
    <x v="1"/>
    <x v="4"/>
    <x v="2"/>
    <s v="Eletrocardiógrafo"/>
    <n v="3"/>
    <n v="38817.230000000003"/>
    <n v="116451.69"/>
  </r>
  <r>
    <s v="2026-01-06"/>
    <s v="Hospital Regional"/>
    <x v="0"/>
    <x v="3"/>
    <x v="1"/>
    <s v="Mesa Cirúrgica Eletromecânica"/>
    <n v="2"/>
    <n v="25161.98"/>
    <n v="50323.96"/>
  </r>
  <r>
    <s v="2026-01-06"/>
    <s v="Rede Saúde Total"/>
    <x v="0"/>
    <x v="2"/>
    <x v="0"/>
    <s v="Poltrona de Coleta"/>
    <n v="3"/>
    <n v="9377.49"/>
    <n v="28132.47"/>
  </r>
  <r>
    <s v="2026-01-06"/>
    <s v="Hospital São Lucas"/>
    <x v="0"/>
    <x v="1"/>
    <x v="3"/>
    <s v="Desfibrilador Externo"/>
    <n v="6"/>
    <n v="38707.51"/>
    <n v="232245.06"/>
  </r>
  <r>
    <s v="2026-01-07"/>
    <s v="Hospital São Lucas"/>
    <x v="2"/>
    <x v="3"/>
    <x v="0"/>
    <s v="Carro de Emergência (Crash Cart)"/>
    <n v="3"/>
    <n v="9345.73"/>
    <n v="28037.19"/>
  </r>
  <r>
    <s v="2026-01-07"/>
    <s v="Hospital Santa Maria"/>
    <x v="2"/>
    <x v="4"/>
    <x v="1"/>
    <s v="Aspirador Cirúrgico de Secreção"/>
    <n v="5"/>
    <n v="25301.08"/>
    <n v="126505.4"/>
  </r>
  <r>
    <s v="2026-01-07"/>
    <s v="Hospital Santa Maria"/>
    <x v="1"/>
    <x v="4"/>
    <x v="2"/>
    <s v="Monitor de Pressão Arterial 24h"/>
    <n v="6"/>
    <n v="40333.68"/>
    <n v="242002.08"/>
  </r>
  <r>
    <s v="2026-01-07"/>
    <s v="Hospital Metropolitano"/>
    <x v="0"/>
    <x v="0"/>
    <x v="3"/>
    <s v="Desfibrilador Externo"/>
    <n v="8"/>
    <n v="38005.58"/>
    <n v="304044.64"/>
  </r>
  <r>
    <s v="2026-01-07"/>
    <s v="Clínica Vida"/>
    <x v="0"/>
    <x v="3"/>
    <x v="1"/>
    <s v="Mesa Cirúrgica Eletromecânica"/>
    <n v="7"/>
    <n v="25360.19"/>
    <n v="177521.33"/>
  </r>
  <r>
    <s v="2026-01-07"/>
    <s v="Centro Médico Avançado"/>
    <x v="3"/>
    <x v="0"/>
    <x v="3"/>
    <s v="Desfibrilador Externo"/>
    <n v="8"/>
    <n v="33858.97"/>
    <n v="270871.76"/>
  </r>
  <r>
    <s v="2026-01-08"/>
    <s v="Rede Saúde Total"/>
    <x v="2"/>
    <x v="2"/>
    <x v="3"/>
    <s v="Ventilador Pulmonar"/>
    <n v="3"/>
    <n v="27675.05"/>
    <n v="83025.149999999994"/>
  </r>
  <r>
    <s v="2026-01-08"/>
    <s v="Rede Saúde Total"/>
    <x v="0"/>
    <x v="3"/>
    <x v="2"/>
    <s v="Aparelho de Raio-X Móvel"/>
    <n v="4"/>
    <n v="39702.06"/>
    <n v="158808.24"/>
  </r>
  <r>
    <s v="2026-01-08"/>
    <s v="Centro Médico Avançado"/>
    <x v="1"/>
    <x v="2"/>
    <x v="1"/>
    <s v="Aspirador Cirúrgico de Secreção"/>
    <n v="6"/>
    <n v="31330.3"/>
    <n v="187981.8"/>
  </r>
  <r>
    <s v="2026-01-08"/>
    <s v="Hospital Metropolitano"/>
    <x v="1"/>
    <x v="0"/>
    <x v="0"/>
    <s v="Poltrona de Coleta"/>
    <n v="7"/>
    <n v="9568.2199999999993"/>
    <n v="66977.539999999994"/>
  </r>
  <r>
    <s v="2026-01-08"/>
    <s v="Clínica Ortopédica Central"/>
    <x v="0"/>
    <x v="3"/>
    <x v="3"/>
    <s v="Ventilador Pulmonar"/>
    <n v="9"/>
    <n v="31570.81"/>
    <n v="284137.28999999998"/>
  </r>
  <r>
    <s v="2026-01-08"/>
    <s v="Clínica Ortopédica Central"/>
    <x v="2"/>
    <x v="0"/>
    <x v="3"/>
    <s v="Monitor Multiparamétrico"/>
    <n v="1"/>
    <n v="29959.8"/>
    <n v="29959.8"/>
  </r>
  <r>
    <s v="2026-01-09"/>
    <s v="Hospital Metropolitano"/>
    <x v="1"/>
    <x v="3"/>
    <x v="0"/>
    <s v="Carro de Emergência (Crash Cart)"/>
    <n v="8"/>
    <n v="9991.61"/>
    <n v="79932.88"/>
  </r>
  <r>
    <s v="2026-01-09"/>
    <s v="Clínica Ortopédica Central"/>
    <x v="3"/>
    <x v="0"/>
    <x v="1"/>
    <s v="Bisturi Eletrônico"/>
    <n v="8"/>
    <n v="26231.56"/>
    <n v="209852.48"/>
  </r>
  <r>
    <s v="2026-01-09"/>
    <s v="Hospital Santa Maria"/>
    <x v="1"/>
    <x v="4"/>
    <x v="3"/>
    <s v="Monitor Multiparamétrico"/>
    <n v="6"/>
    <n v="34137.949999999997"/>
    <n v="204827.7"/>
  </r>
  <r>
    <s v="2026-01-09"/>
    <s v="Rede Saúde Total"/>
    <x v="4"/>
    <x v="0"/>
    <x v="3"/>
    <s v="Desfibrilador Externo"/>
    <n v="4"/>
    <n v="39593.07"/>
    <n v="158372.28"/>
  </r>
  <r>
    <s v="2026-01-09"/>
    <s v="Hospital Metropolitano"/>
    <x v="4"/>
    <x v="4"/>
    <x v="3"/>
    <s v="Desfibrilador Externo"/>
    <n v="3"/>
    <n v="29092.51"/>
    <n v="87277.53"/>
  </r>
  <r>
    <s v="2026-01-09"/>
    <s v="Rede Saúde Total"/>
    <x v="2"/>
    <x v="0"/>
    <x v="1"/>
    <s v="Bisturi Eletrônico"/>
    <n v="3"/>
    <n v="34337.81"/>
    <n v="103013.43"/>
  </r>
  <r>
    <s v="2026-01-10"/>
    <s v="Centro Médico Avançado"/>
    <x v="0"/>
    <x v="3"/>
    <x v="1"/>
    <s v="Bisturi Eletrônico"/>
    <n v="6"/>
    <n v="25848.400000000001"/>
    <n v="155090.4"/>
  </r>
  <r>
    <s v="2026-01-10"/>
    <s v="Hospital São Lucas"/>
    <x v="2"/>
    <x v="3"/>
    <x v="0"/>
    <s v="Carro de Emergência (Crash Cart)"/>
    <n v="8"/>
    <n v="9154.31"/>
    <n v="73234.48"/>
  </r>
  <r>
    <s v="2026-01-10"/>
    <s v="Hospital Santa Maria"/>
    <x v="2"/>
    <x v="3"/>
    <x v="1"/>
    <s v="Foco Cirúrgico LED"/>
    <n v="7"/>
    <n v="28022.49"/>
    <n v="196157.43"/>
  </r>
  <r>
    <s v="2026-01-10"/>
    <s v="Hospital Regional"/>
    <x v="2"/>
    <x v="1"/>
    <x v="1"/>
    <s v="Bisturi Eletrônico"/>
    <n v="1"/>
    <n v="34607.199999999997"/>
    <n v="34607.199999999997"/>
  </r>
  <r>
    <s v="2026-01-10"/>
    <s v="Hospital Santa Maria"/>
    <x v="2"/>
    <x v="2"/>
    <x v="2"/>
    <s v="Ultrassom Portátil"/>
    <n v="6"/>
    <n v="43173.760000000002"/>
    <n v="259042.56"/>
  </r>
  <r>
    <s v="2026-01-10"/>
    <s v="Hospital Metropolitano"/>
    <x v="3"/>
    <x v="3"/>
    <x v="0"/>
    <s v="Maca de Transporte"/>
    <n v="7"/>
    <n v="8583.84"/>
    <n v="60086.879999999997"/>
  </r>
  <r>
    <s v="2026-01-11"/>
    <s v="Hospital Regional"/>
    <x v="3"/>
    <x v="4"/>
    <x v="3"/>
    <s v="Desfibrilador Externo"/>
    <n v="7"/>
    <n v="39780.61"/>
    <n v="278464.27"/>
  </r>
  <r>
    <s v="2026-01-11"/>
    <s v="Hospital São Lucas"/>
    <x v="1"/>
    <x v="3"/>
    <x v="1"/>
    <s v="Bisturi Eletrônico"/>
    <n v="9"/>
    <n v="29808.47"/>
    <n v="268276.23"/>
  </r>
  <r>
    <s v="2026-01-11"/>
    <s v="Hospital Metropolitano"/>
    <x v="4"/>
    <x v="1"/>
    <x v="3"/>
    <s v="Desfibrilador Externo"/>
    <n v="5"/>
    <n v="33633.67"/>
    <n v="168168.35"/>
  </r>
  <r>
    <s v="2026-01-11"/>
    <s v="Clínica Vida"/>
    <x v="2"/>
    <x v="4"/>
    <x v="3"/>
    <s v="Desfibrilador Externo"/>
    <n v="1"/>
    <n v="30499.56"/>
    <n v="30499.56"/>
  </r>
  <r>
    <s v="2026-01-11"/>
    <s v="Rede Saúde Total"/>
    <x v="1"/>
    <x v="1"/>
    <x v="2"/>
    <s v="Eletrocardiógrafo"/>
    <n v="2"/>
    <n v="50874.54"/>
    <n v="101749.08"/>
  </r>
  <r>
    <s v="2026-01-11"/>
    <s v="Hospital São Lucas"/>
    <x v="4"/>
    <x v="4"/>
    <x v="1"/>
    <s v="Bisturi Eletrônico"/>
    <n v="4"/>
    <n v="23960.98"/>
    <n v="95843.92"/>
  </r>
  <r>
    <s v="2026-01-12"/>
    <s v="Rede Saúde Total"/>
    <x v="0"/>
    <x v="0"/>
    <x v="0"/>
    <s v="Maca de Transporte"/>
    <n v="5"/>
    <n v="7393.34"/>
    <n v="36966.699999999997"/>
  </r>
  <r>
    <s v="2026-01-12"/>
    <s v="Clínica Ortopédica Central"/>
    <x v="3"/>
    <x v="2"/>
    <x v="1"/>
    <s v="Foco Cirúrgico LED"/>
    <n v="9"/>
    <n v="30512.82"/>
    <n v="274615.38"/>
  </r>
  <r>
    <s v="2026-01-12"/>
    <s v="Clínica Vida"/>
    <x v="4"/>
    <x v="2"/>
    <x v="3"/>
    <s v="Ventilador Pulmonar"/>
    <n v="1"/>
    <n v="31573.43"/>
    <n v="31573.43"/>
  </r>
  <r>
    <s v="2026-01-12"/>
    <s v="Clínica Vida"/>
    <x v="0"/>
    <x v="1"/>
    <x v="0"/>
    <s v="Poltrona de Coleta"/>
    <n v="3"/>
    <n v="10466.280000000001"/>
    <n v="31398.84"/>
  </r>
  <r>
    <s v="2026-01-12"/>
    <s v="Hospital São Lucas"/>
    <x v="4"/>
    <x v="2"/>
    <x v="1"/>
    <s v="Bisturi Eletrônico"/>
    <n v="5"/>
    <n v="33915.74"/>
    <n v="169578.7"/>
  </r>
  <r>
    <s v="2026-01-12"/>
    <s v="Clínica Vida"/>
    <x v="3"/>
    <x v="1"/>
    <x v="3"/>
    <s v="Monitor Multiparamétrico"/>
    <n v="3"/>
    <n v="36335.440000000002"/>
    <n v="109006.32"/>
  </r>
  <r>
    <s v="2026-01-12"/>
    <s v="Hospital Regional"/>
    <x v="3"/>
    <x v="1"/>
    <x v="3"/>
    <s v="Monitor Multiparamétrico"/>
    <n v="4"/>
    <n v="37672.26"/>
    <n v="150689.04"/>
  </r>
  <r>
    <s v="2026-01-13"/>
    <s v="Clínica Vida"/>
    <x v="1"/>
    <x v="1"/>
    <x v="2"/>
    <s v="Aparelho de Raio-X Móvel"/>
    <n v="3"/>
    <n v="50261.97"/>
    <n v="150785.91"/>
  </r>
  <r>
    <s v="2026-01-13"/>
    <s v="Rede Saúde Total"/>
    <x v="2"/>
    <x v="2"/>
    <x v="2"/>
    <s v="Aparelho de Raio-X Móvel"/>
    <n v="4"/>
    <n v="40510.480000000003"/>
    <n v="162041.92000000001"/>
  </r>
  <r>
    <s v="2026-01-13"/>
    <s v="Rede Saúde Total"/>
    <x v="4"/>
    <x v="1"/>
    <x v="2"/>
    <s v="Aparelho de Raio-X Móvel"/>
    <n v="1"/>
    <n v="52029.78"/>
    <n v="52029.78"/>
  </r>
  <r>
    <s v="2026-01-13"/>
    <s v="Hospital Metropolitano"/>
    <x v="4"/>
    <x v="2"/>
    <x v="3"/>
    <s v="Ventilador Pulmonar"/>
    <n v="8"/>
    <n v="29890.46"/>
    <n v="239123.68"/>
  </r>
  <r>
    <s v="2026-01-13"/>
    <s v="Rede Saúde Total"/>
    <x v="0"/>
    <x v="1"/>
    <x v="1"/>
    <s v="Foco Cirúrgico LED"/>
    <n v="4"/>
    <n v="27422.560000000001"/>
    <n v="109690.24000000001"/>
  </r>
  <r>
    <s v="2026-01-13"/>
    <s v="Hospital Metropolitano"/>
    <x v="3"/>
    <x v="3"/>
    <x v="2"/>
    <s v="Ultrassom Portátil"/>
    <n v="7"/>
    <n v="52996.22"/>
    <n v="370973.54"/>
  </r>
  <r>
    <s v="2026-01-14"/>
    <s v="Rede Saúde Total"/>
    <x v="4"/>
    <x v="1"/>
    <x v="1"/>
    <s v="Bisturi Eletrônico"/>
    <n v="2"/>
    <n v="29809.09"/>
    <n v="59618.18"/>
  </r>
  <r>
    <s v="2026-01-14"/>
    <s v="Hospital Regional"/>
    <x v="3"/>
    <x v="4"/>
    <x v="2"/>
    <s v="Monitor de Pressão Arterial 24h"/>
    <n v="2"/>
    <n v="53728.93"/>
    <n v="107457.86"/>
  </r>
  <r>
    <s v="2026-01-14"/>
    <s v="Centro Médico Avançado"/>
    <x v="4"/>
    <x v="1"/>
    <x v="0"/>
    <s v="Maca de Transporte"/>
    <n v="6"/>
    <n v="7949.32"/>
    <n v="47695.92"/>
  </r>
  <r>
    <s v="2026-01-14"/>
    <s v="Hospital Metropolitano"/>
    <x v="1"/>
    <x v="0"/>
    <x v="0"/>
    <s v="Carro de Emergência (Crash Cart)"/>
    <n v="2"/>
    <n v="9291.4500000000007"/>
    <n v="18582.900000000001"/>
  </r>
  <r>
    <s v="2026-01-14"/>
    <s v="Hospital Santa Maria"/>
    <x v="2"/>
    <x v="1"/>
    <x v="2"/>
    <s v="Aparelho de Raio-X Móvel"/>
    <n v="6"/>
    <n v="39758.239999999998"/>
    <n v="238549.44"/>
  </r>
  <r>
    <s v="2026-01-14"/>
    <s v="Clínica Ortopédica Central"/>
    <x v="4"/>
    <x v="4"/>
    <x v="3"/>
    <s v="Ventilador Pulmonar"/>
    <n v="2"/>
    <n v="35431.18"/>
    <n v="70862.36"/>
  </r>
  <r>
    <s v="2026-01-15"/>
    <s v="Hospital São Lucas"/>
    <x v="3"/>
    <x v="4"/>
    <x v="2"/>
    <s v="Eletrocardiógrafo"/>
    <n v="4"/>
    <n v="51975.61"/>
    <n v="207902.44"/>
  </r>
  <r>
    <s v="2026-01-15"/>
    <s v="Rede Saúde Total"/>
    <x v="1"/>
    <x v="2"/>
    <x v="2"/>
    <s v="Ultrassom Portátil"/>
    <n v="7"/>
    <n v="48778.76"/>
    <n v="341451.32"/>
  </r>
  <r>
    <s v="2026-01-15"/>
    <s v="Clínica Vida"/>
    <x v="4"/>
    <x v="3"/>
    <x v="3"/>
    <s v="Monitor Multiparamétrico"/>
    <n v="8"/>
    <n v="30607.759999999998"/>
    <n v="244862.07999999999"/>
  </r>
  <r>
    <s v="2026-01-15"/>
    <s v="Centro Médico Avançado"/>
    <x v="0"/>
    <x v="1"/>
    <x v="0"/>
    <s v="Maca de Transporte"/>
    <n v="3"/>
    <n v="7331.57"/>
    <n v="21994.71"/>
  </r>
  <r>
    <s v="2026-01-15"/>
    <s v="Rede Saúde Total"/>
    <x v="2"/>
    <x v="2"/>
    <x v="1"/>
    <s v="Aspirador Cirúrgico de Secreção"/>
    <n v="9"/>
    <n v="25137.83"/>
    <n v="226240.47"/>
  </r>
  <r>
    <s v="2026-01-15"/>
    <s v="Clínica Vida"/>
    <x v="4"/>
    <x v="3"/>
    <x v="2"/>
    <s v="Aparelho de Raio-X Móvel"/>
    <n v="2"/>
    <n v="49451.45"/>
    <n v="98902.9"/>
  </r>
  <r>
    <s v="2026-01-16"/>
    <s v="Clínica Ortopédica Central"/>
    <x v="1"/>
    <x v="1"/>
    <x v="3"/>
    <s v="Ventilador Pulmonar"/>
    <n v="8"/>
    <n v="39160.58"/>
    <n v="313284.64"/>
  </r>
  <r>
    <s v="2026-01-16"/>
    <s v="Clínica Ortopédica Central"/>
    <x v="0"/>
    <x v="0"/>
    <x v="2"/>
    <s v="Aparelho de Raio-X Móvel"/>
    <n v="8"/>
    <n v="41967.62"/>
    <n v="335740.96"/>
  </r>
  <r>
    <s v="2026-01-16"/>
    <s v="Clínica Ortopédica Central"/>
    <x v="1"/>
    <x v="1"/>
    <x v="3"/>
    <s v="Desfibrilador Externo"/>
    <n v="4"/>
    <n v="36608.33"/>
    <n v="146433.32"/>
  </r>
  <r>
    <s v="2026-01-16"/>
    <s v="Clínica Vida"/>
    <x v="1"/>
    <x v="4"/>
    <x v="1"/>
    <s v="Aspirador Cirúrgico de Secreção"/>
    <n v="1"/>
    <n v="33504.25"/>
    <n v="33504.25"/>
  </r>
  <r>
    <s v="2026-01-16"/>
    <s v="Rede Saúde Total"/>
    <x v="0"/>
    <x v="4"/>
    <x v="1"/>
    <s v="Foco Cirúrgico LED"/>
    <n v="1"/>
    <n v="29633.88"/>
    <n v="29633.88"/>
  </r>
  <r>
    <s v="2026-01-16"/>
    <s v="Clínica Ortopédica Central"/>
    <x v="1"/>
    <x v="0"/>
    <x v="0"/>
    <s v="Carro de Emergência (Crash Cart)"/>
    <n v="2"/>
    <n v="9500.5"/>
    <n v="19001"/>
  </r>
  <r>
    <s v="2026-01-17"/>
    <s v="Hospital Regional"/>
    <x v="0"/>
    <x v="2"/>
    <x v="3"/>
    <s v="Monitor Multiparamétrico"/>
    <n v="9"/>
    <n v="37632.199999999997"/>
    <n v="338689.8"/>
  </r>
  <r>
    <s v="2026-01-17"/>
    <s v="Hospital Metropolitano"/>
    <x v="4"/>
    <x v="3"/>
    <x v="3"/>
    <s v="Desfibrilador Externo"/>
    <n v="2"/>
    <n v="30536.639999999999"/>
    <n v="61073.279999999999"/>
  </r>
  <r>
    <s v="2026-01-17"/>
    <s v="Clínica Vida"/>
    <x v="0"/>
    <x v="1"/>
    <x v="0"/>
    <s v="Maca de Transporte"/>
    <n v="2"/>
    <n v="8234.4500000000007"/>
    <n v="16468.900000000001"/>
  </r>
  <r>
    <s v="2026-01-17"/>
    <s v="Clínica Vida"/>
    <x v="0"/>
    <x v="4"/>
    <x v="0"/>
    <s v="Maca de Transporte"/>
    <n v="6"/>
    <n v="7227.13"/>
    <n v="43362.78"/>
  </r>
  <r>
    <s v="2026-01-17"/>
    <s v="Rede Saúde Total"/>
    <x v="2"/>
    <x v="2"/>
    <x v="3"/>
    <s v="Bomba de Infusão"/>
    <n v="7"/>
    <n v="39527.599999999999"/>
    <n v="276693.2"/>
  </r>
  <r>
    <s v="2026-01-17"/>
    <s v="Clínica Vida"/>
    <x v="0"/>
    <x v="0"/>
    <x v="0"/>
    <s v="Poltrona de Coleta"/>
    <n v="7"/>
    <n v="10344.65"/>
    <n v="72412.55"/>
  </r>
  <r>
    <s v="2026-01-18"/>
    <s v="Clínica Vida"/>
    <x v="0"/>
    <x v="4"/>
    <x v="1"/>
    <s v="Mesa Cirúrgica Eletromecânica"/>
    <n v="9"/>
    <n v="32363.16"/>
    <n v="291268.44"/>
  </r>
  <r>
    <s v="2026-01-18"/>
    <s v="Clínica Ortopédica Central"/>
    <x v="4"/>
    <x v="0"/>
    <x v="2"/>
    <s v="Monitor de Pressão Arterial 24h"/>
    <n v="6"/>
    <n v="39673.370000000003"/>
    <n v="238040.22"/>
  </r>
  <r>
    <s v="2026-01-18"/>
    <s v="Rede Saúde Total"/>
    <x v="2"/>
    <x v="1"/>
    <x v="1"/>
    <s v="Foco Cirúrgico LED"/>
    <n v="8"/>
    <n v="28812.03"/>
    <n v="230496.24"/>
  </r>
  <r>
    <s v="2026-01-18"/>
    <s v="Clínica Ortopédica Central"/>
    <x v="3"/>
    <x v="3"/>
    <x v="0"/>
    <s v="Cama Hospitalar Elétrica"/>
    <n v="6"/>
    <n v="7571.43"/>
    <n v="45428.58"/>
  </r>
  <r>
    <s v="2026-01-18"/>
    <s v="Hospital Metropolitano"/>
    <x v="4"/>
    <x v="4"/>
    <x v="3"/>
    <s v="Monitor Multiparamétrico"/>
    <n v="2"/>
    <n v="27403.78"/>
    <n v="54807.56"/>
  </r>
  <r>
    <s v="2026-01-18"/>
    <s v="Centro Médico Avançado"/>
    <x v="4"/>
    <x v="4"/>
    <x v="3"/>
    <s v="Desfibrilador Externo"/>
    <n v="1"/>
    <n v="35087.14"/>
    <n v="35087.14"/>
  </r>
  <r>
    <s v="2026-01-18"/>
    <s v="Hospital Metropolitano"/>
    <x v="3"/>
    <x v="1"/>
    <x v="1"/>
    <s v="Mesa Cirúrgica Eletromecânica"/>
    <n v="5"/>
    <n v="34561.29"/>
    <n v="172806.45"/>
  </r>
  <r>
    <s v="2026-01-19"/>
    <s v="Centro Médico Avançado"/>
    <x v="0"/>
    <x v="2"/>
    <x v="3"/>
    <s v="Desfibrilador Externo"/>
    <n v="9"/>
    <n v="38756.71"/>
    <n v="348810.39"/>
  </r>
  <r>
    <s v="2026-01-19"/>
    <s v="Clínica Ortopédica Central"/>
    <x v="1"/>
    <x v="3"/>
    <x v="0"/>
    <s v="Poltrona de Coleta"/>
    <n v="8"/>
    <n v="9593.9699999999993"/>
    <n v="76751.759999999995"/>
  </r>
  <r>
    <s v="2026-01-19"/>
    <s v="Hospital Metropolitano"/>
    <x v="2"/>
    <x v="4"/>
    <x v="1"/>
    <s v="Bisturi Eletrônico"/>
    <n v="4"/>
    <n v="24882.37"/>
    <n v="99529.48"/>
  </r>
  <r>
    <s v="2026-01-19"/>
    <s v="Rede Saúde Total"/>
    <x v="1"/>
    <x v="3"/>
    <x v="3"/>
    <s v="Bomba de Infusão"/>
    <n v="5"/>
    <n v="30709.3"/>
    <n v="153546.5"/>
  </r>
  <r>
    <s v="2026-01-19"/>
    <s v="Hospital São Lucas"/>
    <x v="3"/>
    <x v="4"/>
    <x v="2"/>
    <s v="Eletrocardiógrafo"/>
    <n v="5"/>
    <n v="44011.02"/>
    <n v="220055.1"/>
  </r>
  <r>
    <s v="2026-01-19"/>
    <s v="Clínica Ortopédica Central"/>
    <x v="4"/>
    <x v="3"/>
    <x v="2"/>
    <s v="Aparelho de Raio-X Móvel"/>
    <n v="6"/>
    <n v="51986.7"/>
    <n v="311920.2"/>
  </r>
  <r>
    <s v="2026-01-20"/>
    <s v="Centro Médico Avançado"/>
    <x v="4"/>
    <x v="0"/>
    <x v="0"/>
    <s v="Carro de Emergência (Crash Cart)"/>
    <n v="3"/>
    <n v="9952.65"/>
    <n v="29857.95"/>
  </r>
  <r>
    <s v="2026-01-20"/>
    <s v="Hospital Regional"/>
    <x v="2"/>
    <x v="4"/>
    <x v="3"/>
    <s v="Bomba de Infusão"/>
    <n v="5"/>
    <n v="32129.360000000001"/>
    <n v="160646.79999999999"/>
  </r>
  <r>
    <s v="2026-01-20"/>
    <s v="Centro Médico Avançado"/>
    <x v="4"/>
    <x v="3"/>
    <x v="0"/>
    <s v="Cama Hospitalar Elétrica"/>
    <n v="2"/>
    <n v="8645.81"/>
    <n v="17291.62"/>
  </r>
  <r>
    <s v="2026-01-20"/>
    <s v="Hospital Regional"/>
    <x v="4"/>
    <x v="2"/>
    <x v="1"/>
    <s v="Aspirador Cirúrgico de Secreção"/>
    <n v="1"/>
    <n v="24298.5"/>
    <n v="24298.5"/>
  </r>
  <r>
    <s v="2026-01-20"/>
    <s v="Clínica Vida"/>
    <x v="2"/>
    <x v="0"/>
    <x v="2"/>
    <s v="Monitor de Pressão Arterial 24h"/>
    <n v="1"/>
    <n v="43454.46"/>
    <n v="43454.46"/>
  </r>
  <r>
    <s v="2026-01-20"/>
    <s v="Hospital Metropolitano"/>
    <x v="2"/>
    <x v="0"/>
    <x v="1"/>
    <s v="Bisturi Eletrônico"/>
    <n v="7"/>
    <n v="28854.39"/>
    <n v="201980.73"/>
  </r>
  <r>
    <s v="2026-01-21"/>
    <s v="Hospital Regional"/>
    <x v="3"/>
    <x v="2"/>
    <x v="3"/>
    <s v="Desfibrilador Externo"/>
    <n v="2"/>
    <n v="28697.38"/>
    <n v="57394.76"/>
  </r>
  <r>
    <s v="2026-01-21"/>
    <s v="Centro Médico Avançado"/>
    <x v="4"/>
    <x v="3"/>
    <x v="0"/>
    <s v="Cama Hospitalar Elétrica"/>
    <n v="4"/>
    <n v="8766.11"/>
    <n v="35064.44"/>
  </r>
  <r>
    <s v="2026-01-21"/>
    <s v="Clínica Vida"/>
    <x v="4"/>
    <x v="1"/>
    <x v="0"/>
    <s v="Cama Hospitalar Elétrica"/>
    <n v="5"/>
    <n v="10125.799999999999"/>
    <n v="50629"/>
  </r>
  <r>
    <s v="2026-01-21"/>
    <s v="Hospital São Lucas"/>
    <x v="3"/>
    <x v="2"/>
    <x v="0"/>
    <s v="Carro de Emergência (Crash Cart)"/>
    <n v="7"/>
    <n v="9201.49"/>
    <n v="64410.43"/>
  </r>
  <r>
    <s v="2026-01-21"/>
    <s v="Rede Saúde Total"/>
    <x v="0"/>
    <x v="3"/>
    <x v="1"/>
    <s v="Foco Cirúrgico LED"/>
    <n v="2"/>
    <n v="24684.01"/>
    <n v="49368.02"/>
  </r>
  <r>
    <s v="2026-01-21"/>
    <s v="Rede Saúde Total"/>
    <x v="0"/>
    <x v="2"/>
    <x v="2"/>
    <s v="Monitor de Pressão Arterial 24h"/>
    <n v="6"/>
    <n v="41700.080000000002"/>
    <n v="250200.48"/>
  </r>
  <r>
    <s v="2026-01-22"/>
    <s v="Rede Saúde Total"/>
    <x v="0"/>
    <x v="2"/>
    <x v="1"/>
    <s v="Mesa Cirúrgica Eletromecânica"/>
    <n v="1"/>
    <n v="29114.9"/>
    <n v="29114.9"/>
  </r>
  <r>
    <s v="2026-01-22"/>
    <s v="Hospital Regional"/>
    <x v="3"/>
    <x v="4"/>
    <x v="1"/>
    <s v="Aspirador Cirúrgico de Secreção"/>
    <n v="7"/>
    <n v="27848.66"/>
    <n v="194940.62"/>
  </r>
  <r>
    <s v="2026-01-22"/>
    <s v="Hospital São Lucas"/>
    <x v="4"/>
    <x v="3"/>
    <x v="3"/>
    <s v="Monitor Multiparamétrico"/>
    <n v="9"/>
    <n v="31791.71"/>
    <n v="286125.39"/>
  </r>
  <r>
    <s v="2026-01-22"/>
    <s v="Hospital Regional"/>
    <x v="3"/>
    <x v="1"/>
    <x v="3"/>
    <s v="Bomba de Infusão"/>
    <n v="5"/>
    <n v="33974.620000000003"/>
    <n v="169873.1"/>
  </r>
  <r>
    <s v="2026-01-22"/>
    <s v="Hospital Metropolitano"/>
    <x v="3"/>
    <x v="4"/>
    <x v="3"/>
    <s v="Monitor Multiparamétrico"/>
    <n v="5"/>
    <n v="34680.269999999997"/>
    <n v="173401.35"/>
  </r>
  <r>
    <s v="2026-01-22"/>
    <s v="Hospital Regional"/>
    <x v="0"/>
    <x v="2"/>
    <x v="2"/>
    <s v="Ultrassom Portátil"/>
    <n v="4"/>
    <n v="52593.51"/>
    <n v="210374.04"/>
  </r>
  <r>
    <s v="2026-01-23"/>
    <s v="Hospital São Lucas"/>
    <x v="1"/>
    <x v="2"/>
    <x v="2"/>
    <s v="Monitor de Pressão Arterial 24h"/>
    <n v="3"/>
    <n v="44387.4"/>
    <n v="133162.20000000001"/>
  </r>
  <r>
    <s v="2026-01-23"/>
    <s v="Hospital São Lucas"/>
    <x v="4"/>
    <x v="2"/>
    <x v="3"/>
    <s v="Monitor Multiparamétrico"/>
    <n v="9"/>
    <n v="37509.97"/>
    <n v="337589.73"/>
  </r>
  <r>
    <s v="2026-01-23"/>
    <s v="Hospital Metropolitano"/>
    <x v="0"/>
    <x v="3"/>
    <x v="3"/>
    <s v="Desfibrilador Externo"/>
    <n v="5"/>
    <n v="31534.22"/>
    <n v="157671.1"/>
  </r>
  <r>
    <s v="2026-01-23"/>
    <s v="Hospital São Lucas"/>
    <x v="1"/>
    <x v="3"/>
    <x v="2"/>
    <s v="Eletrocardiógrafo"/>
    <n v="8"/>
    <n v="39247.79"/>
    <n v="313982.32"/>
  </r>
  <r>
    <s v="2026-01-23"/>
    <s v="Centro Médico Avançado"/>
    <x v="1"/>
    <x v="4"/>
    <x v="0"/>
    <s v="Carro de Emergência (Crash Cart)"/>
    <n v="9"/>
    <n v="9109.24"/>
    <n v="81983.16"/>
  </r>
  <r>
    <s v="2026-01-23"/>
    <s v="Hospital São Lucas"/>
    <x v="2"/>
    <x v="1"/>
    <x v="2"/>
    <s v="Ultrassom Portátil"/>
    <n v="5"/>
    <n v="48832.24"/>
    <n v="244161.2"/>
  </r>
  <r>
    <s v="2026-01-24"/>
    <s v="Rede Saúde Total"/>
    <x v="4"/>
    <x v="4"/>
    <x v="2"/>
    <s v="Eletrocardiógrafo"/>
    <n v="9"/>
    <n v="55071.72"/>
    <n v="495645.48"/>
  </r>
  <r>
    <s v="2026-01-24"/>
    <s v="Centro Médico Avançado"/>
    <x v="1"/>
    <x v="0"/>
    <x v="2"/>
    <s v="Aparelho de Raio-X Móvel"/>
    <n v="2"/>
    <n v="51319.1"/>
    <n v="102638.2"/>
  </r>
  <r>
    <s v="2026-01-24"/>
    <s v="Centro Médico Avançado"/>
    <x v="0"/>
    <x v="2"/>
    <x v="3"/>
    <s v="Bomba de Infusão"/>
    <n v="9"/>
    <n v="38947.49"/>
    <n v="350527.41"/>
  </r>
  <r>
    <s v="2026-01-24"/>
    <s v="Hospital Metropolitano"/>
    <x v="2"/>
    <x v="2"/>
    <x v="0"/>
    <s v="Cama Hospitalar Elétrica"/>
    <n v="4"/>
    <n v="10313.379999999999"/>
    <n v="41253.519999999997"/>
  </r>
  <r>
    <s v="2026-01-24"/>
    <s v="Hospital Santa Maria"/>
    <x v="4"/>
    <x v="2"/>
    <x v="2"/>
    <s v="Monitor de Pressão Arterial 24h"/>
    <n v="6"/>
    <n v="49132.33"/>
    <n v="294793.98"/>
  </r>
  <r>
    <s v="2026-01-24"/>
    <s v="Hospital Santa Maria"/>
    <x v="3"/>
    <x v="4"/>
    <x v="3"/>
    <s v="Desfibrilador Externo"/>
    <n v="6"/>
    <n v="33955.35"/>
    <n v="203732.1"/>
  </r>
  <r>
    <s v="2026-01-24"/>
    <s v="Hospital São Lucas"/>
    <x v="0"/>
    <x v="4"/>
    <x v="1"/>
    <s v="Bisturi Eletrônico"/>
    <n v="6"/>
    <n v="30043.34"/>
    <n v="180260.04"/>
  </r>
  <r>
    <s v="2026-01-25"/>
    <s v="Centro Médico Avançado"/>
    <x v="1"/>
    <x v="2"/>
    <x v="1"/>
    <s v="Mesa Cirúrgica Eletromecânica"/>
    <n v="2"/>
    <n v="34757.31"/>
    <n v="69514.62"/>
  </r>
  <r>
    <s v="2026-01-25"/>
    <s v="Hospital Santa Maria"/>
    <x v="1"/>
    <x v="4"/>
    <x v="2"/>
    <s v="Ultrassom Portátil"/>
    <n v="7"/>
    <n v="52167.02"/>
    <n v="365169.14"/>
  </r>
  <r>
    <s v="2026-01-25"/>
    <s v="Hospital Santa Maria"/>
    <x v="0"/>
    <x v="3"/>
    <x v="1"/>
    <s v="Mesa Cirúrgica Eletromecânica"/>
    <n v="6"/>
    <n v="24990.18"/>
    <n v="149941.07999999999"/>
  </r>
  <r>
    <s v="2026-01-25"/>
    <s v="Hospital São Lucas"/>
    <x v="1"/>
    <x v="3"/>
    <x v="0"/>
    <s v="Cama Hospitalar Elétrica"/>
    <n v="1"/>
    <n v="9871.66"/>
    <n v="9871.66"/>
  </r>
  <r>
    <s v="2026-01-25"/>
    <s v="Hospital Santa Maria"/>
    <x v="2"/>
    <x v="4"/>
    <x v="1"/>
    <s v="Bisturi Eletrônico"/>
    <n v="2"/>
    <n v="25710.03"/>
    <n v="51420.06"/>
  </r>
  <r>
    <s v="2026-01-25"/>
    <s v="Hospital Regional"/>
    <x v="4"/>
    <x v="2"/>
    <x v="1"/>
    <s v="Foco Cirúrgico LED"/>
    <n v="7"/>
    <n v="28810.33"/>
    <n v="201672.31"/>
  </r>
  <r>
    <s v="2026-01-26"/>
    <s v="Clínica Vida"/>
    <x v="2"/>
    <x v="4"/>
    <x v="0"/>
    <s v="Cama Hospitalar Elétrica"/>
    <n v="1"/>
    <n v="7940.56"/>
    <n v="7940.56"/>
  </r>
  <r>
    <s v="2026-01-26"/>
    <s v="Hospital Metropolitano"/>
    <x v="1"/>
    <x v="4"/>
    <x v="2"/>
    <s v="Eletrocardiógrafo"/>
    <n v="1"/>
    <n v="50662.5"/>
    <n v="50662.5"/>
  </r>
  <r>
    <s v="2026-01-26"/>
    <s v="Clínica Vida"/>
    <x v="3"/>
    <x v="4"/>
    <x v="2"/>
    <s v="Aparelho de Raio-X Móvel"/>
    <n v="1"/>
    <n v="54041.58"/>
    <n v="54041.58"/>
  </r>
  <r>
    <s v="2026-01-26"/>
    <s v="Hospital São Lucas"/>
    <x v="4"/>
    <x v="0"/>
    <x v="0"/>
    <s v="Carro de Emergência (Crash Cart)"/>
    <n v="8"/>
    <n v="8212.23"/>
    <n v="65697.84"/>
  </r>
  <r>
    <s v="2026-01-26"/>
    <s v="Rede Saúde Total"/>
    <x v="4"/>
    <x v="3"/>
    <x v="0"/>
    <s v="Cama Hospitalar Elétrica"/>
    <n v="4"/>
    <n v="7503.84"/>
    <n v="30015.360000000001"/>
  </r>
  <r>
    <s v="2026-01-26"/>
    <s v="Hospital Metropolitano"/>
    <x v="0"/>
    <x v="1"/>
    <x v="0"/>
    <s v="Carro de Emergência (Crash Cart)"/>
    <n v="4"/>
    <n v="8239.8799999999992"/>
    <n v="32959.519999999997"/>
  </r>
  <r>
    <s v="2026-01-27"/>
    <s v="Hospital São Lucas"/>
    <x v="0"/>
    <x v="1"/>
    <x v="1"/>
    <s v="Foco Cirúrgico LED"/>
    <n v="2"/>
    <n v="31330.45"/>
    <n v="62660.9"/>
  </r>
  <r>
    <s v="2026-01-27"/>
    <s v="Centro Médico Avançado"/>
    <x v="3"/>
    <x v="0"/>
    <x v="0"/>
    <s v="Carro de Emergência (Crash Cart)"/>
    <n v="1"/>
    <n v="8342.7800000000007"/>
    <n v="8342.7800000000007"/>
  </r>
  <r>
    <s v="2026-01-27"/>
    <s v="Rede Saúde Total"/>
    <x v="4"/>
    <x v="4"/>
    <x v="3"/>
    <s v="Desfibrilador Externo"/>
    <n v="9"/>
    <n v="30759.84"/>
    <n v="276838.56"/>
  </r>
  <r>
    <s v="2026-01-27"/>
    <s v="Clínica Vida"/>
    <x v="3"/>
    <x v="0"/>
    <x v="1"/>
    <s v="Aspirador Cirúrgico de Secreção"/>
    <n v="7"/>
    <n v="25865.67"/>
    <n v="181059.69"/>
  </r>
  <r>
    <s v="2026-01-27"/>
    <s v="Hospital São Lucas"/>
    <x v="0"/>
    <x v="0"/>
    <x v="2"/>
    <s v="Eletrocardiógrafo"/>
    <n v="4"/>
    <n v="47205.3"/>
    <n v="188821.2"/>
  </r>
  <r>
    <s v="2026-01-27"/>
    <s v="Centro Médico Avançado"/>
    <x v="0"/>
    <x v="2"/>
    <x v="2"/>
    <s v="Aparelho de Raio-X Móvel"/>
    <n v="6"/>
    <n v="43217.08"/>
    <n v="259302.48"/>
  </r>
  <r>
    <s v="2026-01-28"/>
    <s v="Hospital Metropolitano"/>
    <x v="4"/>
    <x v="3"/>
    <x v="2"/>
    <s v="Ultrassom Portátil"/>
    <n v="2"/>
    <n v="51408.19"/>
    <n v="102816.38"/>
  </r>
  <r>
    <s v="2026-01-28"/>
    <s v="Hospital Metropolitano"/>
    <x v="2"/>
    <x v="1"/>
    <x v="1"/>
    <s v="Aspirador Cirúrgico de Secreção"/>
    <n v="7"/>
    <n v="24658.17"/>
    <n v="172607.19"/>
  </r>
  <r>
    <s v="2026-01-28"/>
    <s v="Clínica Ortopédica Central"/>
    <x v="1"/>
    <x v="4"/>
    <x v="3"/>
    <s v="Monitor Multiparamétrico"/>
    <n v="2"/>
    <n v="35699.620000000003"/>
    <n v="71399.240000000005"/>
  </r>
  <r>
    <s v="2026-01-28"/>
    <s v="Centro Médico Avançado"/>
    <x v="0"/>
    <x v="1"/>
    <x v="0"/>
    <s v="Cama Hospitalar Elétrica"/>
    <n v="8"/>
    <n v="8032.7"/>
    <n v="64261.599999999999"/>
  </r>
  <r>
    <s v="2026-01-28"/>
    <s v="Hospital Regional"/>
    <x v="0"/>
    <x v="1"/>
    <x v="0"/>
    <s v="Poltrona de Coleta"/>
    <n v="8"/>
    <n v="8888.5499999999993"/>
    <n v="71108.399999999994"/>
  </r>
  <r>
    <s v="2026-01-28"/>
    <s v="Hospital Santa Maria"/>
    <x v="2"/>
    <x v="3"/>
    <x v="2"/>
    <s v="Monitor de Pressão Arterial 24h"/>
    <n v="1"/>
    <n v="43399.62"/>
    <n v="43399.62"/>
  </r>
  <r>
    <s v="2026-01-29"/>
    <s v="Rede Saúde Total"/>
    <x v="2"/>
    <x v="1"/>
    <x v="2"/>
    <s v="Eletrocardiógrafo"/>
    <n v="8"/>
    <n v="51259.839999999997"/>
    <n v="410078.71999999997"/>
  </r>
  <r>
    <s v="2026-01-29"/>
    <s v="Centro Médico Avançado"/>
    <x v="3"/>
    <x v="1"/>
    <x v="1"/>
    <s v="Foco Cirúrgico LED"/>
    <n v="2"/>
    <n v="34387.440000000002"/>
    <n v="68774.880000000005"/>
  </r>
  <r>
    <s v="2026-01-29"/>
    <s v="Clínica Ortopédica Central"/>
    <x v="3"/>
    <x v="0"/>
    <x v="3"/>
    <s v="Monitor Multiparamétrico"/>
    <n v="6"/>
    <n v="38938.58"/>
    <n v="233631.48"/>
  </r>
  <r>
    <s v="2026-01-29"/>
    <s v="Hospital Santa Maria"/>
    <x v="1"/>
    <x v="3"/>
    <x v="0"/>
    <s v="Maca de Transporte"/>
    <n v="1"/>
    <n v="9208.65"/>
    <n v="9208.65"/>
  </r>
  <r>
    <s v="2026-01-29"/>
    <s v="Hospital Santa Maria"/>
    <x v="1"/>
    <x v="2"/>
    <x v="1"/>
    <s v="Mesa Cirúrgica Eletromecânica"/>
    <n v="5"/>
    <n v="28981.24"/>
    <n v="144906.20000000001"/>
  </r>
  <r>
    <s v="2026-01-29"/>
    <s v="Hospital São Lucas"/>
    <x v="4"/>
    <x v="4"/>
    <x v="0"/>
    <s v="Cama Hospitalar Elétrica"/>
    <n v="7"/>
    <n v="10007.219999999999"/>
    <n v="70050.539999999994"/>
  </r>
  <r>
    <s v="2026-01-30"/>
    <s v="Hospital Santa Maria"/>
    <x v="3"/>
    <x v="1"/>
    <x v="2"/>
    <s v="Aparelho de Raio-X Móvel"/>
    <n v="1"/>
    <n v="50549.87"/>
    <n v="50549.87"/>
  </r>
  <r>
    <s v="2026-01-30"/>
    <s v="Hospital Regional"/>
    <x v="0"/>
    <x v="4"/>
    <x v="0"/>
    <s v="Maca de Transporte"/>
    <n v="2"/>
    <n v="7849.12"/>
    <n v="15698.24"/>
  </r>
  <r>
    <s v="2026-01-30"/>
    <s v="Hospital Metropolitano"/>
    <x v="3"/>
    <x v="2"/>
    <x v="3"/>
    <s v="Monitor Multiparamétrico"/>
    <n v="7"/>
    <n v="37707.769999999997"/>
    <n v="263954.39"/>
  </r>
  <r>
    <s v="2026-01-30"/>
    <s v="Clínica Ortopédica Central"/>
    <x v="0"/>
    <x v="4"/>
    <x v="3"/>
    <s v="Bomba de Infusão"/>
    <n v="6"/>
    <n v="32689.72"/>
    <n v="196138.32"/>
  </r>
  <r>
    <s v="2026-01-30"/>
    <s v="Hospital Santa Maria"/>
    <x v="2"/>
    <x v="2"/>
    <x v="2"/>
    <s v="Eletrocardiógrafo"/>
    <n v="3"/>
    <n v="41651.74"/>
    <n v="124955.22"/>
  </r>
  <r>
    <s v="2026-01-30"/>
    <s v="Hospital São Lucas"/>
    <x v="3"/>
    <x v="0"/>
    <x v="3"/>
    <s v="Ventilador Pulmonar"/>
    <n v="2"/>
    <n v="30807.01"/>
    <n v="61614.02"/>
  </r>
  <r>
    <s v="2026-01-30"/>
    <s v="Hospital Regional"/>
    <x v="2"/>
    <x v="1"/>
    <x v="3"/>
    <s v="Ventilador Pulmonar"/>
    <n v="4"/>
    <n v="30624.35"/>
    <n v="122497.4"/>
  </r>
  <r>
    <s v="2026-01-31"/>
    <s v="Clínica Vida"/>
    <x v="1"/>
    <x v="2"/>
    <x v="1"/>
    <s v="Mesa Cirúrgica Eletromecânica"/>
    <n v="3"/>
    <n v="29615.119999999999"/>
    <n v="88845.36"/>
  </r>
  <r>
    <s v="2026-01-31"/>
    <s v="Hospital Metropolitano"/>
    <x v="1"/>
    <x v="4"/>
    <x v="0"/>
    <s v="Carro de Emergência (Crash Cart)"/>
    <n v="7"/>
    <n v="8021.86"/>
    <n v="56153.02"/>
  </r>
  <r>
    <s v="2026-01-31"/>
    <s v="Hospital Metropolitano"/>
    <x v="4"/>
    <x v="1"/>
    <x v="2"/>
    <s v="Monitor de Pressão Arterial 24h"/>
    <n v="8"/>
    <n v="40474.199999999997"/>
    <n v="323793.59999999998"/>
  </r>
  <r>
    <s v="2026-01-31"/>
    <s v="Clínica Ortopédica Central"/>
    <x v="3"/>
    <x v="0"/>
    <x v="2"/>
    <s v="Monitor de Pressão Arterial 24h"/>
    <n v="2"/>
    <n v="40476.44"/>
    <n v="80952.88"/>
  </r>
  <r>
    <s v="2026-01-31"/>
    <s v="Hospital Metropolitano"/>
    <x v="2"/>
    <x v="1"/>
    <x v="2"/>
    <s v="Aparelho de Raio-X Móvel"/>
    <n v="7"/>
    <n v="48748.97"/>
    <n v="341242.79"/>
  </r>
  <r>
    <s v="2026-01-31"/>
    <s v="Hospital Santa Maria"/>
    <x v="0"/>
    <x v="2"/>
    <x v="2"/>
    <s v="Aparelho de Raio-X Móvel"/>
    <n v="8"/>
    <n v="51475.67"/>
    <n v="411805.36"/>
  </r>
  <r>
    <s v="2026-02-01"/>
    <s v="Hospital São Lucas"/>
    <x v="1"/>
    <x v="0"/>
    <x v="2"/>
    <s v="Eletrocardiógrafo"/>
    <n v="6"/>
    <n v="44037.59"/>
    <n v="264225.53999999998"/>
  </r>
  <r>
    <s v="2026-02-01"/>
    <s v="Hospital Metropolitano"/>
    <x v="1"/>
    <x v="4"/>
    <x v="3"/>
    <s v="Bomba de Infusão"/>
    <n v="6"/>
    <n v="27643.53"/>
    <n v="165861.18"/>
  </r>
  <r>
    <s v="2026-02-01"/>
    <s v="Hospital Metropolitano"/>
    <x v="0"/>
    <x v="0"/>
    <x v="1"/>
    <s v="Bisturi Eletrônico"/>
    <n v="1"/>
    <n v="25224.92"/>
    <n v="25224.92"/>
  </r>
  <r>
    <s v="2026-02-01"/>
    <s v="Clínica Vida"/>
    <x v="2"/>
    <x v="0"/>
    <x v="2"/>
    <s v="Ultrassom Portátil"/>
    <n v="4"/>
    <n v="54714.5"/>
    <n v="218858"/>
  </r>
  <r>
    <s v="2026-02-01"/>
    <s v="Clínica Vida"/>
    <x v="2"/>
    <x v="3"/>
    <x v="1"/>
    <s v="Foco Cirúrgico LED"/>
    <n v="1"/>
    <n v="29327.69"/>
    <n v="29327.69"/>
  </r>
  <r>
    <s v="2026-02-01"/>
    <s v="Rede Saúde Total"/>
    <x v="3"/>
    <x v="0"/>
    <x v="1"/>
    <s v="Mesa Cirúrgica Eletromecânica"/>
    <n v="4"/>
    <n v="28880.02"/>
    <n v="115520.08"/>
  </r>
  <r>
    <s v="2026-02-02"/>
    <s v="Hospital Regional"/>
    <x v="3"/>
    <x v="0"/>
    <x v="3"/>
    <s v="Ventilador Pulmonar"/>
    <n v="2"/>
    <n v="27687.03"/>
    <n v="55374.06"/>
  </r>
  <r>
    <s v="2026-02-02"/>
    <s v="Hospital Santa Maria"/>
    <x v="4"/>
    <x v="1"/>
    <x v="2"/>
    <s v="Eletrocardiógrafo"/>
    <n v="5"/>
    <n v="51365.47"/>
    <n v="256827.35"/>
  </r>
  <r>
    <s v="2026-02-02"/>
    <s v="Hospital Metropolitano"/>
    <x v="1"/>
    <x v="4"/>
    <x v="3"/>
    <s v="Bomba de Infusão"/>
    <n v="9"/>
    <n v="33959.269999999997"/>
    <n v="305633.43"/>
  </r>
  <r>
    <s v="2026-02-02"/>
    <s v="Centro Médico Avançado"/>
    <x v="3"/>
    <x v="1"/>
    <x v="2"/>
    <s v="Ultrassom Portátil"/>
    <n v="3"/>
    <n v="41887.46"/>
    <n v="125662.38"/>
  </r>
  <r>
    <s v="2026-02-02"/>
    <s v="Hospital Metropolitano"/>
    <x v="2"/>
    <x v="1"/>
    <x v="3"/>
    <s v="Desfibrilador Externo"/>
    <n v="8"/>
    <n v="28608.94"/>
    <n v="228871.52"/>
  </r>
  <r>
    <s v="2026-02-02"/>
    <s v="Hospital São Lucas"/>
    <x v="0"/>
    <x v="2"/>
    <x v="1"/>
    <s v="Mesa Cirúrgica Eletromecânica"/>
    <n v="3"/>
    <n v="28093.94"/>
    <n v="84281.82"/>
  </r>
  <r>
    <s v="2026-02-03"/>
    <s v="Rede Saúde Total"/>
    <x v="2"/>
    <x v="1"/>
    <x v="2"/>
    <s v="Monitor de Pressão Arterial 24h"/>
    <n v="6"/>
    <n v="53318.92"/>
    <n v="319913.52"/>
  </r>
  <r>
    <s v="2026-02-03"/>
    <s v="Hospital Regional"/>
    <x v="1"/>
    <x v="3"/>
    <x v="0"/>
    <s v="Maca de Transporte"/>
    <n v="4"/>
    <n v="10167"/>
    <n v="40668"/>
  </r>
  <r>
    <s v="2026-02-03"/>
    <s v="Centro Médico Avançado"/>
    <x v="2"/>
    <x v="3"/>
    <x v="1"/>
    <s v="Aspirador Cirúrgico de Secreção"/>
    <n v="8"/>
    <n v="30551.88"/>
    <n v="244415.04"/>
  </r>
  <r>
    <s v="2026-02-03"/>
    <s v="Rede Saúde Total"/>
    <x v="4"/>
    <x v="2"/>
    <x v="0"/>
    <s v="Cama Hospitalar Elétrica"/>
    <n v="6"/>
    <n v="9698.6200000000008"/>
    <n v="58191.72"/>
  </r>
  <r>
    <s v="2026-02-03"/>
    <s v="Clínica Ortopédica Central"/>
    <x v="1"/>
    <x v="4"/>
    <x v="1"/>
    <s v="Mesa Cirúrgica Eletromecânica"/>
    <n v="8"/>
    <n v="25089.74"/>
    <n v="200717.92"/>
  </r>
  <r>
    <s v="2026-02-03"/>
    <s v="Hospital Regional"/>
    <x v="0"/>
    <x v="4"/>
    <x v="3"/>
    <s v="Monitor Multiparamétrico"/>
    <n v="1"/>
    <n v="34728.01"/>
    <n v="34728.01"/>
  </r>
  <r>
    <s v="2026-02-04"/>
    <s v="Hospital Metropolitano"/>
    <x v="4"/>
    <x v="1"/>
    <x v="2"/>
    <s v="Aparelho de Raio-X Móvel"/>
    <n v="6"/>
    <n v="50255.38"/>
    <n v="301532.28000000003"/>
  </r>
  <r>
    <s v="2026-02-04"/>
    <s v="Hospital Metropolitano"/>
    <x v="1"/>
    <x v="1"/>
    <x v="1"/>
    <s v="Bisturi Eletrônico"/>
    <n v="1"/>
    <n v="26047.98"/>
    <n v="26047.98"/>
  </r>
  <r>
    <s v="2026-02-04"/>
    <s v="Hospital Regional"/>
    <x v="0"/>
    <x v="1"/>
    <x v="3"/>
    <s v="Bomba de Infusão"/>
    <n v="1"/>
    <n v="38465.980000000003"/>
    <n v="38465.980000000003"/>
  </r>
  <r>
    <s v="2026-02-04"/>
    <s v="Hospital Metropolitano"/>
    <x v="4"/>
    <x v="4"/>
    <x v="2"/>
    <s v="Monitor de Pressão Arterial 24h"/>
    <n v="8"/>
    <n v="41759.94"/>
    <n v="334079.52"/>
  </r>
  <r>
    <s v="2026-02-04"/>
    <s v="Hospital Santa Maria"/>
    <x v="4"/>
    <x v="0"/>
    <x v="2"/>
    <s v="Ultrassom Portátil"/>
    <n v="7"/>
    <n v="43892.59"/>
    <n v="307248.13"/>
  </r>
  <r>
    <s v="2026-02-04"/>
    <s v="Hospital Regional"/>
    <x v="1"/>
    <x v="3"/>
    <x v="1"/>
    <s v="Bisturi Eletrônico"/>
    <n v="3"/>
    <n v="30750.240000000002"/>
    <n v="92250.72"/>
  </r>
  <r>
    <s v="2026-02-05"/>
    <s v="Rede Saúde Total"/>
    <x v="3"/>
    <x v="0"/>
    <x v="2"/>
    <s v="Aparelho de Raio-X Móvel"/>
    <n v="6"/>
    <n v="49740.3"/>
    <n v="298441.8"/>
  </r>
  <r>
    <s v="2026-02-05"/>
    <s v="Hospital Regional"/>
    <x v="4"/>
    <x v="0"/>
    <x v="1"/>
    <s v="Bisturi Eletrônico"/>
    <n v="9"/>
    <n v="31633.11"/>
    <n v="284697.99"/>
  </r>
  <r>
    <s v="2026-02-05"/>
    <s v="Centro Médico Avançado"/>
    <x v="4"/>
    <x v="4"/>
    <x v="2"/>
    <s v="Ultrassom Portátil"/>
    <n v="7"/>
    <n v="40266.21"/>
    <n v="281863.46999999997"/>
  </r>
  <r>
    <s v="2026-02-05"/>
    <s v="Hospital Metropolitano"/>
    <x v="0"/>
    <x v="0"/>
    <x v="0"/>
    <s v="Carro de Emergência (Crash Cart)"/>
    <n v="3"/>
    <n v="10113.18"/>
    <n v="30339.54"/>
  </r>
  <r>
    <s v="2026-02-05"/>
    <s v="Hospital Santa Maria"/>
    <x v="2"/>
    <x v="2"/>
    <x v="3"/>
    <s v="Monitor Multiparamétrico"/>
    <n v="6"/>
    <n v="34020.44"/>
    <n v="204122.64"/>
  </r>
  <r>
    <s v="2026-02-05"/>
    <s v="Hospital Santa Maria"/>
    <x v="1"/>
    <x v="1"/>
    <x v="0"/>
    <s v="Poltrona de Coleta"/>
    <n v="4"/>
    <n v="8827.49"/>
    <n v="35309.96"/>
  </r>
  <r>
    <s v="2026-02-05"/>
    <s v="Clínica Ortopédica Central"/>
    <x v="1"/>
    <x v="2"/>
    <x v="1"/>
    <s v="Mesa Cirúrgica Eletromecânica"/>
    <n v="3"/>
    <n v="34788.29"/>
    <n v="104364.87"/>
  </r>
  <r>
    <s v="2026-02-06"/>
    <s v="Rede Saúde Total"/>
    <x v="3"/>
    <x v="3"/>
    <x v="0"/>
    <s v="Cama Hospitalar Elétrica"/>
    <n v="9"/>
    <n v="9742.2900000000009"/>
    <n v="87680.61"/>
  </r>
  <r>
    <s v="2026-02-06"/>
    <s v="Clínica Vida"/>
    <x v="3"/>
    <x v="1"/>
    <x v="1"/>
    <s v="Aspirador Cirúrgico de Secreção"/>
    <n v="2"/>
    <n v="25121.67"/>
    <n v="50243.34"/>
  </r>
  <r>
    <s v="2026-02-06"/>
    <s v="Clínica Vida"/>
    <x v="1"/>
    <x v="0"/>
    <x v="2"/>
    <s v="Eletrocardiógrafo"/>
    <n v="1"/>
    <n v="51867.71"/>
    <n v="51867.71"/>
  </r>
  <r>
    <s v="2026-02-06"/>
    <s v="Hospital Regional"/>
    <x v="3"/>
    <x v="3"/>
    <x v="2"/>
    <s v="Eletrocardiógrafo"/>
    <n v="2"/>
    <n v="39964.480000000003"/>
    <n v="79928.960000000006"/>
  </r>
  <r>
    <s v="2026-02-06"/>
    <s v="Clínica Ortopédica Central"/>
    <x v="0"/>
    <x v="1"/>
    <x v="1"/>
    <s v="Bisturi Eletrônico"/>
    <n v="7"/>
    <n v="24107.67"/>
    <n v="168753.69"/>
  </r>
  <r>
    <s v="2026-02-06"/>
    <s v="Hospital São Lucas"/>
    <x v="1"/>
    <x v="0"/>
    <x v="0"/>
    <s v="Poltrona de Coleta"/>
    <n v="1"/>
    <n v="8597.33"/>
    <n v="8597.33"/>
  </r>
  <r>
    <s v="2026-02-07"/>
    <s v="Hospital Regional"/>
    <x v="3"/>
    <x v="2"/>
    <x v="2"/>
    <s v="Aparelho de Raio-X Móvel"/>
    <n v="6"/>
    <n v="56134.41"/>
    <n v="336806.46"/>
  </r>
  <r>
    <s v="2026-02-07"/>
    <s v="Clínica Ortopédica Central"/>
    <x v="1"/>
    <x v="1"/>
    <x v="3"/>
    <s v="Desfibrilador Externo"/>
    <n v="7"/>
    <n v="29438.51"/>
    <n v="206069.57"/>
  </r>
  <r>
    <s v="2026-02-07"/>
    <s v="Rede Saúde Total"/>
    <x v="2"/>
    <x v="0"/>
    <x v="2"/>
    <s v="Monitor de Pressão Arterial 24h"/>
    <n v="9"/>
    <n v="50357.599999999999"/>
    <n v="453218.4"/>
  </r>
  <r>
    <s v="2026-02-07"/>
    <s v="Rede Saúde Total"/>
    <x v="4"/>
    <x v="2"/>
    <x v="3"/>
    <s v="Ventilador Pulmonar"/>
    <n v="8"/>
    <n v="29419.47"/>
    <n v="235355.76"/>
  </r>
  <r>
    <s v="2026-02-07"/>
    <s v="Rede Saúde Total"/>
    <x v="1"/>
    <x v="3"/>
    <x v="0"/>
    <s v="Poltrona de Coleta"/>
    <n v="6"/>
    <n v="9689.2800000000007"/>
    <n v="58135.68"/>
  </r>
  <r>
    <s v="2026-02-07"/>
    <s v="Rede Saúde Total"/>
    <x v="4"/>
    <x v="3"/>
    <x v="3"/>
    <s v="Bomba de Infusão"/>
    <n v="3"/>
    <n v="33668.53"/>
    <n v="101005.59"/>
  </r>
  <r>
    <s v="2026-02-08"/>
    <s v="Rede Saúde Total"/>
    <x v="3"/>
    <x v="3"/>
    <x v="3"/>
    <s v="Monitor Multiparamétrico"/>
    <n v="8"/>
    <n v="35903.64"/>
    <n v="287229.12"/>
  </r>
  <r>
    <s v="2026-02-08"/>
    <s v="Clínica Ortopédica Central"/>
    <x v="4"/>
    <x v="3"/>
    <x v="3"/>
    <s v="Monitor Multiparamétrico"/>
    <n v="7"/>
    <n v="29796.78"/>
    <n v="208577.46"/>
  </r>
  <r>
    <s v="2026-02-08"/>
    <s v="Clínica Ortopédica Central"/>
    <x v="1"/>
    <x v="4"/>
    <x v="3"/>
    <s v="Monitor Multiparamétrico"/>
    <n v="3"/>
    <n v="36744.04"/>
    <n v="110232.12"/>
  </r>
  <r>
    <s v="2026-02-08"/>
    <s v="Hospital Santa Maria"/>
    <x v="2"/>
    <x v="1"/>
    <x v="2"/>
    <s v="Eletrocardiógrafo"/>
    <n v="9"/>
    <n v="56171.14"/>
    <n v="505540.26"/>
  </r>
  <r>
    <s v="2026-02-08"/>
    <s v="Centro Médico Avançado"/>
    <x v="3"/>
    <x v="1"/>
    <x v="3"/>
    <s v="Bomba de Infusão"/>
    <n v="2"/>
    <n v="35720.33"/>
    <n v="71440.66"/>
  </r>
  <r>
    <s v="2026-02-08"/>
    <s v="Clínica Vida"/>
    <x v="1"/>
    <x v="4"/>
    <x v="2"/>
    <s v="Eletrocardiógrafo"/>
    <n v="3"/>
    <n v="47132.639999999999"/>
    <n v="141397.92000000001"/>
  </r>
  <r>
    <s v="2026-02-09"/>
    <s v="Hospital Metropolitano"/>
    <x v="3"/>
    <x v="0"/>
    <x v="3"/>
    <s v="Bomba de Infusão"/>
    <n v="2"/>
    <n v="39016.629999999997"/>
    <n v="78033.259999999995"/>
  </r>
  <r>
    <s v="2026-02-09"/>
    <s v="Rede Saúde Total"/>
    <x v="0"/>
    <x v="0"/>
    <x v="1"/>
    <s v="Bisturi Eletrônico"/>
    <n v="1"/>
    <n v="23977.54"/>
    <n v="23977.54"/>
  </r>
  <r>
    <s v="2026-02-09"/>
    <s v="Hospital São Lucas"/>
    <x v="4"/>
    <x v="3"/>
    <x v="0"/>
    <s v="Poltrona de Coleta"/>
    <n v="4"/>
    <n v="9706.74"/>
    <n v="38826.959999999999"/>
  </r>
  <r>
    <s v="2026-02-09"/>
    <s v="Hospital Metropolitano"/>
    <x v="0"/>
    <x v="2"/>
    <x v="3"/>
    <s v="Bomba de Infusão"/>
    <n v="5"/>
    <n v="38575.96"/>
    <n v="192879.8"/>
  </r>
  <r>
    <s v="2026-02-09"/>
    <s v="Clínica Ortopédica Central"/>
    <x v="1"/>
    <x v="0"/>
    <x v="1"/>
    <s v="Bisturi Eletrônico"/>
    <n v="6"/>
    <n v="24490.76"/>
    <n v="146944.56"/>
  </r>
  <r>
    <s v="2026-02-09"/>
    <s v="Hospital São Lucas"/>
    <x v="2"/>
    <x v="2"/>
    <x v="3"/>
    <s v="Bomba de Infusão"/>
    <n v="5"/>
    <n v="32960.82"/>
    <n v="164804.1"/>
  </r>
  <r>
    <s v="2026-02-10"/>
    <s v="Hospital São Lucas"/>
    <x v="3"/>
    <x v="1"/>
    <x v="3"/>
    <s v="Bomba de Infusão"/>
    <n v="1"/>
    <n v="29820.41"/>
    <n v="29820.41"/>
  </r>
  <r>
    <s v="2026-02-10"/>
    <s v="Hospital São Lucas"/>
    <x v="4"/>
    <x v="2"/>
    <x v="3"/>
    <s v="Monitor Multiparamétrico"/>
    <n v="3"/>
    <n v="34451.43"/>
    <n v="103354.29"/>
  </r>
  <r>
    <s v="2026-02-10"/>
    <s v="Hospital Santa Maria"/>
    <x v="3"/>
    <x v="1"/>
    <x v="1"/>
    <s v="Bisturi Eletrônico"/>
    <n v="1"/>
    <n v="31074.880000000001"/>
    <n v="31074.880000000001"/>
  </r>
  <r>
    <s v="2026-02-10"/>
    <s v="Clínica Ortopédica Central"/>
    <x v="1"/>
    <x v="4"/>
    <x v="0"/>
    <s v="Poltrona de Coleta"/>
    <n v="5"/>
    <n v="8253.92"/>
    <n v="41269.599999999999"/>
  </r>
  <r>
    <s v="2026-02-10"/>
    <s v="Hospital São Lucas"/>
    <x v="3"/>
    <x v="4"/>
    <x v="1"/>
    <s v="Aspirador Cirúrgico de Secreção"/>
    <n v="5"/>
    <n v="28951.79"/>
    <n v="144758.95000000001"/>
  </r>
  <r>
    <s v="2026-02-10"/>
    <s v="Rede Saúde Total"/>
    <x v="4"/>
    <x v="3"/>
    <x v="0"/>
    <s v="Poltrona de Coleta"/>
    <n v="6"/>
    <n v="8174.75"/>
    <n v="49048.5"/>
  </r>
  <r>
    <s v="2026-02-11"/>
    <s v="Hospital Regional"/>
    <x v="1"/>
    <x v="0"/>
    <x v="3"/>
    <s v="Ventilador Pulmonar"/>
    <n v="8"/>
    <n v="31928.21"/>
    <n v="255425.68"/>
  </r>
  <r>
    <s v="2026-02-11"/>
    <s v="Hospital São Lucas"/>
    <x v="3"/>
    <x v="3"/>
    <x v="2"/>
    <s v="Aparelho de Raio-X Móvel"/>
    <n v="1"/>
    <n v="41121.72"/>
    <n v="41121.72"/>
  </r>
  <r>
    <s v="2026-02-11"/>
    <s v="Hospital Santa Maria"/>
    <x v="2"/>
    <x v="1"/>
    <x v="3"/>
    <s v="Bomba de Infusão"/>
    <n v="4"/>
    <n v="38535.160000000003"/>
    <n v="154140.64000000001"/>
  </r>
  <r>
    <s v="2026-02-11"/>
    <s v="Hospital Metropolitano"/>
    <x v="1"/>
    <x v="3"/>
    <x v="0"/>
    <s v="Cama Hospitalar Elétrica"/>
    <n v="1"/>
    <n v="7259.04"/>
    <n v="7259.04"/>
  </r>
  <r>
    <s v="2026-02-11"/>
    <s v="Clínica Ortopédica Central"/>
    <x v="1"/>
    <x v="2"/>
    <x v="1"/>
    <s v="Bisturi Eletrônico"/>
    <n v="9"/>
    <n v="33682.980000000003"/>
    <n v="303146.82"/>
  </r>
  <r>
    <s v="2026-02-11"/>
    <s v="Centro Médico Avançado"/>
    <x v="2"/>
    <x v="1"/>
    <x v="3"/>
    <s v="Ventilador Pulmonar"/>
    <n v="7"/>
    <n v="34517.49"/>
    <n v="241622.43"/>
  </r>
  <r>
    <s v="2026-02-11"/>
    <s v="Hospital Santa Maria"/>
    <x v="0"/>
    <x v="4"/>
    <x v="1"/>
    <s v="Foco Cirúrgico LED"/>
    <n v="7"/>
    <n v="27514.57"/>
    <n v="192601.99"/>
  </r>
  <r>
    <s v="2026-02-12"/>
    <s v="Hospital São Lucas"/>
    <x v="4"/>
    <x v="0"/>
    <x v="1"/>
    <s v="Aspirador Cirúrgico de Secreção"/>
    <n v="5"/>
    <n v="31898.240000000002"/>
    <n v="159491.20000000001"/>
  </r>
  <r>
    <s v="2026-02-12"/>
    <s v="Clínica Ortopédica Central"/>
    <x v="0"/>
    <x v="1"/>
    <x v="1"/>
    <s v="Aspirador Cirúrgico de Secreção"/>
    <n v="7"/>
    <n v="29486.82"/>
    <n v="206407.74"/>
  </r>
  <r>
    <s v="2026-02-12"/>
    <s v="Hospital Regional"/>
    <x v="3"/>
    <x v="1"/>
    <x v="3"/>
    <s v="Ventilador Pulmonar"/>
    <n v="2"/>
    <n v="33588.589999999997"/>
    <n v="67177.179999999993"/>
  </r>
  <r>
    <s v="2026-02-12"/>
    <s v="Hospital São Lucas"/>
    <x v="2"/>
    <x v="2"/>
    <x v="1"/>
    <s v="Aspirador Cirúrgico de Secreção"/>
    <n v="4"/>
    <n v="25033.59"/>
    <n v="100134.36"/>
  </r>
  <r>
    <s v="2026-02-12"/>
    <s v="Hospital Santa Maria"/>
    <x v="0"/>
    <x v="0"/>
    <x v="1"/>
    <s v="Foco Cirúrgico LED"/>
    <n v="7"/>
    <n v="28162.58"/>
    <n v="197138.06"/>
  </r>
  <r>
    <s v="2026-02-12"/>
    <s v="Clínica Vida"/>
    <x v="1"/>
    <x v="4"/>
    <x v="3"/>
    <s v="Monitor Multiparamétrico"/>
    <n v="3"/>
    <n v="30285.62"/>
    <n v="90856.86"/>
  </r>
  <r>
    <s v="2026-02-13"/>
    <s v="Rede Saúde Total"/>
    <x v="3"/>
    <x v="1"/>
    <x v="1"/>
    <s v="Aspirador Cirúrgico de Secreção"/>
    <n v="2"/>
    <n v="23975.79"/>
    <n v="47951.58"/>
  </r>
  <r>
    <s v="2026-02-13"/>
    <s v="Centro Médico Avançado"/>
    <x v="3"/>
    <x v="1"/>
    <x v="3"/>
    <s v="Desfibrilador Externo"/>
    <n v="2"/>
    <n v="31809.279999999999"/>
    <n v="63618.559999999998"/>
  </r>
  <r>
    <s v="2026-02-13"/>
    <s v="Hospital Metropolitano"/>
    <x v="0"/>
    <x v="2"/>
    <x v="0"/>
    <s v="Poltrona de Coleta"/>
    <n v="1"/>
    <n v="7530.4"/>
    <n v="7530.4"/>
  </r>
  <r>
    <s v="2026-02-13"/>
    <s v="Hospital Santa Maria"/>
    <x v="0"/>
    <x v="3"/>
    <x v="0"/>
    <s v="Maca de Transporte"/>
    <n v="5"/>
    <n v="8098.22"/>
    <n v="40491.1"/>
  </r>
  <r>
    <s v="2026-02-13"/>
    <s v="Clínica Ortopédica Central"/>
    <x v="2"/>
    <x v="4"/>
    <x v="0"/>
    <s v="Cama Hospitalar Elétrica"/>
    <n v="6"/>
    <n v="7539.56"/>
    <n v="45237.36"/>
  </r>
  <r>
    <s v="2026-02-13"/>
    <s v="Centro Médico Avançado"/>
    <x v="4"/>
    <x v="0"/>
    <x v="1"/>
    <s v="Bisturi Eletrônico"/>
    <n v="6"/>
    <n v="24930.55"/>
    <n v="149583.29999999999"/>
  </r>
  <r>
    <s v="2026-02-14"/>
    <s v="Centro Médico Avançado"/>
    <x v="0"/>
    <x v="1"/>
    <x v="2"/>
    <s v="Monitor de Pressão Arterial 24h"/>
    <n v="9"/>
    <n v="41832.199999999997"/>
    <n v="376489.8"/>
  </r>
  <r>
    <s v="2026-02-14"/>
    <s v="Centro Médico Avançado"/>
    <x v="0"/>
    <x v="1"/>
    <x v="2"/>
    <s v="Ultrassom Portátil"/>
    <n v="4"/>
    <n v="56247.29"/>
    <n v="224989.16"/>
  </r>
  <r>
    <s v="2026-02-14"/>
    <s v="Hospital São Lucas"/>
    <x v="1"/>
    <x v="4"/>
    <x v="1"/>
    <s v="Mesa Cirúrgica Eletromecânica"/>
    <n v="1"/>
    <n v="23824.46"/>
    <n v="23824.46"/>
  </r>
  <r>
    <s v="2026-02-14"/>
    <s v="Rede Saúde Total"/>
    <x v="3"/>
    <x v="3"/>
    <x v="2"/>
    <s v="Eletrocardiógrafo"/>
    <n v="6"/>
    <n v="49746.11"/>
    <n v="298476.65999999997"/>
  </r>
  <r>
    <s v="2026-02-14"/>
    <s v="Hospital São Lucas"/>
    <x v="4"/>
    <x v="1"/>
    <x v="3"/>
    <s v="Desfibrilador Externo"/>
    <n v="5"/>
    <n v="29007.919999999998"/>
    <n v="145039.6"/>
  </r>
  <r>
    <s v="2026-02-14"/>
    <s v="Clínica Ortopédica Central"/>
    <x v="1"/>
    <x v="4"/>
    <x v="2"/>
    <s v="Aparelho de Raio-X Móvel"/>
    <n v="6"/>
    <n v="54821.31"/>
    <n v="328927.86"/>
  </r>
  <r>
    <s v="2026-02-15"/>
    <s v="Hospital São Lucas"/>
    <x v="2"/>
    <x v="2"/>
    <x v="1"/>
    <s v="Mesa Cirúrgica Eletromecânica"/>
    <n v="3"/>
    <n v="24848.69"/>
    <n v="74546.070000000007"/>
  </r>
  <r>
    <s v="2026-02-15"/>
    <s v="Clínica Vida"/>
    <x v="2"/>
    <x v="3"/>
    <x v="1"/>
    <s v="Bisturi Eletrônico"/>
    <n v="2"/>
    <n v="34496.71"/>
    <n v="68993.42"/>
  </r>
  <r>
    <s v="2026-02-15"/>
    <s v="Rede Saúde Total"/>
    <x v="0"/>
    <x v="0"/>
    <x v="3"/>
    <s v="Ventilador Pulmonar"/>
    <n v="6"/>
    <n v="35019.86"/>
    <n v="210119.16"/>
  </r>
  <r>
    <s v="2026-02-15"/>
    <s v="Rede Saúde Total"/>
    <x v="0"/>
    <x v="1"/>
    <x v="0"/>
    <s v="Poltrona de Coleta"/>
    <n v="1"/>
    <n v="7229.31"/>
    <n v="7229.31"/>
  </r>
  <r>
    <s v="2026-02-15"/>
    <s v="Clínica Ortopédica Central"/>
    <x v="2"/>
    <x v="4"/>
    <x v="1"/>
    <s v="Aspirador Cirúrgico de Secreção"/>
    <n v="7"/>
    <n v="33812.879999999997"/>
    <n v="236690.16"/>
  </r>
  <r>
    <s v="2026-02-15"/>
    <s v="Hospital Metropolitano"/>
    <x v="0"/>
    <x v="2"/>
    <x v="3"/>
    <s v="Ventilador Pulmonar"/>
    <n v="7"/>
    <n v="33877.910000000003"/>
    <n v="237145.37"/>
  </r>
  <r>
    <s v="2026-02-16"/>
    <s v="Clínica Vida"/>
    <x v="4"/>
    <x v="0"/>
    <x v="2"/>
    <s v="Ultrassom Portátil"/>
    <n v="7"/>
    <n v="42978.06"/>
    <n v="300846.42"/>
  </r>
  <r>
    <s v="2026-02-16"/>
    <s v="Hospital Santa Maria"/>
    <x v="0"/>
    <x v="4"/>
    <x v="2"/>
    <s v="Ultrassom Portátil"/>
    <n v="1"/>
    <n v="52061.03"/>
    <n v="52061.03"/>
  </r>
  <r>
    <s v="2026-02-16"/>
    <s v="Hospital São Lucas"/>
    <x v="3"/>
    <x v="4"/>
    <x v="3"/>
    <s v="Bomba de Infusão"/>
    <n v="4"/>
    <n v="39061.32"/>
    <n v="156245.28"/>
  </r>
  <r>
    <s v="2026-02-16"/>
    <s v="Hospital Regional"/>
    <x v="0"/>
    <x v="0"/>
    <x v="3"/>
    <s v="Bomba de Infusão"/>
    <n v="7"/>
    <n v="33391.24"/>
    <n v="233738.68"/>
  </r>
  <r>
    <s v="2026-02-16"/>
    <s v="Hospital São Lucas"/>
    <x v="1"/>
    <x v="2"/>
    <x v="1"/>
    <s v="Aspirador Cirúrgico de Secreção"/>
    <n v="9"/>
    <n v="27334.2"/>
    <n v="246007.8"/>
  </r>
  <r>
    <s v="2026-02-16"/>
    <s v="Centro Médico Avançado"/>
    <x v="4"/>
    <x v="2"/>
    <x v="2"/>
    <s v="Eletrocardiógrafo"/>
    <n v="5"/>
    <n v="52451.01"/>
    <n v="262255.05"/>
  </r>
  <r>
    <s v="2026-02-17"/>
    <s v="Hospital São Lucas"/>
    <x v="1"/>
    <x v="3"/>
    <x v="3"/>
    <s v="Monitor Multiparamétrico"/>
    <n v="2"/>
    <n v="35926.85"/>
    <n v="71853.7"/>
  </r>
  <r>
    <s v="2026-02-17"/>
    <s v="Hospital Santa Maria"/>
    <x v="1"/>
    <x v="1"/>
    <x v="2"/>
    <s v="Monitor de Pressão Arterial 24h"/>
    <n v="7"/>
    <n v="54247.54"/>
    <n v="379732.78"/>
  </r>
  <r>
    <s v="2026-02-17"/>
    <s v="Hospital São Lucas"/>
    <x v="3"/>
    <x v="0"/>
    <x v="3"/>
    <s v="Bomba de Infusão"/>
    <n v="1"/>
    <n v="36064.18"/>
    <n v="36064.18"/>
  </r>
  <r>
    <s v="2026-02-17"/>
    <s v="Clínica Vida"/>
    <x v="4"/>
    <x v="0"/>
    <x v="2"/>
    <s v="Ultrassom Portátil"/>
    <n v="7"/>
    <n v="42633.51"/>
    <n v="298434.57"/>
  </r>
  <r>
    <s v="2026-02-17"/>
    <s v="Clínica Vida"/>
    <x v="4"/>
    <x v="0"/>
    <x v="0"/>
    <s v="Maca de Transporte"/>
    <n v="6"/>
    <n v="10392.64"/>
    <n v="62355.839999999997"/>
  </r>
  <r>
    <s v="2026-02-17"/>
    <s v="Rede Saúde Total"/>
    <x v="4"/>
    <x v="2"/>
    <x v="1"/>
    <s v="Foco Cirúrgico LED"/>
    <n v="7"/>
    <n v="24974.16"/>
    <n v="174819.12"/>
  </r>
  <r>
    <s v="2026-02-17"/>
    <s v="Clínica Ortopédica Central"/>
    <x v="4"/>
    <x v="1"/>
    <x v="2"/>
    <s v="Monitor de Pressão Arterial 24h"/>
    <n v="3"/>
    <n v="43072.97"/>
    <n v="129218.91"/>
  </r>
  <r>
    <s v="2026-02-18"/>
    <s v="Hospital Metropolitano"/>
    <x v="4"/>
    <x v="3"/>
    <x v="0"/>
    <s v="Cama Hospitalar Elétrica"/>
    <n v="3"/>
    <n v="8993.66"/>
    <n v="26980.98"/>
  </r>
  <r>
    <s v="2026-02-18"/>
    <s v="Hospital Regional"/>
    <x v="3"/>
    <x v="4"/>
    <x v="2"/>
    <s v="Eletrocardiógrafo"/>
    <n v="7"/>
    <n v="48433.36"/>
    <n v="339033.52"/>
  </r>
  <r>
    <s v="2026-02-18"/>
    <s v="Centro Médico Avançado"/>
    <x v="0"/>
    <x v="4"/>
    <x v="2"/>
    <s v="Eletrocardiógrafo"/>
    <n v="2"/>
    <n v="38525.589999999997"/>
    <n v="77051.179999999993"/>
  </r>
  <r>
    <s v="2026-02-18"/>
    <s v="Hospital São Lucas"/>
    <x v="1"/>
    <x v="0"/>
    <x v="0"/>
    <s v="Poltrona de Coleta"/>
    <n v="1"/>
    <n v="9878.9500000000007"/>
    <n v="9878.9500000000007"/>
  </r>
  <r>
    <s v="2026-02-18"/>
    <s v="Hospital São Lucas"/>
    <x v="4"/>
    <x v="1"/>
    <x v="2"/>
    <s v="Ultrassom Portátil"/>
    <n v="9"/>
    <n v="44758.93"/>
    <n v="402830.37"/>
  </r>
  <r>
    <s v="2026-02-18"/>
    <s v="Hospital Santa Maria"/>
    <x v="0"/>
    <x v="2"/>
    <x v="2"/>
    <s v="Monitor de Pressão Arterial 24h"/>
    <n v="9"/>
    <n v="45565.53"/>
    <n v="410089.77"/>
  </r>
  <r>
    <s v="2026-02-19"/>
    <s v="Clínica Ortopédica Central"/>
    <x v="0"/>
    <x v="1"/>
    <x v="1"/>
    <s v="Foco Cirúrgico LED"/>
    <n v="7"/>
    <n v="32864.94"/>
    <n v="230054.58"/>
  </r>
  <r>
    <s v="2026-02-19"/>
    <s v="Clínica Vida"/>
    <x v="1"/>
    <x v="1"/>
    <x v="0"/>
    <s v="Maca de Transporte"/>
    <n v="7"/>
    <n v="8514.56"/>
    <n v="59601.919999999998"/>
  </r>
  <r>
    <s v="2026-02-19"/>
    <s v="Hospital Regional"/>
    <x v="3"/>
    <x v="2"/>
    <x v="0"/>
    <s v="Carro de Emergência (Crash Cart)"/>
    <n v="3"/>
    <n v="7385.56"/>
    <n v="22156.68"/>
  </r>
  <r>
    <s v="2026-02-19"/>
    <s v="Rede Saúde Total"/>
    <x v="2"/>
    <x v="0"/>
    <x v="3"/>
    <s v="Desfibrilador Externo"/>
    <n v="2"/>
    <n v="29458.43"/>
    <n v="58916.86"/>
  </r>
  <r>
    <s v="2026-02-19"/>
    <s v="Clínica Vida"/>
    <x v="2"/>
    <x v="1"/>
    <x v="2"/>
    <s v="Aparelho de Raio-X Móvel"/>
    <n v="7"/>
    <n v="55456.26"/>
    <n v="388193.82"/>
  </r>
  <r>
    <s v="2026-02-19"/>
    <s v="Centro Médico Avançado"/>
    <x v="0"/>
    <x v="4"/>
    <x v="1"/>
    <s v="Mesa Cirúrgica Eletromecânica"/>
    <n v="9"/>
    <n v="24588.54"/>
    <n v="221296.86"/>
  </r>
  <r>
    <s v="2026-02-20"/>
    <s v="Clínica Ortopédica Central"/>
    <x v="1"/>
    <x v="2"/>
    <x v="2"/>
    <s v="Monitor de Pressão Arterial 24h"/>
    <n v="1"/>
    <n v="44638.76"/>
    <n v="44638.76"/>
  </r>
  <r>
    <s v="2026-02-20"/>
    <s v="Centro Médico Avançado"/>
    <x v="2"/>
    <x v="3"/>
    <x v="2"/>
    <s v="Monitor de Pressão Arterial 24h"/>
    <n v="4"/>
    <n v="47307.23"/>
    <n v="189228.92"/>
  </r>
  <r>
    <s v="2026-02-20"/>
    <s v="Hospital Metropolitano"/>
    <x v="0"/>
    <x v="0"/>
    <x v="3"/>
    <s v="Monitor Multiparamétrico"/>
    <n v="6"/>
    <n v="33513.99"/>
    <n v="201083.94"/>
  </r>
  <r>
    <s v="2026-02-20"/>
    <s v="Rede Saúde Total"/>
    <x v="3"/>
    <x v="2"/>
    <x v="2"/>
    <s v="Ultrassom Portátil"/>
    <n v="7"/>
    <n v="38321.279999999999"/>
    <n v="268248.96000000002"/>
  </r>
  <r>
    <s v="2026-02-20"/>
    <s v="Hospital Metropolitano"/>
    <x v="2"/>
    <x v="3"/>
    <x v="1"/>
    <s v="Mesa Cirúrgica Eletromecânica"/>
    <n v="7"/>
    <n v="29413.02"/>
    <n v="205891.14"/>
  </r>
  <r>
    <s v="2026-02-20"/>
    <s v="Hospital Santa Maria"/>
    <x v="0"/>
    <x v="3"/>
    <x v="1"/>
    <s v="Aspirador Cirúrgico de Secreção"/>
    <n v="2"/>
    <n v="28098.25"/>
    <n v="56196.5"/>
  </r>
  <r>
    <s v="2026-02-21"/>
    <s v="Centro Médico Avançado"/>
    <x v="0"/>
    <x v="1"/>
    <x v="3"/>
    <s v="Monitor Multiparamétrico"/>
    <n v="4"/>
    <n v="39642.620000000003"/>
    <n v="158570.48000000001"/>
  </r>
  <r>
    <s v="2026-02-21"/>
    <s v="Hospital Santa Maria"/>
    <x v="4"/>
    <x v="1"/>
    <x v="2"/>
    <s v="Ultrassom Portátil"/>
    <n v="5"/>
    <n v="41114.86"/>
    <n v="205574.3"/>
  </r>
  <r>
    <s v="2026-02-21"/>
    <s v="Hospital São Lucas"/>
    <x v="3"/>
    <x v="1"/>
    <x v="1"/>
    <s v="Bisturi Eletrônico"/>
    <n v="1"/>
    <n v="27766.53"/>
    <n v="27766.53"/>
  </r>
  <r>
    <s v="2026-02-21"/>
    <s v="Hospital Metropolitano"/>
    <x v="4"/>
    <x v="2"/>
    <x v="2"/>
    <s v="Eletrocardiógrafo"/>
    <n v="1"/>
    <n v="45800.67"/>
    <n v="45800.67"/>
  </r>
  <r>
    <s v="2026-02-21"/>
    <s v="Clínica Ortopédica Central"/>
    <x v="1"/>
    <x v="2"/>
    <x v="2"/>
    <s v="Aparelho de Raio-X Móvel"/>
    <n v="3"/>
    <n v="45282.48"/>
    <n v="135847.44"/>
  </r>
  <r>
    <s v="2026-02-21"/>
    <s v="Centro Médico Avançado"/>
    <x v="4"/>
    <x v="0"/>
    <x v="2"/>
    <s v="Ultrassom Portátil"/>
    <n v="3"/>
    <n v="50234.95"/>
    <n v="150704.85"/>
  </r>
  <r>
    <s v="2026-02-22"/>
    <s v="Hospital Regional"/>
    <x v="4"/>
    <x v="1"/>
    <x v="3"/>
    <s v="Bomba de Infusão"/>
    <n v="8"/>
    <n v="29958.560000000001"/>
    <n v="239668.48000000001"/>
  </r>
  <r>
    <s v="2026-02-22"/>
    <s v="Rede Saúde Total"/>
    <x v="2"/>
    <x v="3"/>
    <x v="2"/>
    <s v="Aparelho de Raio-X Móvel"/>
    <n v="9"/>
    <n v="42229.29"/>
    <n v="380063.61"/>
  </r>
  <r>
    <s v="2026-02-22"/>
    <s v="Clínica Vida"/>
    <x v="0"/>
    <x v="4"/>
    <x v="1"/>
    <s v="Mesa Cirúrgica Eletromecânica"/>
    <n v="1"/>
    <n v="31967.16"/>
    <n v="31967.16"/>
  </r>
  <r>
    <s v="2026-02-22"/>
    <s v="Clínica Ortopédica Central"/>
    <x v="3"/>
    <x v="0"/>
    <x v="2"/>
    <s v="Ultrassom Portátil"/>
    <n v="2"/>
    <n v="47255.23"/>
    <n v="94510.46"/>
  </r>
  <r>
    <s v="2026-02-22"/>
    <s v="Clínica Ortopédica Central"/>
    <x v="4"/>
    <x v="2"/>
    <x v="1"/>
    <s v="Aspirador Cirúrgico de Secreção"/>
    <n v="2"/>
    <n v="28449.74"/>
    <n v="56899.48"/>
  </r>
  <r>
    <s v="2026-02-22"/>
    <s v="Hospital Santa Maria"/>
    <x v="3"/>
    <x v="0"/>
    <x v="2"/>
    <s v="Aparelho de Raio-X Móvel"/>
    <n v="4"/>
    <n v="41295.65"/>
    <n v="165182.6"/>
  </r>
  <r>
    <s v="2026-02-23"/>
    <s v="Hospital Metropolitano"/>
    <x v="4"/>
    <x v="0"/>
    <x v="1"/>
    <s v="Aspirador Cirúrgico de Secreção"/>
    <n v="2"/>
    <n v="25900.3"/>
    <n v="51800.6"/>
  </r>
  <r>
    <s v="2026-02-23"/>
    <s v="Centro Médico Avançado"/>
    <x v="1"/>
    <x v="0"/>
    <x v="1"/>
    <s v="Aspirador Cirúrgico de Secreção"/>
    <n v="7"/>
    <n v="23918.18"/>
    <n v="167427.26"/>
  </r>
  <r>
    <s v="2026-02-23"/>
    <s v="Centro Médico Avançado"/>
    <x v="4"/>
    <x v="0"/>
    <x v="2"/>
    <s v="Eletrocardiógrafo"/>
    <n v="9"/>
    <n v="39895.67"/>
    <n v="359061.03"/>
  </r>
  <r>
    <s v="2026-02-23"/>
    <s v="Hospital São Lucas"/>
    <x v="2"/>
    <x v="4"/>
    <x v="2"/>
    <s v="Monitor de Pressão Arterial 24h"/>
    <n v="7"/>
    <n v="48273.1"/>
    <n v="337911.7"/>
  </r>
  <r>
    <s v="2026-02-23"/>
    <s v="Hospital São Lucas"/>
    <x v="0"/>
    <x v="1"/>
    <x v="1"/>
    <s v="Foco Cirúrgico LED"/>
    <n v="6"/>
    <n v="33788.980000000003"/>
    <n v="202733.88"/>
  </r>
  <r>
    <s v="2026-02-23"/>
    <s v="Rede Saúde Total"/>
    <x v="1"/>
    <x v="3"/>
    <x v="0"/>
    <s v="Carro de Emergência (Crash Cart)"/>
    <n v="1"/>
    <n v="8201.36"/>
    <n v="8201.36"/>
  </r>
  <r>
    <s v="2026-02-23"/>
    <s v="Hospital Santa Maria"/>
    <x v="4"/>
    <x v="0"/>
    <x v="3"/>
    <s v="Bomba de Infusão"/>
    <n v="9"/>
    <n v="31395.16"/>
    <n v="282556.44"/>
  </r>
  <r>
    <s v="2026-02-24"/>
    <s v="Clínica Ortopédica Central"/>
    <x v="3"/>
    <x v="0"/>
    <x v="0"/>
    <s v="Carro de Emergência (Crash Cart)"/>
    <n v="5"/>
    <n v="7618.06"/>
    <n v="38090.300000000003"/>
  </r>
  <r>
    <s v="2026-02-24"/>
    <s v="Centro Médico Avançado"/>
    <x v="1"/>
    <x v="0"/>
    <x v="0"/>
    <s v="Maca de Transporte"/>
    <n v="5"/>
    <n v="8546.35"/>
    <n v="42731.75"/>
  </r>
  <r>
    <s v="2026-02-24"/>
    <s v="Hospital Regional"/>
    <x v="1"/>
    <x v="1"/>
    <x v="2"/>
    <s v="Aparelho de Raio-X Móvel"/>
    <n v="6"/>
    <n v="38919.99"/>
    <n v="233519.94"/>
  </r>
  <r>
    <s v="2026-02-24"/>
    <s v="Hospital Santa Maria"/>
    <x v="4"/>
    <x v="2"/>
    <x v="3"/>
    <s v="Desfibrilador Externo"/>
    <n v="9"/>
    <n v="38945.29"/>
    <n v="350507.61"/>
  </r>
  <r>
    <s v="2026-02-24"/>
    <s v="Rede Saúde Total"/>
    <x v="1"/>
    <x v="2"/>
    <x v="0"/>
    <s v="Carro de Emergência (Crash Cart)"/>
    <n v="8"/>
    <n v="9513.58"/>
    <n v="76108.639999999999"/>
  </r>
  <r>
    <s v="2026-02-24"/>
    <s v="Rede Saúde Total"/>
    <x v="3"/>
    <x v="4"/>
    <x v="2"/>
    <s v="Eletrocardiógrafo"/>
    <n v="8"/>
    <n v="56083.48"/>
    <n v="448667.84"/>
  </r>
  <r>
    <s v="2026-02-25"/>
    <s v="Hospital Santa Maria"/>
    <x v="1"/>
    <x v="2"/>
    <x v="0"/>
    <s v="Cama Hospitalar Elétrica"/>
    <n v="8"/>
    <n v="10226.6"/>
    <n v="81812.800000000003"/>
  </r>
  <r>
    <s v="2026-02-25"/>
    <s v="Rede Saúde Total"/>
    <x v="3"/>
    <x v="0"/>
    <x v="0"/>
    <s v="Poltrona de Coleta"/>
    <n v="1"/>
    <n v="8833.17"/>
    <n v="8833.17"/>
  </r>
  <r>
    <s v="2026-02-25"/>
    <s v="Hospital Santa Maria"/>
    <x v="4"/>
    <x v="0"/>
    <x v="2"/>
    <s v="Ultrassom Portátil"/>
    <n v="1"/>
    <n v="47604.33"/>
    <n v="47604.33"/>
  </r>
  <r>
    <s v="2026-02-25"/>
    <s v="Clínica Vida"/>
    <x v="0"/>
    <x v="0"/>
    <x v="2"/>
    <s v="Monitor de Pressão Arterial 24h"/>
    <n v="8"/>
    <n v="41680.370000000003"/>
    <n v="333442.96000000002"/>
  </r>
  <r>
    <s v="2026-02-25"/>
    <s v="Hospital Santa Maria"/>
    <x v="1"/>
    <x v="4"/>
    <x v="2"/>
    <s v="Monitor de Pressão Arterial 24h"/>
    <n v="5"/>
    <n v="46566.71"/>
    <n v="232833.55"/>
  </r>
  <r>
    <s v="2026-02-25"/>
    <s v="Hospital Metropolitano"/>
    <x v="0"/>
    <x v="0"/>
    <x v="3"/>
    <s v="Monitor Multiparamétrico"/>
    <n v="9"/>
    <n v="38758.76"/>
    <n v="348828.84"/>
  </r>
  <r>
    <s v="2026-02-26"/>
    <s v="Hospital Santa Maria"/>
    <x v="3"/>
    <x v="2"/>
    <x v="0"/>
    <s v="Maca de Transporte"/>
    <n v="2"/>
    <n v="7397.9"/>
    <n v="14795.8"/>
  </r>
  <r>
    <s v="2026-02-26"/>
    <s v="Rede Saúde Total"/>
    <x v="1"/>
    <x v="1"/>
    <x v="2"/>
    <s v="Ultrassom Portátil"/>
    <n v="9"/>
    <n v="53794.02"/>
    <n v="484146.18"/>
  </r>
  <r>
    <s v="2026-02-26"/>
    <s v="Centro Médico Avançado"/>
    <x v="2"/>
    <x v="1"/>
    <x v="1"/>
    <s v="Aspirador Cirúrgico de Secreção"/>
    <n v="8"/>
    <n v="27618.62"/>
    <n v="220948.96"/>
  </r>
  <r>
    <s v="2026-02-26"/>
    <s v="Hospital Metropolitano"/>
    <x v="0"/>
    <x v="3"/>
    <x v="0"/>
    <s v="Carro de Emergência (Crash Cart)"/>
    <n v="9"/>
    <n v="10283.34"/>
    <n v="92550.06"/>
  </r>
  <r>
    <s v="2026-02-26"/>
    <s v="Rede Saúde Total"/>
    <x v="1"/>
    <x v="2"/>
    <x v="1"/>
    <s v="Mesa Cirúrgica Eletromecânica"/>
    <n v="4"/>
    <n v="34337.85"/>
    <n v="137351.4"/>
  </r>
  <r>
    <s v="2026-02-26"/>
    <s v="Hospital São Lucas"/>
    <x v="0"/>
    <x v="0"/>
    <x v="3"/>
    <s v="Bomba de Infusão"/>
    <n v="1"/>
    <n v="35787.07"/>
    <n v="35787.07"/>
  </r>
  <r>
    <s v="2026-02-27"/>
    <s v="Hospital São Lucas"/>
    <x v="1"/>
    <x v="1"/>
    <x v="2"/>
    <s v="Ultrassom Portátil"/>
    <n v="1"/>
    <n v="50209.63"/>
    <n v="50209.63"/>
  </r>
  <r>
    <s v="2026-02-27"/>
    <s v="Centro Médico Avançado"/>
    <x v="4"/>
    <x v="2"/>
    <x v="1"/>
    <s v="Mesa Cirúrgica Eletromecânica"/>
    <n v="5"/>
    <n v="28870.85"/>
    <n v="144354.25"/>
  </r>
  <r>
    <s v="2026-02-27"/>
    <s v="Centro Médico Avançado"/>
    <x v="0"/>
    <x v="1"/>
    <x v="3"/>
    <s v="Monitor Multiparamétrico"/>
    <n v="2"/>
    <n v="37894.910000000003"/>
    <n v="75789.820000000007"/>
  </r>
  <r>
    <s v="2026-02-27"/>
    <s v="Hospital Metropolitano"/>
    <x v="2"/>
    <x v="0"/>
    <x v="2"/>
    <s v="Monitor de Pressão Arterial 24h"/>
    <n v="8"/>
    <n v="55559.03"/>
    <n v="444472.24"/>
  </r>
  <r>
    <s v="2026-02-27"/>
    <s v="Clínica Vida"/>
    <x v="2"/>
    <x v="1"/>
    <x v="1"/>
    <s v="Foco Cirúrgico LED"/>
    <n v="5"/>
    <n v="32480.92"/>
    <n v="162404.6"/>
  </r>
  <r>
    <s v="2026-02-27"/>
    <s v="Centro Médico Avançado"/>
    <x v="3"/>
    <x v="3"/>
    <x v="1"/>
    <s v="Aspirador Cirúrgico de Secreção"/>
    <n v="5"/>
    <n v="30765.69"/>
    <n v="153828.45000000001"/>
  </r>
  <r>
    <s v="2026-02-28"/>
    <s v="Hospital São Lucas"/>
    <x v="1"/>
    <x v="3"/>
    <x v="3"/>
    <s v="Monitor Multiparamétrico"/>
    <n v="2"/>
    <n v="34966.949999999997"/>
    <n v="69933.899999999994"/>
  </r>
  <r>
    <s v="2026-02-28"/>
    <s v="Hospital Santa Maria"/>
    <x v="0"/>
    <x v="1"/>
    <x v="2"/>
    <s v="Ultrassom Portátil"/>
    <n v="7"/>
    <n v="53540.46"/>
    <n v="374783.22"/>
  </r>
  <r>
    <s v="2026-02-28"/>
    <s v="Rede Saúde Total"/>
    <x v="3"/>
    <x v="2"/>
    <x v="2"/>
    <s v="Aparelho de Raio-X Móvel"/>
    <n v="8"/>
    <n v="47991.67"/>
    <n v="383933.36"/>
  </r>
  <r>
    <s v="2026-02-28"/>
    <s v="Hospital São Lucas"/>
    <x v="0"/>
    <x v="2"/>
    <x v="1"/>
    <s v="Foco Cirúrgico LED"/>
    <n v="1"/>
    <n v="32803.230000000003"/>
    <n v="32803.230000000003"/>
  </r>
  <r>
    <s v="2026-02-28"/>
    <s v="Hospital São Lucas"/>
    <x v="1"/>
    <x v="2"/>
    <x v="1"/>
    <s v="Mesa Cirúrgica Eletromecânica"/>
    <n v="2"/>
    <n v="29499.51"/>
    <n v="58999.02"/>
  </r>
  <r>
    <s v="2026-02-28"/>
    <s v="Clínica Vida"/>
    <x v="2"/>
    <x v="1"/>
    <x v="1"/>
    <s v="Bisturi Eletrônico"/>
    <n v="4"/>
    <n v="24499.38"/>
    <n v="97997.52"/>
  </r>
  <r>
    <s v="2026-03-01"/>
    <s v="Hospital Metropolitano"/>
    <x v="4"/>
    <x v="2"/>
    <x v="2"/>
    <s v="Eletrocardiógrafo"/>
    <n v="5"/>
    <n v="45161.05"/>
    <n v="225805.25"/>
  </r>
  <r>
    <s v="2026-03-01"/>
    <s v="Hospital Metropolitano"/>
    <x v="2"/>
    <x v="0"/>
    <x v="3"/>
    <s v="Desfibrilador Externo"/>
    <n v="2"/>
    <n v="32888.839999999997"/>
    <n v="65777.679999999993"/>
  </r>
  <r>
    <s v="2026-03-01"/>
    <s v="Clínica Ortopédica Central"/>
    <x v="3"/>
    <x v="3"/>
    <x v="3"/>
    <s v="Bomba de Infusão"/>
    <n v="1"/>
    <n v="29012.7"/>
    <n v="29012.7"/>
  </r>
  <r>
    <s v="2026-03-01"/>
    <s v="Clínica Vida"/>
    <x v="4"/>
    <x v="0"/>
    <x v="2"/>
    <s v="Aparelho de Raio-X Móvel"/>
    <n v="9"/>
    <n v="40094.93"/>
    <n v="360854.37"/>
  </r>
  <r>
    <s v="2026-03-01"/>
    <s v="Hospital Santa Maria"/>
    <x v="3"/>
    <x v="2"/>
    <x v="0"/>
    <s v="Maca de Transporte"/>
    <n v="1"/>
    <n v="9045.58"/>
    <n v="9045.58"/>
  </r>
  <r>
    <s v="2026-03-01"/>
    <s v="Hospital Metropolitano"/>
    <x v="1"/>
    <x v="0"/>
    <x v="3"/>
    <s v="Bomba de Infusão"/>
    <n v="4"/>
    <n v="28289.84"/>
    <n v="113159.36"/>
  </r>
  <r>
    <s v="2026-03-01"/>
    <s v="Rede Saúde Total"/>
    <x v="4"/>
    <x v="2"/>
    <x v="1"/>
    <s v="Aspirador Cirúrgico de Secreção"/>
    <n v="2"/>
    <n v="27192.99"/>
    <n v="54385.98"/>
  </r>
  <r>
    <s v="2026-03-02"/>
    <s v="Centro Médico Avançado"/>
    <x v="3"/>
    <x v="1"/>
    <x v="0"/>
    <s v="Carro de Emergência (Crash Cart)"/>
    <n v="4"/>
    <n v="9756.6299999999992"/>
    <n v="39026.519999999997"/>
  </r>
  <r>
    <s v="2026-03-02"/>
    <s v="Clínica Vida"/>
    <x v="1"/>
    <x v="0"/>
    <x v="0"/>
    <s v="Cama Hospitalar Elétrica"/>
    <n v="8"/>
    <n v="10504.07"/>
    <n v="84032.56"/>
  </r>
  <r>
    <s v="2026-03-02"/>
    <s v="Centro Médico Avançado"/>
    <x v="2"/>
    <x v="1"/>
    <x v="3"/>
    <s v="Ventilador Pulmonar"/>
    <n v="8"/>
    <n v="36388.74"/>
    <n v="291109.92"/>
  </r>
  <r>
    <s v="2026-03-02"/>
    <s v="Hospital São Lucas"/>
    <x v="1"/>
    <x v="1"/>
    <x v="0"/>
    <s v="Cama Hospitalar Elétrica"/>
    <n v="9"/>
    <n v="10599.93"/>
    <n v="95399.37"/>
  </r>
  <r>
    <s v="2026-03-02"/>
    <s v="Rede Saúde Total"/>
    <x v="0"/>
    <x v="4"/>
    <x v="0"/>
    <s v="Carro de Emergência (Crash Cart)"/>
    <n v="5"/>
    <n v="9599.35"/>
    <n v="47996.75"/>
  </r>
  <r>
    <s v="2026-03-02"/>
    <s v="Rede Saúde Total"/>
    <x v="1"/>
    <x v="2"/>
    <x v="3"/>
    <s v="Bomba de Infusão"/>
    <n v="7"/>
    <n v="30960.57"/>
    <n v="216723.99"/>
  </r>
  <r>
    <s v="2026-03-03"/>
    <s v="Hospital São Lucas"/>
    <x v="1"/>
    <x v="3"/>
    <x v="3"/>
    <s v="Bomba de Infusão"/>
    <n v="3"/>
    <n v="35802.269999999997"/>
    <n v="107406.81"/>
  </r>
  <r>
    <s v="2026-03-03"/>
    <s v="Clínica Vida"/>
    <x v="0"/>
    <x v="2"/>
    <x v="0"/>
    <s v="Cama Hospitalar Elétrica"/>
    <n v="4"/>
    <n v="9612.33"/>
    <n v="38449.32"/>
  </r>
  <r>
    <s v="2026-03-03"/>
    <s v="Hospital São Lucas"/>
    <x v="3"/>
    <x v="3"/>
    <x v="1"/>
    <s v="Aspirador Cirúrgico de Secreção"/>
    <n v="9"/>
    <n v="27963.34"/>
    <n v="251670.06"/>
  </r>
  <r>
    <s v="2026-03-03"/>
    <s v="Centro Médico Avançado"/>
    <x v="3"/>
    <x v="2"/>
    <x v="2"/>
    <s v="Aparelho de Raio-X Móvel"/>
    <n v="1"/>
    <n v="38568.85"/>
    <n v="38568.85"/>
  </r>
  <r>
    <s v="2026-03-03"/>
    <s v="Clínica Ortopédica Central"/>
    <x v="1"/>
    <x v="1"/>
    <x v="0"/>
    <s v="Carro de Emergência (Crash Cart)"/>
    <n v="2"/>
    <n v="9615.8799999999992"/>
    <n v="19231.759999999998"/>
  </r>
  <r>
    <s v="2026-03-03"/>
    <s v="Rede Saúde Total"/>
    <x v="0"/>
    <x v="0"/>
    <x v="0"/>
    <s v="Poltrona de Coleta"/>
    <n v="5"/>
    <n v="7298.78"/>
    <n v="36493.9"/>
  </r>
  <r>
    <s v="2026-03-04"/>
    <s v="Hospital Regional"/>
    <x v="0"/>
    <x v="0"/>
    <x v="1"/>
    <s v="Mesa Cirúrgica Eletromecânica"/>
    <n v="3"/>
    <n v="30869.31"/>
    <n v="92607.93"/>
  </r>
  <r>
    <s v="2026-03-04"/>
    <s v="Hospital Regional"/>
    <x v="2"/>
    <x v="4"/>
    <x v="0"/>
    <s v="Maca de Transporte"/>
    <n v="2"/>
    <n v="7781.3"/>
    <n v="15562.6"/>
  </r>
  <r>
    <s v="2026-03-04"/>
    <s v="Centro Médico Avançado"/>
    <x v="3"/>
    <x v="3"/>
    <x v="0"/>
    <s v="Maca de Transporte"/>
    <n v="1"/>
    <n v="9148.0499999999993"/>
    <n v="9148.0499999999993"/>
  </r>
  <r>
    <s v="2026-03-04"/>
    <s v="Hospital Santa Maria"/>
    <x v="4"/>
    <x v="3"/>
    <x v="2"/>
    <s v="Monitor de Pressão Arterial 24h"/>
    <n v="3"/>
    <n v="47320.43"/>
    <n v="141961.29"/>
  </r>
  <r>
    <s v="2026-03-04"/>
    <s v="Hospital Metropolitano"/>
    <x v="3"/>
    <x v="3"/>
    <x v="2"/>
    <s v="Monitor de Pressão Arterial 24h"/>
    <n v="1"/>
    <n v="38493.25"/>
    <n v="38493.25"/>
  </r>
  <r>
    <s v="2026-03-04"/>
    <s v="Hospital São Lucas"/>
    <x v="3"/>
    <x v="1"/>
    <x v="2"/>
    <s v="Ultrassom Portátil"/>
    <n v="1"/>
    <n v="44781.58"/>
    <n v="44781.58"/>
  </r>
  <r>
    <s v="2026-03-05"/>
    <s v="Hospital São Lucas"/>
    <x v="2"/>
    <x v="3"/>
    <x v="3"/>
    <s v="Desfibrilador Externo"/>
    <n v="1"/>
    <n v="34893.97"/>
    <n v="34893.97"/>
  </r>
  <r>
    <s v="2026-03-05"/>
    <s v="Hospital Santa Maria"/>
    <x v="4"/>
    <x v="0"/>
    <x v="3"/>
    <s v="Desfibrilador Externo"/>
    <n v="8"/>
    <n v="38062.160000000003"/>
    <n v="304497.28000000003"/>
  </r>
  <r>
    <s v="2026-03-05"/>
    <s v="Hospital Santa Maria"/>
    <x v="2"/>
    <x v="1"/>
    <x v="2"/>
    <s v="Monitor de Pressão Arterial 24h"/>
    <n v="3"/>
    <n v="54245.56"/>
    <n v="162736.68"/>
  </r>
  <r>
    <s v="2026-03-05"/>
    <s v="Centro Médico Avançado"/>
    <x v="4"/>
    <x v="2"/>
    <x v="2"/>
    <s v="Aparelho de Raio-X Móvel"/>
    <n v="1"/>
    <n v="46959.3"/>
    <n v="46959.3"/>
  </r>
  <r>
    <s v="2026-03-05"/>
    <s v="Centro Médico Avançado"/>
    <x v="1"/>
    <x v="3"/>
    <x v="3"/>
    <s v="Bomba de Infusão"/>
    <n v="7"/>
    <n v="36523.81"/>
    <n v="255666.67"/>
  </r>
  <r>
    <s v="2026-03-05"/>
    <s v="Hospital Santa Maria"/>
    <x v="4"/>
    <x v="3"/>
    <x v="1"/>
    <s v="Foco Cirúrgico LED"/>
    <n v="3"/>
    <n v="27344.29"/>
    <n v="82032.87"/>
  </r>
  <r>
    <s v="2026-03-06"/>
    <s v="Rede Saúde Total"/>
    <x v="2"/>
    <x v="2"/>
    <x v="0"/>
    <s v="Carro de Emergência (Crash Cart)"/>
    <n v="8"/>
    <n v="8388.43"/>
    <n v="67107.44"/>
  </r>
  <r>
    <s v="2026-03-06"/>
    <s v="Centro Médico Avançado"/>
    <x v="3"/>
    <x v="3"/>
    <x v="0"/>
    <s v="Carro de Emergência (Crash Cart)"/>
    <n v="4"/>
    <n v="7886.18"/>
    <n v="31544.720000000001"/>
  </r>
  <r>
    <s v="2026-03-06"/>
    <s v="Clínica Ortopédica Central"/>
    <x v="4"/>
    <x v="2"/>
    <x v="2"/>
    <s v="Monitor de Pressão Arterial 24h"/>
    <n v="4"/>
    <n v="48365.07"/>
    <n v="193460.28"/>
  </r>
  <r>
    <s v="2026-03-06"/>
    <s v="Centro Médico Avançado"/>
    <x v="4"/>
    <x v="1"/>
    <x v="1"/>
    <s v="Foco Cirúrgico LED"/>
    <n v="5"/>
    <n v="27323.119999999999"/>
    <n v="136615.6"/>
  </r>
  <r>
    <s v="2026-03-06"/>
    <s v="Hospital São Lucas"/>
    <x v="0"/>
    <x v="0"/>
    <x v="3"/>
    <s v="Bomba de Infusão"/>
    <n v="6"/>
    <n v="28279.95"/>
    <n v="169679.7"/>
  </r>
  <r>
    <s v="2026-03-06"/>
    <s v="Centro Médico Avançado"/>
    <x v="3"/>
    <x v="2"/>
    <x v="2"/>
    <s v="Eletrocardiógrafo"/>
    <n v="7"/>
    <n v="50580.11"/>
    <n v="354060.77"/>
  </r>
  <r>
    <s v="2026-03-07"/>
    <s v="Rede Saúde Total"/>
    <x v="1"/>
    <x v="4"/>
    <x v="1"/>
    <s v="Foco Cirúrgico LED"/>
    <n v="4"/>
    <n v="31726.84"/>
    <n v="126907.36"/>
  </r>
  <r>
    <s v="2026-03-07"/>
    <s v="Hospital Santa Maria"/>
    <x v="2"/>
    <x v="2"/>
    <x v="1"/>
    <s v="Aspirador Cirúrgico de Secreção"/>
    <n v="8"/>
    <n v="27831.919999999998"/>
    <n v="222655.35999999999"/>
  </r>
  <r>
    <s v="2026-03-07"/>
    <s v="Hospital São Lucas"/>
    <x v="1"/>
    <x v="3"/>
    <x v="1"/>
    <s v="Bisturi Eletrônico"/>
    <n v="6"/>
    <n v="24659.3"/>
    <n v="147955.79999999999"/>
  </r>
  <r>
    <s v="2026-03-07"/>
    <s v="Centro Médico Avançado"/>
    <x v="3"/>
    <x v="1"/>
    <x v="3"/>
    <s v="Monitor Multiparamétrico"/>
    <n v="1"/>
    <n v="32656.61"/>
    <n v="32656.61"/>
  </r>
  <r>
    <s v="2026-03-07"/>
    <s v="Rede Saúde Total"/>
    <x v="4"/>
    <x v="1"/>
    <x v="3"/>
    <s v="Bomba de Infusão"/>
    <n v="1"/>
    <n v="32861.89"/>
    <n v="32861.89"/>
  </r>
  <r>
    <s v="2026-03-07"/>
    <s v="Clínica Ortopédica Central"/>
    <x v="4"/>
    <x v="2"/>
    <x v="0"/>
    <s v="Maca de Transporte"/>
    <n v="9"/>
    <n v="9498.48"/>
    <n v="85486.32"/>
  </r>
  <r>
    <s v="2026-03-07"/>
    <s v="Centro Médico Avançado"/>
    <x v="3"/>
    <x v="0"/>
    <x v="0"/>
    <s v="Poltrona de Coleta"/>
    <n v="6"/>
    <n v="8297.42"/>
    <n v="49784.52"/>
  </r>
  <r>
    <s v="2026-03-08"/>
    <s v="Rede Saúde Total"/>
    <x v="4"/>
    <x v="4"/>
    <x v="1"/>
    <s v="Bisturi Eletrônico"/>
    <n v="8"/>
    <n v="31445.11"/>
    <n v="251560.88"/>
  </r>
  <r>
    <s v="2026-03-08"/>
    <s v="Clínica Ortopédica Central"/>
    <x v="4"/>
    <x v="1"/>
    <x v="1"/>
    <s v="Foco Cirúrgico LED"/>
    <n v="7"/>
    <n v="33560.67"/>
    <n v="234924.69"/>
  </r>
  <r>
    <s v="2026-03-08"/>
    <s v="Hospital Santa Maria"/>
    <x v="4"/>
    <x v="3"/>
    <x v="3"/>
    <s v="Ventilador Pulmonar"/>
    <n v="6"/>
    <n v="30239.82"/>
    <n v="181438.92"/>
  </r>
  <r>
    <s v="2026-03-08"/>
    <s v="Centro Médico Avançado"/>
    <x v="2"/>
    <x v="3"/>
    <x v="0"/>
    <s v="Carro de Emergência (Crash Cart)"/>
    <n v="4"/>
    <n v="10553.33"/>
    <n v="42213.32"/>
  </r>
  <r>
    <s v="2026-03-08"/>
    <s v="Clínica Ortopédica Central"/>
    <x v="2"/>
    <x v="0"/>
    <x v="1"/>
    <s v="Aspirador Cirúrgico de Secreção"/>
    <n v="7"/>
    <n v="28127.32"/>
    <n v="196891.24"/>
  </r>
  <r>
    <s v="2026-03-08"/>
    <s v="Hospital São Lucas"/>
    <x v="0"/>
    <x v="1"/>
    <x v="0"/>
    <s v="Poltrona de Coleta"/>
    <n v="9"/>
    <n v="8133.68"/>
    <n v="73203.12"/>
  </r>
  <r>
    <s v="2026-03-09"/>
    <s v="Hospital Santa Maria"/>
    <x v="1"/>
    <x v="2"/>
    <x v="0"/>
    <s v="Cama Hospitalar Elétrica"/>
    <n v="7"/>
    <n v="8658.14"/>
    <n v="60606.98"/>
  </r>
  <r>
    <s v="2026-03-09"/>
    <s v="Hospital São Lucas"/>
    <x v="3"/>
    <x v="3"/>
    <x v="1"/>
    <s v="Bisturi Eletrônico"/>
    <n v="1"/>
    <n v="24857.25"/>
    <n v="24857.25"/>
  </r>
  <r>
    <s v="2026-03-09"/>
    <s v="Hospital Regional"/>
    <x v="3"/>
    <x v="0"/>
    <x v="3"/>
    <s v="Desfibrilador Externo"/>
    <n v="9"/>
    <n v="28809.040000000001"/>
    <n v="259281.36"/>
  </r>
  <r>
    <s v="2026-03-09"/>
    <s v="Clínica Vida"/>
    <x v="3"/>
    <x v="1"/>
    <x v="1"/>
    <s v="Foco Cirúrgico LED"/>
    <n v="4"/>
    <n v="28441.66"/>
    <n v="113766.64"/>
  </r>
  <r>
    <s v="2026-03-09"/>
    <s v="Centro Médico Avançado"/>
    <x v="0"/>
    <x v="1"/>
    <x v="1"/>
    <s v="Mesa Cirúrgica Eletromecânica"/>
    <n v="3"/>
    <n v="32339.38"/>
    <n v="97018.14"/>
  </r>
  <r>
    <s v="2026-03-09"/>
    <s v="Clínica Ortopédica Central"/>
    <x v="2"/>
    <x v="1"/>
    <x v="0"/>
    <s v="Carro de Emergência (Crash Cart)"/>
    <n v="4"/>
    <n v="10286.06"/>
    <n v="41144.239999999998"/>
  </r>
  <r>
    <s v="2026-03-10"/>
    <s v="Clínica Vida"/>
    <x v="0"/>
    <x v="1"/>
    <x v="1"/>
    <s v="Mesa Cirúrgica Eletromecânica"/>
    <n v="4"/>
    <n v="31245.96"/>
    <n v="124983.84"/>
  </r>
  <r>
    <s v="2026-03-10"/>
    <s v="Clínica Vida"/>
    <x v="3"/>
    <x v="1"/>
    <x v="3"/>
    <s v="Monitor Multiparamétrico"/>
    <n v="2"/>
    <n v="28546.81"/>
    <n v="57093.62"/>
  </r>
  <r>
    <s v="2026-03-10"/>
    <s v="Clínica Ortopédica Central"/>
    <x v="1"/>
    <x v="3"/>
    <x v="1"/>
    <s v="Aspirador Cirúrgico de Secreção"/>
    <n v="1"/>
    <n v="31326.62"/>
    <n v="31326.62"/>
  </r>
  <r>
    <s v="2026-03-10"/>
    <s v="Hospital Santa Maria"/>
    <x v="4"/>
    <x v="0"/>
    <x v="3"/>
    <s v="Desfibrilador Externo"/>
    <n v="1"/>
    <n v="35333.480000000003"/>
    <n v="35333.480000000003"/>
  </r>
  <r>
    <s v="2026-03-10"/>
    <s v="Centro Médico Avançado"/>
    <x v="2"/>
    <x v="1"/>
    <x v="3"/>
    <s v="Desfibrilador Externo"/>
    <n v="8"/>
    <n v="37513.78"/>
    <n v="300110.24"/>
  </r>
  <r>
    <s v="2026-03-10"/>
    <s v="Hospital Regional"/>
    <x v="2"/>
    <x v="4"/>
    <x v="0"/>
    <s v="Carro de Emergência (Crash Cart)"/>
    <n v="2"/>
    <n v="10030.85"/>
    <n v="20061.7"/>
  </r>
  <r>
    <s v="2026-03-11"/>
    <s v="Hospital São Lucas"/>
    <x v="0"/>
    <x v="4"/>
    <x v="2"/>
    <s v="Aparelho de Raio-X Móvel"/>
    <n v="5"/>
    <n v="53877.66"/>
    <n v="269388.3"/>
  </r>
  <r>
    <s v="2026-03-11"/>
    <s v="Rede Saúde Total"/>
    <x v="2"/>
    <x v="0"/>
    <x v="2"/>
    <s v="Eletrocardiógrafo"/>
    <n v="4"/>
    <n v="45704.37"/>
    <n v="182817.48"/>
  </r>
  <r>
    <s v="2026-03-11"/>
    <s v="Hospital São Lucas"/>
    <x v="3"/>
    <x v="2"/>
    <x v="0"/>
    <s v="Poltrona de Coleta"/>
    <n v="8"/>
    <n v="9597.74"/>
    <n v="76781.919999999998"/>
  </r>
  <r>
    <s v="2026-03-11"/>
    <s v="Rede Saúde Total"/>
    <x v="3"/>
    <x v="2"/>
    <x v="1"/>
    <s v="Mesa Cirúrgica Eletromecânica"/>
    <n v="2"/>
    <n v="26804.400000000001"/>
    <n v="53608.800000000003"/>
  </r>
  <r>
    <s v="2026-03-11"/>
    <s v="Hospital São Lucas"/>
    <x v="0"/>
    <x v="2"/>
    <x v="0"/>
    <s v="Carro de Emergência (Crash Cart)"/>
    <n v="9"/>
    <n v="10622.74"/>
    <n v="95604.66"/>
  </r>
  <r>
    <s v="2026-03-11"/>
    <s v="Clínica Ortopédica Central"/>
    <x v="3"/>
    <x v="4"/>
    <x v="3"/>
    <s v="Bomba de Infusão"/>
    <n v="7"/>
    <n v="29444.28"/>
    <n v="206109.96"/>
  </r>
  <r>
    <s v="2026-03-12"/>
    <s v="Hospital Regional"/>
    <x v="1"/>
    <x v="2"/>
    <x v="2"/>
    <s v="Ultrassom Portátil"/>
    <n v="7"/>
    <n v="38432.06"/>
    <n v="269024.42"/>
  </r>
  <r>
    <s v="2026-03-12"/>
    <s v="Centro Médico Avançado"/>
    <x v="0"/>
    <x v="3"/>
    <x v="0"/>
    <s v="Carro de Emergência (Crash Cart)"/>
    <n v="1"/>
    <n v="7730.95"/>
    <n v="7730.95"/>
  </r>
  <r>
    <s v="2026-03-12"/>
    <s v="Rede Saúde Total"/>
    <x v="1"/>
    <x v="1"/>
    <x v="1"/>
    <s v="Aspirador Cirúrgico de Secreção"/>
    <n v="2"/>
    <n v="32489.77"/>
    <n v="64979.54"/>
  </r>
  <r>
    <s v="2026-03-12"/>
    <s v="Centro Médico Avançado"/>
    <x v="4"/>
    <x v="4"/>
    <x v="0"/>
    <s v="Carro de Emergência (Crash Cart)"/>
    <n v="4"/>
    <n v="8744.06"/>
    <n v="34976.239999999998"/>
  </r>
  <r>
    <s v="2026-03-12"/>
    <s v="Centro Médico Avançado"/>
    <x v="1"/>
    <x v="0"/>
    <x v="2"/>
    <s v="Aparelho de Raio-X Móvel"/>
    <n v="4"/>
    <n v="46305"/>
    <n v="185220"/>
  </r>
  <r>
    <s v="2026-03-12"/>
    <s v="Centro Médico Avançado"/>
    <x v="4"/>
    <x v="0"/>
    <x v="0"/>
    <s v="Carro de Emergência (Crash Cart)"/>
    <n v="3"/>
    <n v="10472.08"/>
    <n v="31416.240000000002"/>
  </r>
  <r>
    <s v="2026-03-13"/>
    <s v="Hospital Metropolitano"/>
    <x v="4"/>
    <x v="1"/>
    <x v="0"/>
    <s v="Cama Hospitalar Elétrica"/>
    <n v="7"/>
    <n v="10351.76"/>
    <n v="72462.320000000007"/>
  </r>
  <r>
    <s v="2026-03-13"/>
    <s v="Hospital Santa Maria"/>
    <x v="1"/>
    <x v="4"/>
    <x v="2"/>
    <s v="Aparelho de Raio-X Móvel"/>
    <n v="8"/>
    <n v="43851.51"/>
    <n v="350812.08"/>
  </r>
  <r>
    <s v="2026-03-13"/>
    <s v="Hospital São Lucas"/>
    <x v="0"/>
    <x v="2"/>
    <x v="3"/>
    <s v="Monitor Multiparamétrico"/>
    <n v="2"/>
    <n v="29875.94"/>
    <n v="59751.88"/>
  </r>
  <r>
    <s v="2026-03-13"/>
    <s v="Centro Médico Avançado"/>
    <x v="3"/>
    <x v="2"/>
    <x v="3"/>
    <s v="Ventilador Pulmonar"/>
    <n v="4"/>
    <n v="38060.57"/>
    <n v="152242.28"/>
  </r>
  <r>
    <s v="2026-03-13"/>
    <s v="Hospital São Lucas"/>
    <x v="3"/>
    <x v="3"/>
    <x v="2"/>
    <s v="Monitor de Pressão Arterial 24h"/>
    <n v="3"/>
    <n v="54558.34"/>
    <n v="163675.01999999999"/>
  </r>
  <r>
    <s v="2026-03-13"/>
    <s v="Centro Médico Avançado"/>
    <x v="4"/>
    <x v="3"/>
    <x v="0"/>
    <s v="Maca de Transporte"/>
    <n v="2"/>
    <n v="9066.43"/>
    <n v="18132.86"/>
  </r>
  <r>
    <s v="2026-03-13"/>
    <s v="Rede Saúde Total"/>
    <x v="4"/>
    <x v="2"/>
    <x v="2"/>
    <s v="Monitor de Pressão Arterial 24h"/>
    <n v="6"/>
    <n v="49579.63"/>
    <n v="297477.78000000003"/>
  </r>
  <r>
    <s v="2026-03-14"/>
    <s v="Hospital Santa Maria"/>
    <x v="0"/>
    <x v="0"/>
    <x v="3"/>
    <s v="Monitor Multiparamétrico"/>
    <n v="4"/>
    <n v="30488.5"/>
    <n v="121954"/>
  </r>
  <r>
    <s v="2026-03-14"/>
    <s v="Hospital Santa Maria"/>
    <x v="2"/>
    <x v="0"/>
    <x v="1"/>
    <s v="Mesa Cirúrgica Eletromecânica"/>
    <n v="6"/>
    <n v="32768.99"/>
    <n v="196613.94"/>
  </r>
  <r>
    <s v="2026-03-14"/>
    <s v="Clínica Ortopédica Central"/>
    <x v="1"/>
    <x v="3"/>
    <x v="0"/>
    <s v="Poltrona de Coleta"/>
    <n v="2"/>
    <n v="9374.2199999999993"/>
    <n v="18748.439999999999"/>
  </r>
  <r>
    <s v="2026-03-14"/>
    <s v="Hospital Metropolitano"/>
    <x v="4"/>
    <x v="1"/>
    <x v="3"/>
    <s v="Monitor Multiparamétrico"/>
    <n v="4"/>
    <n v="33644.97"/>
    <n v="134579.88"/>
  </r>
  <r>
    <s v="2026-03-14"/>
    <s v="Clínica Ortopédica Central"/>
    <x v="3"/>
    <x v="2"/>
    <x v="0"/>
    <s v="Poltrona de Coleta"/>
    <n v="6"/>
    <n v="7429.37"/>
    <n v="44576.22"/>
  </r>
  <r>
    <s v="2026-03-14"/>
    <s v="Clínica Ortopédica Central"/>
    <x v="0"/>
    <x v="3"/>
    <x v="2"/>
    <s v="Ultrassom Portátil"/>
    <n v="5"/>
    <n v="54736.83"/>
    <n v="273684.15000000002"/>
  </r>
  <r>
    <s v="2026-03-15"/>
    <s v="Clínica Ortopédica Central"/>
    <x v="1"/>
    <x v="3"/>
    <x v="1"/>
    <s v="Aspirador Cirúrgico de Secreção"/>
    <n v="3"/>
    <n v="30693.06"/>
    <n v="92079.18"/>
  </r>
  <r>
    <s v="2026-03-15"/>
    <s v="Clínica Ortopédica Central"/>
    <x v="0"/>
    <x v="2"/>
    <x v="2"/>
    <s v="Ultrassom Portátil"/>
    <n v="8"/>
    <n v="41718.44"/>
    <n v="333747.52"/>
  </r>
  <r>
    <s v="2026-03-15"/>
    <s v="Clínica Ortopédica Central"/>
    <x v="1"/>
    <x v="2"/>
    <x v="1"/>
    <s v="Mesa Cirúrgica Eletromecânica"/>
    <n v="7"/>
    <n v="30591.52"/>
    <n v="214140.64"/>
  </r>
  <r>
    <s v="2026-03-15"/>
    <s v="Hospital Regional"/>
    <x v="1"/>
    <x v="0"/>
    <x v="0"/>
    <s v="Poltrona de Coleta"/>
    <n v="3"/>
    <n v="9528.3799999999992"/>
    <n v="28585.14"/>
  </r>
  <r>
    <s v="2026-03-15"/>
    <s v="Hospital Santa Maria"/>
    <x v="4"/>
    <x v="1"/>
    <x v="0"/>
    <s v="Maca de Transporte"/>
    <n v="6"/>
    <n v="9012.6200000000008"/>
    <n v="54075.72"/>
  </r>
  <r>
    <s v="2026-03-15"/>
    <s v="Clínica Ortopédica Central"/>
    <x v="0"/>
    <x v="1"/>
    <x v="2"/>
    <s v="Monitor de Pressão Arterial 24h"/>
    <n v="4"/>
    <n v="51175.83"/>
    <n v="204703.32"/>
  </r>
  <r>
    <s v="2026-03-16"/>
    <s v="Centro Médico Avançado"/>
    <x v="0"/>
    <x v="2"/>
    <x v="1"/>
    <s v="Foco Cirúrgico LED"/>
    <n v="5"/>
    <n v="30312.28"/>
    <n v="151561.4"/>
  </r>
  <r>
    <s v="2026-03-16"/>
    <s v="Hospital Santa Maria"/>
    <x v="3"/>
    <x v="4"/>
    <x v="1"/>
    <s v="Foco Cirúrgico LED"/>
    <n v="5"/>
    <n v="34415.019999999997"/>
    <n v="172075.1"/>
  </r>
  <r>
    <s v="2026-03-16"/>
    <s v="Hospital Santa Maria"/>
    <x v="3"/>
    <x v="3"/>
    <x v="0"/>
    <s v="Poltrona de Coleta"/>
    <n v="7"/>
    <n v="7407.57"/>
    <n v="51852.99"/>
  </r>
  <r>
    <s v="2026-03-16"/>
    <s v="Clínica Vida"/>
    <x v="4"/>
    <x v="3"/>
    <x v="2"/>
    <s v="Ultrassom Portátil"/>
    <n v="5"/>
    <n v="40162.42"/>
    <n v="200812.1"/>
  </r>
  <r>
    <s v="2026-03-16"/>
    <s v="Hospital Regional"/>
    <x v="4"/>
    <x v="2"/>
    <x v="1"/>
    <s v="Mesa Cirúrgica Eletromecânica"/>
    <n v="3"/>
    <n v="25745.119999999999"/>
    <n v="77235.360000000001"/>
  </r>
  <r>
    <s v="2026-03-16"/>
    <s v="Clínica Ortopédica Central"/>
    <x v="2"/>
    <x v="4"/>
    <x v="0"/>
    <s v="Maca de Transporte"/>
    <n v="5"/>
    <n v="9571.58"/>
    <n v="47857.9"/>
  </r>
  <r>
    <s v="2026-03-17"/>
    <s v="Hospital São Lucas"/>
    <x v="3"/>
    <x v="0"/>
    <x v="3"/>
    <s v="Bomba de Infusão"/>
    <n v="7"/>
    <n v="35463.629999999997"/>
    <n v="248245.41"/>
  </r>
  <r>
    <s v="2026-03-17"/>
    <s v="Rede Saúde Total"/>
    <x v="1"/>
    <x v="2"/>
    <x v="2"/>
    <s v="Ultrassom Portátil"/>
    <n v="5"/>
    <n v="54307.06"/>
    <n v="271535.3"/>
  </r>
  <r>
    <s v="2026-03-17"/>
    <s v="Hospital Metropolitano"/>
    <x v="0"/>
    <x v="2"/>
    <x v="3"/>
    <s v="Monitor Multiparamétrico"/>
    <n v="5"/>
    <n v="36580.83"/>
    <n v="182904.15"/>
  </r>
  <r>
    <s v="2026-03-17"/>
    <s v="Centro Médico Avançado"/>
    <x v="4"/>
    <x v="3"/>
    <x v="2"/>
    <s v="Monitor de Pressão Arterial 24h"/>
    <n v="9"/>
    <n v="47400.4"/>
    <n v="426603.6"/>
  </r>
  <r>
    <s v="2026-03-17"/>
    <s v="Hospital São Lucas"/>
    <x v="0"/>
    <x v="2"/>
    <x v="0"/>
    <s v="Cama Hospitalar Elétrica"/>
    <n v="3"/>
    <n v="10597.23"/>
    <n v="31791.69"/>
  </r>
  <r>
    <s v="2026-03-17"/>
    <s v="Hospital Regional"/>
    <x v="0"/>
    <x v="2"/>
    <x v="1"/>
    <s v="Mesa Cirúrgica Eletromecânica"/>
    <n v="6"/>
    <n v="26780.41"/>
    <n v="160682.46"/>
  </r>
  <r>
    <s v="2026-03-18"/>
    <s v="Rede Saúde Total"/>
    <x v="2"/>
    <x v="2"/>
    <x v="1"/>
    <s v="Foco Cirúrgico LED"/>
    <n v="1"/>
    <n v="33131.75"/>
    <n v="33131.75"/>
  </r>
  <r>
    <s v="2026-03-18"/>
    <s v="Hospital Regional"/>
    <x v="3"/>
    <x v="3"/>
    <x v="1"/>
    <s v="Aspirador Cirúrgico de Secreção"/>
    <n v="5"/>
    <n v="28580.05"/>
    <n v="142900.25"/>
  </r>
  <r>
    <s v="2026-03-18"/>
    <s v="Centro Médico Avançado"/>
    <x v="4"/>
    <x v="0"/>
    <x v="2"/>
    <s v="Aparelho de Raio-X Móvel"/>
    <n v="8"/>
    <n v="49927.23"/>
    <n v="399417.84"/>
  </r>
  <r>
    <s v="2026-03-18"/>
    <s v="Hospital Santa Maria"/>
    <x v="0"/>
    <x v="0"/>
    <x v="0"/>
    <s v="Carro de Emergência (Crash Cart)"/>
    <n v="5"/>
    <n v="9697.7099999999991"/>
    <n v="48488.55"/>
  </r>
  <r>
    <s v="2026-03-18"/>
    <s v="Rede Saúde Total"/>
    <x v="4"/>
    <x v="2"/>
    <x v="3"/>
    <s v="Bomba de Infusão"/>
    <n v="9"/>
    <n v="35312.050000000003"/>
    <n v="317808.45"/>
  </r>
  <r>
    <s v="2026-03-18"/>
    <s v="Hospital Santa Maria"/>
    <x v="1"/>
    <x v="3"/>
    <x v="0"/>
    <s v="Cama Hospitalar Elétrica"/>
    <n v="6"/>
    <n v="7702.72"/>
    <n v="46216.32"/>
  </r>
  <r>
    <s v="2026-03-19"/>
    <s v="Centro Médico Avançado"/>
    <x v="2"/>
    <x v="0"/>
    <x v="3"/>
    <s v="Desfibrilador Externo"/>
    <n v="8"/>
    <n v="32869.769999999997"/>
    <n v="262958.15999999997"/>
  </r>
  <r>
    <s v="2026-03-19"/>
    <s v="Hospital São Lucas"/>
    <x v="1"/>
    <x v="0"/>
    <x v="2"/>
    <s v="Aparelho de Raio-X Móvel"/>
    <n v="8"/>
    <n v="48355.89"/>
    <n v="386847.12"/>
  </r>
  <r>
    <s v="2026-03-19"/>
    <s v="Centro Médico Avançado"/>
    <x v="4"/>
    <x v="0"/>
    <x v="2"/>
    <s v="Monitor de Pressão Arterial 24h"/>
    <n v="3"/>
    <n v="53532.79"/>
    <n v="160598.37"/>
  </r>
  <r>
    <s v="2026-03-19"/>
    <s v="Hospital São Lucas"/>
    <x v="4"/>
    <x v="3"/>
    <x v="3"/>
    <s v="Monitor Multiparamétrico"/>
    <n v="7"/>
    <n v="32878.67"/>
    <n v="230150.69"/>
  </r>
  <r>
    <s v="2026-03-19"/>
    <s v="Rede Saúde Total"/>
    <x v="3"/>
    <x v="3"/>
    <x v="3"/>
    <s v="Ventilador Pulmonar"/>
    <n v="7"/>
    <n v="38959.97"/>
    <n v="272719.78999999998"/>
  </r>
  <r>
    <s v="2026-03-19"/>
    <s v="Rede Saúde Total"/>
    <x v="0"/>
    <x v="2"/>
    <x v="3"/>
    <s v="Monitor Multiparamétrico"/>
    <n v="6"/>
    <n v="32836.79"/>
    <n v="197020.74"/>
  </r>
  <r>
    <s v="2026-03-19"/>
    <s v="Clínica Ortopédica Central"/>
    <x v="0"/>
    <x v="1"/>
    <x v="0"/>
    <s v="Poltrona de Coleta"/>
    <n v="7"/>
    <n v="9090.85"/>
    <n v="63635.95"/>
  </r>
  <r>
    <s v="2026-03-20"/>
    <s v="Hospital Regional"/>
    <x v="1"/>
    <x v="0"/>
    <x v="3"/>
    <s v="Desfibrilador Externo"/>
    <n v="2"/>
    <n v="37392.46"/>
    <n v="74784.92"/>
  </r>
  <r>
    <s v="2026-03-20"/>
    <s v="Clínica Ortopédica Central"/>
    <x v="2"/>
    <x v="1"/>
    <x v="2"/>
    <s v="Ultrassom Portátil"/>
    <n v="9"/>
    <n v="48745.22"/>
    <n v="438706.98"/>
  </r>
  <r>
    <s v="2026-03-20"/>
    <s v="Hospital Regional"/>
    <x v="0"/>
    <x v="3"/>
    <x v="2"/>
    <s v="Monitor de Pressão Arterial 24h"/>
    <n v="1"/>
    <n v="55533.93"/>
    <n v="55533.93"/>
  </r>
  <r>
    <s v="2026-03-20"/>
    <s v="Clínica Ortopédica Central"/>
    <x v="3"/>
    <x v="3"/>
    <x v="1"/>
    <s v="Mesa Cirúrgica Eletromecânica"/>
    <n v="1"/>
    <n v="31195.759999999998"/>
    <n v="31195.759999999998"/>
  </r>
  <r>
    <s v="2026-03-20"/>
    <s v="Hospital Santa Maria"/>
    <x v="1"/>
    <x v="3"/>
    <x v="3"/>
    <s v="Ventilador Pulmonar"/>
    <n v="3"/>
    <n v="33890.68"/>
    <n v="101672.04"/>
  </r>
  <r>
    <s v="2026-03-20"/>
    <s v="Rede Saúde Total"/>
    <x v="1"/>
    <x v="1"/>
    <x v="0"/>
    <s v="Maca de Transporte"/>
    <n v="3"/>
    <n v="7305.21"/>
    <n v="21915.63"/>
  </r>
  <r>
    <s v="2026-03-21"/>
    <s v="Hospital São Lucas"/>
    <x v="3"/>
    <x v="3"/>
    <x v="0"/>
    <s v="Poltrona de Coleta"/>
    <n v="1"/>
    <n v="8631.69"/>
    <n v="8631.69"/>
  </r>
  <r>
    <s v="2026-03-21"/>
    <s v="Hospital Regional"/>
    <x v="2"/>
    <x v="2"/>
    <x v="0"/>
    <s v="Cama Hospitalar Elétrica"/>
    <n v="7"/>
    <n v="8242.44"/>
    <n v="57697.08"/>
  </r>
  <r>
    <s v="2026-03-21"/>
    <s v="Centro Médico Avançado"/>
    <x v="3"/>
    <x v="3"/>
    <x v="1"/>
    <s v="Mesa Cirúrgica Eletromecânica"/>
    <n v="4"/>
    <n v="32178.78"/>
    <n v="128715.12"/>
  </r>
  <r>
    <s v="2026-03-21"/>
    <s v="Hospital Regional"/>
    <x v="2"/>
    <x v="4"/>
    <x v="2"/>
    <s v="Monitor de Pressão Arterial 24h"/>
    <n v="2"/>
    <n v="41999"/>
    <n v="83998"/>
  </r>
  <r>
    <s v="2026-03-21"/>
    <s v="Hospital São Lucas"/>
    <x v="3"/>
    <x v="1"/>
    <x v="0"/>
    <s v="Poltrona de Coleta"/>
    <n v="5"/>
    <n v="7922.75"/>
    <n v="39613.75"/>
  </r>
  <r>
    <s v="2026-03-21"/>
    <s v="Clínica Ortopédica Central"/>
    <x v="3"/>
    <x v="4"/>
    <x v="2"/>
    <s v="Eletrocardiógrafo"/>
    <n v="6"/>
    <n v="41661.339999999997"/>
    <n v="249968.04"/>
  </r>
  <r>
    <s v="2026-03-22"/>
    <s v="Hospital Regional"/>
    <x v="4"/>
    <x v="3"/>
    <x v="1"/>
    <s v="Aspirador Cirúrgico de Secreção"/>
    <n v="9"/>
    <n v="25206.89"/>
    <n v="226862.01"/>
  </r>
  <r>
    <s v="2026-03-22"/>
    <s v="Hospital Metropolitano"/>
    <x v="1"/>
    <x v="2"/>
    <x v="3"/>
    <s v="Monitor Multiparamétrico"/>
    <n v="4"/>
    <n v="31180.89"/>
    <n v="124723.56"/>
  </r>
  <r>
    <s v="2026-03-22"/>
    <s v="Hospital Santa Maria"/>
    <x v="3"/>
    <x v="0"/>
    <x v="3"/>
    <s v="Ventilador Pulmonar"/>
    <n v="2"/>
    <n v="38539.800000000003"/>
    <n v="77079.600000000006"/>
  </r>
  <r>
    <s v="2026-03-22"/>
    <s v="Rede Saúde Total"/>
    <x v="3"/>
    <x v="3"/>
    <x v="3"/>
    <s v="Bomba de Infusão"/>
    <n v="5"/>
    <n v="37119.08"/>
    <n v="185595.4"/>
  </r>
  <r>
    <s v="2026-03-22"/>
    <s v="Hospital São Lucas"/>
    <x v="0"/>
    <x v="2"/>
    <x v="0"/>
    <s v="Poltrona de Coleta"/>
    <n v="3"/>
    <n v="9724.85"/>
    <n v="29174.55"/>
  </r>
  <r>
    <s v="2026-03-22"/>
    <s v="Rede Saúde Total"/>
    <x v="1"/>
    <x v="1"/>
    <x v="3"/>
    <s v="Desfibrilador Externo"/>
    <n v="2"/>
    <n v="37405.910000000003"/>
    <n v="74811.820000000007"/>
  </r>
  <r>
    <s v="2026-03-23"/>
    <s v="Hospital Metropolitano"/>
    <x v="0"/>
    <x v="4"/>
    <x v="0"/>
    <s v="Poltrona de Coleta"/>
    <n v="1"/>
    <n v="8141.02"/>
    <n v="8141.02"/>
  </r>
  <r>
    <s v="2026-03-23"/>
    <s v="Hospital Regional"/>
    <x v="1"/>
    <x v="4"/>
    <x v="1"/>
    <s v="Mesa Cirúrgica Eletromecânica"/>
    <n v="2"/>
    <n v="33739.35"/>
    <n v="67478.7"/>
  </r>
  <r>
    <s v="2026-03-23"/>
    <s v="Hospital Regional"/>
    <x v="0"/>
    <x v="4"/>
    <x v="1"/>
    <s v="Bisturi Eletrônico"/>
    <n v="6"/>
    <n v="25337.8"/>
    <n v="152026.79999999999"/>
  </r>
  <r>
    <s v="2026-03-23"/>
    <s v="Centro Médico Avançado"/>
    <x v="3"/>
    <x v="1"/>
    <x v="0"/>
    <s v="Maca de Transporte"/>
    <n v="8"/>
    <n v="8368.58"/>
    <n v="66948.639999999999"/>
  </r>
  <r>
    <s v="2026-03-23"/>
    <s v="Hospital Metropolitano"/>
    <x v="3"/>
    <x v="2"/>
    <x v="2"/>
    <s v="Eletrocardiógrafo"/>
    <n v="3"/>
    <n v="48811.47"/>
    <n v="146434.41"/>
  </r>
  <r>
    <s v="2026-03-23"/>
    <s v="Hospital São Lucas"/>
    <x v="4"/>
    <x v="1"/>
    <x v="3"/>
    <s v="Ventilador Pulmonar"/>
    <n v="9"/>
    <n v="28517.19"/>
    <n v="256654.71"/>
  </r>
  <r>
    <s v="2026-03-24"/>
    <s v="Centro Médico Avançado"/>
    <x v="0"/>
    <x v="4"/>
    <x v="3"/>
    <s v="Monitor Multiparamétrico"/>
    <n v="9"/>
    <n v="36545.67"/>
    <n v="328911.03000000003"/>
  </r>
  <r>
    <s v="2026-03-24"/>
    <s v="Hospital Santa Maria"/>
    <x v="2"/>
    <x v="3"/>
    <x v="3"/>
    <s v="Monitor Multiparamétrico"/>
    <n v="2"/>
    <n v="32156.75"/>
    <n v="64313.5"/>
  </r>
  <r>
    <s v="2026-03-24"/>
    <s v="Centro Médico Avançado"/>
    <x v="4"/>
    <x v="0"/>
    <x v="0"/>
    <s v="Cama Hospitalar Elétrica"/>
    <n v="8"/>
    <n v="9891.98"/>
    <n v="79135.839999999997"/>
  </r>
  <r>
    <s v="2026-03-24"/>
    <s v="Clínica Vida"/>
    <x v="0"/>
    <x v="1"/>
    <x v="1"/>
    <s v="Bisturi Eletrônico"/>
    <n v="5"/>
    <n v="29320.44"/>
    <n v="146602.20000000001"/>
  </r>
  <r>
    <s v="2026-03-24"/>
    <s v="Hospital São Lucas"/>
    <x v="0"/>
    <x v="1"/>
    <x v="3"/>
    <s v="Desfibrilador Externo"/>
    <n v="4"/>
    <n v="29515.19"/>
    <n v="118060.76"/>
  </r>
  <r>
    <s v="2026-03-24"/>
    <s v="Clínica Vida"/>
    <x v="4"/>
    <x v="2"/>
    <x v="1"/>
    <s v="Foco Cirúrgico LED"/>
    <n v="5"/>
    <n v="32029.33"/>
    <n v="160146.65"/>
  </r>
  <r>
    <s v="2026-03-24"/>
    <s v="Hospital Metropolitano"/>
    <x v="3"/>
    <x v="2"/>
    <x v="3"/>
    <s v="Desfibrilador Externo"/>
    <n v="4"/>
    <n v="30427.439999999999"/>
    <n v="121709.75999999999"/>
  </r>
  <r>
    <s v="2026-03-25"/>
    <s v="Clínica Ortopédica Central"/>
    <x v="0"/>
    <x v="1"/>
    <x v="3"/>
    <s v="Desfibrilador Externo"/>
    <n v="8"/>
    <n v="33482.370000000003"/>
    <n v="267858.96000000002"/>
  </r>
  <r>
    <s v="2026-03-25"/>
    <s v="Clínica Vida"/>
    <x v="3"/>
    <x v="4"/>
    <x v="0"/>
    <s v="Cama Hospitalar Elétrica"/>
    <n v="4"/>
    <n v="7481.81"/>
    <n v="29927.24"/>
  </r>
  <r>
    <s v="2026-03-25"/>
    <s v="Hospital Santa Maria"/>
    <x v="4"/>
    <x v="0"/>
    <x v="2"/>
    <s v="Eletrocardiógrafo"/>
    <n v="6"/>
    <n v="49371.6"/>
    <n v="296229.59999999998"/>
  </r>
  <r>
    <s v="2026-03-25"/>
    <s v="Centro Médico Avançado"/>
    <x v="3"/>
    <x v="2"/>
    <x v="0"/>
    <s v="Poltrona de Coleta"/>
    <n v="2"/>
    <n v="9488.92"/>
    <n v="18977.84"/>
  </r>
  <r>
    <s v="2026-03-25"/>
    <s v="Clínica Ortopédica Central"/>
    <x v="1"/>
    <x v="4"/>
    <x v="3"/>
    <s v="Ventilador Pulmonar"/>
    <n v="5"/>
    <n v="32047.03"/>
    <n v="160235.15"/>
  </r>
  <r>
    <s v="2026-03-25"/>
    <s v="Centro Médico Avançado"/>
    <x v="2"/>
    <x v="3"/>
    <x v="3"/>
    <s v="Monitor Multiparamétrico"/>
    <n v="6"/>
    <n v="39416.61"/>
    <n v="236499.66"/>
  </r>
  <r>
    <s v="2026-03-26"/>
    <s v="Clínica Vida"/>
    <x v="0"/>
    <x v="2"/>
    <x v="2"/>
    <s v="Aparelho de Raio-X Móvel"/>
    <n v="5"/>
    <n v="53985.04"/>
    <n v="269925.2"/>
  </r>
  <r>
    <s v="2026-03-26"/>
    <s v="Centro Médico Avançado"/>
    <x v="2"/>
    <x v="4"/>
    <x v="1"/>
    <s v="Mesa Cirúrgica Eletromecânica"/>
    <n v="2"/>
    <n v="31728.94"/>
    <n v="63457.88"/>
  </r>
  <r>
    <s v="2026-03-26"/>
    <s v="Hospital Metropolitano"/>
    <x v="3"/>
    <x v="4"/>
    <x v="1"/>
    <s v="Foco Cirúrgico LED"/>
    <n v="7"/>
    <n v="31792.9"/>
    <n v="222550.3"/>
  </r>
  <r>
    <s v="2026-03-26"/>
    <s v="Clínica Ortopédica Central"/>
    <x v="0"/>
    <x v="0"/>
    <x v="3"/>
    <s v="Monitor Multiparamétrico"/>
    <n v="4"/>
    <n v="30430.74"/>
    <n v="121722.96"/>
  </r>
  <r>
    <s v="2026-03-26"/>
    <s v="Hospital Metropolitano"/>
    <x v="3"/>
    <x v="0"/>
    <x v="1"/>
    <s v="Aspirador Cirúrgico de Secreção"/>
    <n v="8"/>
    <n v="31156.33"/>
    <n v="249250.64"/>
  </r>
  <r>
    <s v="2026-03-26"/>
    <s v="Clínica Vida"/>
    <x v="1"/>
    <x v="3"/>
    <x v="3"/>
    <s v="Monitor Multiparamétrico"/>
    <n v="7"/>
    <n v="29737.040000000001"/>
    <n v="208159.28"/>
  </r>
  <r>
    <s v="2026-03-27"/>
    <s v="Hospital Metropolitano"/>
    <x v="4"/>
    <x v="4"/>
    <x v="2"/>
    <s v="Aparelho de Raio-X Móvel"/>
    <n v="7"/>
    <n v="40842.06"/>
    <n v="285894.42"/>
  </r>
  <r>
    <s v="2026-03-27"/>
    <s v="Hospital Santa Maria"/>
    <x v="0"/>
    <x v="4"/>
    <x v="2"/>
    <s v="Monitor de Pressão Arterial 24h"/>
    <n v="9"/>
    <n v="56240.42"/>
    <n v="506163.78"/>
  </r>
  <r>
    <s v="2026-03-27"/>
    <s v="Clínica Vida"/>
    <x v="1"/>
    <x v="0"/>
    <x v="3"/>
    <s v="Monitor Multiparamétrico"/>
    <n v="1"/>
    <n v="35166.410000000003"/>
    <n v="35166.410000000003"/>
  </r>
  <r>
    <s v="2026-03-27"/>
    <s v="Clínica Vida"/>
    <x v="1"/>
    <x v="2"/>
    <x v="2"/>
    <s v="Monitor de Pressão Arterial 24h"/>
    <n v="6"/>
    <n v="46007.78"/>
    <n v="276046.68"/>
  </r>
  <r>
    <s v="2026-03-27"/>
    <s v="Clínica Vida"/>
    <x v="0"/>
    <x v="2"/>
    <x v="0"/>
    <s v="Maca de Transporte"/>
    <n v="6"/>
    <n v="8204.76"/>
    <n v="49228.56"/>
  </r>
  <r>
    <s v="2026-03-27"/>
    <s v="Hospital São Lucas"/>
    <x v="3"/>
    <x v="1"/>
    <x v="0"/>
    <s v="Poltrona de Coleta"/>
    <n v="6"/>
    <n v="9278.33"/>
    <n v="55669.98"/>
  </r>
  <r>
    <s v="2026-03-28"/>
    <s v="Centro Médico Avançado"/>
    <x v="1"/>
    <x v="0"/>
    <x v="2"/>
    <s v="Aparelho de Raio-X Móvel"/>
    <n v="6"/>
    <n v="39142.68"/>
    <n v="234856.08"/>
  </r>
  <r>
    <s v="2026-03-28"/>
    <s v="Hospital São Lucas"/>
    <x v="2"/>
    <x v="1"/>
    <x v="3"/>
    <s v="Desfibrilador Externo"/>
    <n v="7"/>
    <n v="28411.919999999998"/>
    <n v="198883.44"/>
  </r>
  <r>
    <s v="2026-03-28"/>
    <s v="Hospital São Lucas"/>
    <x v="1"/>
    <x v="0"/>
    <x v="3"/>
    <s v="Ventilador Pulmonar"/>
    <n v="6"/>
    <n v="27620.57"/>
    <n v="165723.42000000001"/>
  </r>
  <r>
    <s v="2026-03-28"/>
    <s v="Hospital Santa Maria"/>
    <x v="3"/>
    <x v="3"/>
    <x v="2"/>
    <s v="Monitor de Pressão Arterial 24h"/>
    <n v="1"/>
    <n v="47235.06"/>
    <n v="47235.06"/>
  </r>
  <r>
    <s v="2026-03-28"/>
    <s v="Clínica Ortopédica Central"/>
    <x v="3"/>
    <x v="4"/>
    <x v="1"/>
    <s v="Mesa Cirúrgica Eletromecânica"/>
    <n v="3"/>
    <n v="30526.79"/>
    <n v="91580.37"/>
  </r>
  <r>
    <s v="2026-03-28"/>
    <s v="Centro Médico Avançado"/>
    <x v="2"/>
    <x v="3"/>
    <x v="0"/>
    <s v="Maca de Transporte"/>
    <n v="2"/>
    <n v="7437.43"/>
    <n v="14874.86"/>
  </r>
  <r>
    <s v="2026-03-29"/>
    <s v="Hospital Metropolitano"/>
    <x v="1"/>
    <x v="0"/>
    <x v="1"/>
    <s v="Bisturi Eletrônico"/>
    <n v="6"/>
    <n v="31877.71"/>
    <n v="191266.26"/>
  </r>
  <r>
    <s v="2026-03-29"/>
    <s v="Hospital Regional"/>
    <x v="3"/>
    <x v="4"/>
    <x v="3"/>
    <s v="Desfibrilador Externo"/>
    <n v="8"/>
    <n v="30149.06"/>
    <n v="241192.48"/>
  </r>
  <r>
    <s v="2026-03-29"/>
    <s v="Clínica Vida"/>
    <x v="0"/>
    <x v="2"/>
    <x v="3"/>
    <s v="Ventilador Pulmonar"/>
    <n v="3"/>
    <n v="35970.58"/>
    <n v="107911.74"/>
  </r>
  <r>
    <s v="2026-03-29"/>
    <s v="Hospital Metropolitano"/>
    <x v="4"/>
    <x v="2"/>
    <x v="1"/>
    <s v="Aspirador Cirúrgico de Secreção"/>
    <n v="8"/>
    <n v="34797.25"/>
    <n v="278378"/>
  </r>
  <r>
    <s v="2026-03-29"/>
    <s v="Clínica Vida"/>
    <x v="4"/>
    <x v="1"/>
    <x v="2"/>
    <s v="Monitor de Pressão Arterial 24h"/>
    <n v="8"/>
    <n v="50689.91"/>
    <n v="405519.28"/>
  </r>
  <r>
    <s v="2026-03-29"/>
    <s v="Hospital Santa Maria"/>
    <x v="4"/>
    <x v="0"/>
    <x v="1"/>
    <s v="Foco Cirúrgico LED"/>
    <n v="5"/>
    <n v="33691.760000000002"/>
    <n v="168458.8"/>
  </r>
  <r>
    <s v="2026-03-30"/>
    <s v="Clínica Vida"/>
    <x v="1"/>
    <x v="0"/>
    <x v="1"/>
    <s v="Aspirador Cirúrgico de Secreção"/>
    <n v="8"/>
    <n v="34419.82"/>
    <n v="275358.56"/>
  </r>
  <r>
    <s v="2026-03-30"/>
    <s v="Hospital São Lucas"/>
    <x v="2"/>
    <x v="2"/>
    <x v="0"/>
    <s v="Cama Hospitalar Elétrica"/>
    <n v="6"/>
    <n v="8879.9500000000007"/>
    <n v="53279.7"/>
  </r>
  <r>
    <s v="2026-03-30"/>
    <s v="Centro Médico Avançado"/>
    <x v="3"/>
    <x v="3"/>
    <x v="0"/>
    <s v="Cama Hospitalar Elétrica"/>
    <n v="5"/>
    <n v="9612.9"/>
    <n v="48064.5"/>
  </r>
  <r>
    <s v="2026-03-30"/>
    <s v="Hospital Regional"/>
    <x v="0"/>
    <x v="4"/>
    <x v="1"/>
    <s v="Aspirador Cirúrgico de Secreção"/>
    <n v="9"/>
    <n v="33342.06"/>
    <n v="300078.53999999998"/>
  </r>
  <r>
    <s v="2026-03-30"/>
    <s v="Rede Saúde Total"/>
    <x v="0"/>
    <x v="3"/>
    <x v="1"/>
    <s v="Aspirador Cirúrgico de Secreção"/>
    <n v="7"/>
    <n v="27794.02"/>
    <n v="194558.14"/>
  </r>
  <r>
    <s v="2026-03-30"/>
    <s v="Clínica Vida"/>
    <x v="1"/>
    <x v="3"/>
    <x v="3"/>
    <s v="Monitor Multiparamétrico"/>
    <n v="8"/>
    <n v="30545.89"/>
    <n v="244367.12"/>
  </r>
  <r>
    <s v="2026-03-30"/>
    <s v="Hospital Metropolitano"/>
    <x v="4"/>
    <x v="2"/>
    <x v="0"/>
    <s v="Maca de Transporte"/>
    <n v="1"/>
    <n v="10443.44"/>
    <n v="10443.44"/>
  </r>
  <r>
    <s v="2026-03-31"/>
    <s v="Hospital São Lucas"/>
    <x v="1"/>
    <x v="2"/>
    <x v="0"/>
    <s v="Carro de Emergência (Crash Cart)"/>
    <n v="2"/>
    <n v="9694.43"/>
    <n v="19388.86"/>
  </r>
  <r>
    <s v="2026-03-31"/>
    <s v="Rede Saúde Total"/>
    <x v="2"/>
    <x v="2"/>
    <x v="3"/>
    <s v="Bomba de Infusão"/>
    <n v="8"/>
    <n v="30011.93"/>
    <n v="240095.44"/>
  </r>
  <r>
    <s v="2026-03-31"/>
    <s v="Hospital Regional"/>
    <x v="2"/>
    <x v="1"/>
    <x v="2"/>
    <s v="Monitor de Pressão Arterial 24h"/>
    <n v="9"/>
    <n v="46333.5"/>
    <n v="417001.5"/>
  </r>
  <r>
    <s v="2026-03-31"/>
    <s v="Rede Saúde Total"/>
    <x v="3"/>
    <x v="3"/>
    <x v="0"/>
    <s v="Cama Hospitalar Elétrica"/>
    <n v="4"/>
    <n v="9932.94"/>
    <n v="39731.760000000002"/>
  </r>
  <r>
    <s v="2026-03-31"/>
    <s v="Hospital São Lucas"/>
    <x v="3"/>
    <x v="0"/>
    <x v="0"/>
    <s v="Carro de Emergência (Crash Cart)"/>
    <n v="9"/>
    <n v="9085.01"/>
    <n v="81765.09"/>
  </r>
  <r>
    <s v="2026-03-31"/>
    <s v="Centro Médico Avançado"/>
    <x v="2"/>
    <x v="4"/>
    <x v="2"/>
    <s v="Monitor de Pressão Arterial 24h"/>
    <n v="4"/>
    <n v="49949.14"/>
    <n v="199796.56"/>
  </r>
  <r>
    <s v="2026-04-01"/>
    <s v="Centro Médico Avançado"/>
    <x v="2"/>
    <x v="1"/>
    <x v="0"/>
    <s v="Carro de Emergência (Crash Cart)"/>
    <n v="9"/>
    <n v="9787.81"/>
    <n v="88090.29"/>
  </r>
  <r>
    <s v="2026-04-01"/>
    <s v="Clínica Ortopédica Central"/>
    <x v="2"/>
    <x v="0"/>
    <x v="0"/>
    <s v="Cama Hospitalar Elétrica"/>
    <n v="7"/>
    <n v="9339.83"/>
    <n v="65378.81"/>
  </r>
  <r>
    <s v="2026-04-01"/>
    <s v="Centro Médico Avançado"/>
    <x v="1"/>
    <x v="3"/>
    <x v="2"/>
    <s v="Monitor de Pressão Arterial 24h"/>
    <n v="2"/>
    <n v="47971.43"/>
    <n v="95942.86"/>
  </r>
  <r>
    <s v="2026-04-01"/>
    <s v="Clínica Ortopédica Central"/>
    <x v="2"/>
    <x v="2"/>
    <x v="2"/>
    <s v="Ultrassom Portátil"/>
    <n v="9"/>
    <n v="51743.06"/>
    <n v="465687.54"/>
  </r>
  <r>
    <s v="2026-04-01"/>
    <s v="Rede Saúde Total"/>
    <x v="0"/>
    <x v="3"/>
    <x v="1"/>
    <s v="Aspirador Cirúrgico de Secreção"/>
    <n v="4"/>
    <n v="31948.71"/>
    <n v="127794.84"/>
  </r>
  <r>
    <s v="2026-04-01"/>
    <s v="Hospital Santa Maria"/>
    <x v="4"/>
    <x v="4"/>
    <x v="3"/>
    <s v="Bomba de Infusão"/>
    <n v="8"/>
    <n v="35262.370000000003"/>
    <n v="282098.96000000002"/>
  </r>
  <r>
    <s v="2026-04-02"/>
    <s v="Hospital Metropolitano"/>
    <x v="2"/>
    <x v="1"/>
    <x v="3"/>
    <s v="Monitor Multiparamétrico"/>
    <n v="7"/>
    <n v="31805.3"/>
    <n v="222637.1"/>
  </r>
  <r>
    <s v="2026-04-02"/>
    <s v="Hospital Metropolitano"/>
    <x v="4"/>
    <x v="1"/>
    <x v="2"/>
    <s v="Eletrocardiógrafo"/>
    <n v="7"/>
    <n v="45554.62"/>
    <n v="318882.34000000003"/>
  </r>
  <r>
    <s v="2026-04-02"/>
    <s v="Rede Saúde Total"/>
    <x v="1"/>
    <x v="4"/>
    <x v="2"/>
    <s v="Eletrocardiógrafo"/>
    <n v="8"/>
    <n v="55717.89"/>
    <n v="445743.12"/>
  </r>
  <r>
    <s v="2026-04-02"/>
    <s v="Clínica Vida"/>
    <x v="4"/>
    <x v="0"/>
    <x v="0"/>
    <s v="Maca de Transporte"/>
    <n v="1"/>
    <n v="7607.11"/>
    <n v="7607.11"/>
  </r>
  <r>
    <s v="2026-04-02"/>
    <s v="Clínica Vida"/>
    <x v="1"/>
    <x v="0"/>
    <x v="1"/>
    <s v="Mesa Cirúrgica Eletromecânica"/>
    <n v="5"/>
    <n v="26807.26"/>
    <n v="134036.29999999999"/>
  </r>
  <r>
    <s v="2026-04-02"/>
    <s v="Centro Médico Avançado"/>
    <x v="0"/>
    <x v="1"/>
    <x v="1"/>
    <s v="Aspirador Cirúrgico de Secreção"/>
    <n v="2"/>
    <n v="29314.9"/>
    <n v="58629.8"/>
  </r>
  <r>
    <s v="2026-04-03"/>
    <s v="Hospital Metropolitano"/>
    <x v="1"/>
    <x v="1"/>
    <x v="2"/>
    <s v="Monitor de Pressão Arterial 24h"/>
    <n v="2"/>
    <n v="53311.13"/>
    <n v="106622.26"/>
  </r>
  <r>
    <s v="2026-04-03"/>
    <s v="Hospital Metropolitano"/>
    <x v="1"/>
    <x v="2"/>
    <x v="0"/>
    <s v="Cama Hospitalar Elétrica"/>
    <n v="1"/>
    <n v="7781.5"/>
    <n v="7781.5"/>
  </r>
  <r>
    <s v="2026-04-03"/>
    <s v="Clínica Ortopédica Central"/>
    <x v="3"/>
    <x v="0"/>
    <x v="0"/>
    <s v="Cama Hospitalar Elétrica"/>
    <n v="5"/>
    <n v="8166.65"/>
    <n v="40833.25"/>
  </r>
  <r>
    <s v="2026-04-03"/>
    <s v="Hospital Santa Maria"/>
    <x v="2"/>
    <x v="4"/>
    <x v="3"/>
    <s v="Bomba de Infusão"/>
    <n v="2"/>
    <n v="28042.22"/>
    <n v="56084.44"/>
  </r>
  <r>
    <s v="2026-04-03"/>
    <s v="Hospital São Lucas"/>
    <x v="2"/>
    <x v="0"/>
    <x v="3"/>
    <s v="Monitor Multiparamétrico"/>
    <n v="4"/>
    <n v="36236.61"/>
    <n v="144946.44"/>
  </r>
  <r>
    <s v="2026-04-03"/>
    <s v="Clínica Vida"/>
    <x v="0"/>
    <x v="2"/>
    <x v="0"/>
    <s v="Cama Hospitalar Elétrica"/>
    <n v="3"/>
    <n v="8034.91"/>
    <n v="24104.73"/>
  </r>
  <r>
    <s v="2026-04-04"/>
    <s v="Hospital Metropolitano"/>
    <x v="0"/>
    <x v="1"/>
    <x v="3"/>
    <s v="Bomba de Infusão"/>
    <n v="3"/>
    <n v="32175.040000000001"/>
    <n v="96525.119999999995"/>
  </r>
  <r>
    <s v="2026-04-04"/>
    <s v="Clínica Ortopédica Central"/>
    <x v="2"/>
    <x v="1"/>
    <x v="2"/>
    <s v="Aparelho de Raio-X Móvel"/>
    <n v="2"/>
    <n v="46236.63"/>
    <n v="92473.26"/>
  </r>
  <r>
    <s v="2026-04-04"/>
    <s v="Hospital Regional"/>
    <x v="3"/>
    <x v="2"/>
    <x v="0"/>
    <s v="Poltrona de Coleta"/>
    <n v="6"/>
    <n v="10255.469999999999"/>
    <n v="61532.82"/>
  </r>
  <r>
    <s v="2026-04-04"/>
    <s v="Clínica Ortopédica Central"/>
    <x v="2"/>
    <x v="4"/>
    <x v="3"/>
    <s v="Bomba de Infusão"/>
    <n v="2"/>
    <n v="32465.03"/>
    <n v="64930.06"/>
  </r>
  <r>
    <s v="2026-04-04"/>
    <s v="Clínica Vida"/>
    <x v="3"/>
    <x v="1"/>
    <x v="1"/>
    <s v="Aspirador Cirúrgico de Secreção"/>
    <n v="8"/>
    <n v="25426.52"/>
    <n v="203412.16"/>
  </r>
  <r>
    <s v="2026-04-04"/>
    <s v="Clínica Vida"/>
    <x v="0"/>
    <x v="3"/>
    <x v="0"/>
    <s v="Cama Hospitalar Elétrica"/>
    <n v="8"/>
    <n v="9007.67"/>
    <n v="72061.36"/>
  </r>
  <r>
    <s v="2026-04-05"/>
    <s v="Clínica Ortopédica Central"/>
    <x v="4"/>
    <x v="1"/>
    <x v="0"/>
    <s v="Cama Hospitalar Elétrica"/>
    <n v="5"/>
    <n v="10499.06"/>
    <n v="52495.3"/>
  </r>
  <r>
    <s v="2026-04-05"/>
    <s v="Hospital São Lucas"/>
    <x v="0"/>
    <x v="3"/>
    <x v="1"/>
    <s v="Mesa Cirúrgica Eletromecânica"/>
    <n v="7"/>
    <n v="30606.080000000002"/>
    <n v="214242.56"/>
  </r>
  <r>
    <s v="2026-04-05"/>
    <s v="Rede Saúde Total"/>
    <x v="0"/>
    <x v="2"/>
    <x v="2"/>
    <s v="Eletrocardiógrafo"/>
    <n v="4"/>
    <n v="55950.97"/>
    <n v="223803.88"/>
  </r>
  <r>
    <s v="2026-04-05"/>
    <s v="Clínica Vida"/>
    <x v="1"/>
    <x v="2"/>
    <x v="1"/>
    <s v="Aspirador Cirúrgico de Secreção"/>
    <n v="1"/>
    <n v="33220.400000000001"/>
    <n v="33220.400000000001"/>
  </r>
  <r>
    <s v="2026-04-05"/>
    <s v="Clínica Ortopédica Central"/>
    <x v="1"/>
    <x v="1"/>
    <x v="0"/>
    <s v="Maca de Transporte"/>
    <n v="2"/>
    <n v="7347.28"/>
    <n v="14694.56"/>
  </r>
  <r>
    <s v="2026-04-05"/>
    <s v="Hospital Metropolitano"/>
    <x v="1"/>
    <x v="0"/>
    <x v="2"/>
    <s v="Ultrassom Portátil"/>
    <n v="4"/>
    <n v="50101.19"/>
    <n v="200404.76"/>
  </r>
  <r>
    <s v="2026-04-05"/>
    <s v="Clínica Ortopédica Central"/>
    <x v="1"/>
    <x v="3"/>
    <x v="3"/>
    <s v="Ventilador Pulmonar"/>
    <n v="1"/>
    <n v="30870.62"/>
    <n v="30870.62"/>
  </r>
  <r>
    <s v="2026-04-06"/>
    <s v="Hospital Santa Maria"/>
    <x v="3"/>
    <x v="4"/>
    <x v="3"/>
    <s v="Bomba de Infusão"/>
    <n v="8"/>
    <n v="34363.1"/>
    <n v="274904.8"/>
  </r>
  <r>
    <s v="2026-04-06"/>
    <s v="Rede Saúde Total"/>
    <x v="2"/>
    <x v="1"/>
    <x v="3"/>
    <s v="Desfibrilador Externo"/>
    <n v="9"/>
    <n v="30775.62"/>
    <n v="276980.58"/>
  </r>
  <r>
    <s v="2026-04-06"/>
    <s v="Hospital Regional"/>
    <x v="4"/>
    <x v="4"/>
    <x v="0"/>
    <s v="Carro de Emergência (Crash Cart)"/>
    <n v="4"/>
    <n v="8411.16"/>
    <n v="33644.639999999999"/>
  </r>
  <r>
    <s v="2026-04-06"/>
    <s v="Hospital São Lucas"/>
    <x v="0"/>
    <x v="1"/>
    <x v="1"/>
    <s v="Aspirador Cirúrgico de Secreção"/>
    <n v="3"/>
    <n v="34139.49"/>
    <n v="102418.47"/>
  </r>
  <r>
    <s v="2026-04-06"/>
    <s v="Centro Médico Avançado"/>
    <x v="3"/>
    <x v="0"/>
    <x v="2"/>
    <s v="Monitor de Pressão Arterial 24h"/>
    <n v="2"/>
    <n v="41969.58"/>
    <n v="83939.16"/>
  </r>
  <r>
    <s v="2026-04-06"/>
    <s v="Hospital Regional"/>
    <x v="4"/>
    <x v="0"/>
    <x v="3"/>
    <s v="Bomba de Infusão"/>
    <n v="5"/>
    <n v="38388.6"/>
    <n v="191943"/>
  </r>
  <r>
    <s v="2026-04-07"/>
    <s v="Rede Saúde Total"/>
    <x v="3"/>
    <x v="0"/>
    <x v="2"/>
    <s v="Aparelho de Raio-X Móvel"/>
    <n v="3"/>
    <n v="38798.239999999998"/>
    <n v="116394.72"/>
  </r>
  <r>
    <s v="2026-04-07"/>
    <s v="Rede Saúde Total"/>
    <x v="3"/>
    <x v="0"/>
    <x v="0"/>
    <s v="Carro de Emergência (Crash Cart)"/>
    <n v="7"/>
    <n v="7533.98"/>
    <n v="52737.86"/>
  </r>
  <r>
    <s v="2026-04-07"/>
    <s v="Rede Saúde Total"/>
    <x v="0"/>
    <x v="2"/>
    <x v="3"/>
    <s v="Bomba de Infusão"/>
    <n v="6"/>
    <n v="38139.839999999997"/>
    <n v="228839.04000000001"/>
  </r>
  <r>
    <s v="2026-04-07"/>
    <s v="Hospital Regional"/>
    <x v="2"/>
    <x v="2"/>
    <x v="0"/>
    <s v="Cama Hospitalar Elétrica"/>
    <n v="1"/>
    <n v="9368.89"/>
    <n v="9368.89"/>
  </r>
  <r>
    <s v="2026-04-07"/>
    <s v="Hospital Metropolitano"/>
    <x v="1"/>
    <x v="3"/>
    <x v="1"/>
    <s v="Foco Cirúrgico LED"/>
    <n v="8"/>
    <n v="32169.040000000001"/>
    <n v="257352.32000000001"/>
  </r>
  <r>
    <s v="2026-04-07"/>
    <s v="Rede Saúde Total"/>
    <x v="2"/>
    <x v="4"/>
    <x v="0"/>
    <s v="Carro de Emergência (Crash Cart)"/>
    <n v="2"/>
    <n v="7937.02"/>
    <n v="15874.04"/>
  </r>
  <r>
    <s v="2026-04-08"/>
    <s v="Clínica Ortopédica Central"/>
    <x v="0"/>
    <x v="1"/>
    <x v="0"/>
    <s v="Carro de Emergência (Crash Cart)"/>
    <n v="5"/>
    <n v="9051.08"/>
    <n v="45255.4"/>
  </r>
  <r>
    <s v="2026-04-08"/>
    <s v="Hospital Regional"/>
    <x v="0"/>
    <x v="1"/>
    <x v="1"/>
    <s v="Foco Cirúrgico LED"/>
    <n v="9"/>
    <n v="32056.86"/>
    <n v="288511.74"/>
  </r>
  <r>
    <s v="2026-04-08"/>
    <s v="Centro Médico Avançado"/>
    <x v="0"/>
    <x v="2"/>
    <x v="2"/>
    <s v="Monitor de Pressão Arterial 24h"/>
    <n v="8"/>
    <n v="49541.65"/>
    <n v="396333.2"/>
  </r>
  <r>
    <s v="2026-04-08"/>
    <s v="Rede Saúde Total"/>
    <x v="4"/>
    <x v="1"/>
    <x v="1"/>
    <s v="Bisturi Eletrônico"/>
    <n v="2"/>
    <n v="29083.03"/>
    <n v="58166.06"/>
  </r>
  <r>
    <s v="2026-04-08"/>
    <s v="Clínica Ortopédica Central"/>
    <x v="2"/>
    <x v="2"/>
    <x v="1"/>
    <s v="Mesa Cirúrgica Eletromecânica"/>
    <n v="9"/>
    <n v="34549.58"/>
    <n v="310946.21999999997"/>
  </r>
  <r>
    <s v="2026-04-08"/>
    <s v="Hospital Metropolitano"/>
    <x v="2"/>
    <x v="3"/>
    <x v="0"/>
    <s v="Maca de Transporte"/>
    <n v="5"/>
    <n v="9523.93"/>
    <n v="47619.65"/>
  </r>
  <r>
    <s v="2026-04-09"/>
    <s v="Hospital Santa Maria"/>
    <x v="3"/>
    <x v="4"/>
    <x v="2"/>
    <s v="Aparelho de Raio-X Móvel"/>
    <n v="6"/>
    <n v="54589.51"/>
    <n v="327537.06"/>
  </r>
  <r>
    <s v="2026-04-09"/>
    <s v="Hospital Metropolitano"/>
    <x v="3"/>
    <x v="3"/>
    <x v="3"/>
    <s v="Bomba de Infusão"/>
    <n v="3"/>
    <n v="36541.06"/>
    <n v="109623.18"/>
  </r>
  <r>
    <s v="2026-04-09"/>
    <s v="Centro Médico Avançado"/>
    <x v="3"/>
    <x v="0"/>
    <x v="1"/>
    <s v="Aspirador Cirúrgico de Secreção"/>
    <n v="3"/>
    <n v="32037.19"/>
    <n v="96111.57"/>
  </r>
  <r>
    <s v="2026-04-09"/>
    <s v="Rede Saúde Total"/>
    <x v="0"/>
    <x v="0"/>
    <x v="2"/>
    <s v="Monitor de Pressão Arterial 24h"/>
    <n v="8"/>
    <n v="39690.33"/>
    <n v="317522.64"/>
  </r>
  <r>
    <s v="2026-04-09"/>
    <s v="Centro Médico Avançado"/>
    <x v="2"/>
    <x v="0"/>
    <x v="1"/>
    <s v="Foco Cirúrgico LED"/>
    <n v="2"/>
    <n v="27826"/>
    <n v="55652"/>
  </r>
  <r>
    <s v="2026-04-09"/>
    <s v="Hospital Regional"/>
    <x v="0"/>
    <x v="3"/>
    <x v="1"/>
    <s v="Bisturi Eletrônico"/>
    <n v="2"/>
    <n v="33413.74"/>
    <n v="66827.48"/>
  </r>
  <r>
    <s v="2026-04-10"/>
    <s v="Clínica Vida"/>
    <x v="4"/>
    <x v="1"/>
    <x v="1"/>
    <s v="Aspirador Cirúrgico de Secreção"/>
    <n v="5"/>
    <n v="26405.16"/>
    <n v="132025.79999999999"/>
  </r>
  <r>
    <s v="2026-04-10"/>
    <s v="Rede Saúde Total"/>
    <x v="3"/>
    <x v="4"/>
    <x v="1"/>
    <s v="Bisturi Eletrônico"/>
    <n v="6"/>
    <n v="25093.67"/>
    <n v="150562.01999999999"/>
  </r>
  <r>
    <s v="2026-04-10"/>
    <s v="Clínica Vida"/>
    <x v="0"/>
    <x v="0"/>
    <x v="0"/>
    <s v="Cama Hospitalar Elétrica"/>
    <n v="2"/>
    <n v="8333.76"/>
    <n v="16667.52"/>
  </r>
  <r>
    <s v="2026-04-10"/>
    <s v="Clínica Ortopédica Central"/>
    <x v="0"/>
    <x v="0"/>
    <x v="2"/>
    <s v="Ultrassom Portátil"/>
    <n v="5"/>
    <n v="42217.88"/>
    <n v="211089.4"/>
  </r>
  <r>
    <s v="2026-04-10"/>
    <s v="Hospital Santa Maria"/>
    <x v="4"/>
    <x v="0"/>
    <x v="2"/>
    <s v="Ultrassom Portátil"/>
    <n v="7"/>
    <n v="54905.19"/>
    <n v="384336.33"/>
  </r>
  <r>
    <s v="2026-04-10"/>
    <s v="Hospital São Lucas"/>
    <x v="1"/>
    <x v="4"/>
    <x v="2"/>
    <s v="Aparelho de Raio-X Móvel"/>
    <n v="8"/>
    <n v="53873.4"/>
    <n v="430987.2"/>
  </r>
  <r>
    <s v="2026-04-11"/>
    <s v="Centro Médico Avançado"/>
    <x v="2"/>
    <x v="0"/>
    <x v="1"/>
    <s v="Bisturi Eletrônico"/>
    <n v="7"/>
    <n v="29396.45"/>
    <n v="205775.15"/>
  </r>
  <r>
    <s v="2026-04-11"/>
    <s v="Hospital Metropolitano"/>
    <x v="1"/>
    <x v="4"/>
    <x v="0"/>
    <s v="Cama Hospitalar Elétrica"/>
    <n v="8"/>
    <n v="7433.57"/>
    <n v="59468.56"/>
  </r>
  <r>
    <s v="2026-04-11"/>
    <s v="Hospital Santa Maria"/>
    <x v="3"/>
    <x v="0"/>
    <x v="1"/>
    <s v="Bisturi Eletrônico"/>
    <n v="9"/>
    <n v="31803.1"/>
    <n v="286227.90000000002"/>
  </r>
  <r>
    <s v="2026-04-11"/>
    <s v="Rede Saúde Total"/>
    <x v="0"/>
    <x v="3"/>
    <x v="1"/>
    <s v="Mesa Cirúrgica Eletromecânica"/>
    <n v="5"/>
    <n v="30782.21"/>
    <n v="153911.04999999999"/>
  </r>
  <r>
    <s v="2026-04-11"/>
    <s v="Clínica Vida"/>
    <x v="4"/>
    <x v="3"/>
    <x v="2"/>
    <s v="Aparelho de Raio-X Móvel"/>
    <n v="5"/>
    <n v="55719.98"/>
    <n v="278599.90000000002"/>
  </r>
  <r>
    <s v="2026-04-11"/>
    <s v="Hospital Metropolitano"/>
    <x v="4"/>
    <x v="4"/>
    <x v="1"/>
    <s v="Foco Cirúrgico LED"/>
    <n v="4"/>
    <n v="30060.28"/>
    <n v="120241.12"/>
  </r>
  <r>
    <s v="2026-04-11"/>
    <s v="Clínica Vida"/>
    <x v="2"/>
    <x v="3"/>
    <x v="3"/>
    <s v="Ventilador Pulmonar"/>
    <n v="9"/>
    <n v="31505.84"/>
    <n v="283552.56"/>
  </r>
  <r>
    <s v="2026-04-12"/>
    <s v="Hospital Regional"/>
    <x v="1"/>
    <x v="4"/>
    <x v="1"/>
    <s v="Aspirador Cirúrgico de Secreção"/>
    <n v="5"/>
    <n v="29613.040000000001"/>
    <n v="148065.20000000001"/>
  </r>
  <r>
    <s v="2026-04-12"/>
    <s v="Clínica Vida"/>
    <x v="2"/>
    <x v="3"/>
    <x v="3"/>
    <s v="Bomba de Infusão"/>
    <n v="2"/>
    <n v="39734.57"/>
    <n v="79469.14"/>
  </r>
  <r>
    <s v="2026-04-12"/>
    <s v="Hospital Regional"/>
    <x v="0"/>
    <x v="3"/>
    <x v="1"/>
    <s v="Foco Cirúrgico LED"/>
    <n v="8"/>
    <n v="31599.26"/>
    <n v="252794.08"/>
  </r>
  <r>
    <s v="2026-04-12"/>
    <s v="Clínica Ortopédica Central"/>
    <x v="2"/>
    <x v="4"/>
    <x v="0"/>
    <s v="Poltrona de Coleta"/>
    <n v="7"/>
    <n v="9509.7199999999993"/>
    <n v="66568.039999999994"/>
  </r>
  <r>
    <s v="2026-04-12"/>
    <s v="Hospital Metropolitano"/>
    <x v="4"/>
    <x v="1"/>
    <x v="0"/>
    <s v="Carro de Emergência (Crash Cart)"/>
    <n v="8"/>
    <n v="8043.32"/>
    <n v="64346.559999999998"/>
  </r>
  <r>
    <s v="2026-04-12"/>
    <s v="Hospital Metropolitano"/>
    <x v="4"/>
    <x v="3"/>
    <x v="2"/>
    <s v="Ultrassom Portátil"/>
    <n v="3"/>
    <n v="51634.85"/>
    <n v="154904.54999999999"/>
  </r>
  <r>
    <s v="2026-04-13"/>
    <s v="Hospital São Lucas"/>
    <x v="3"/>
    <x v="0"/>
    <x v="1"/>
    <s v="Aspirador Cirúrgico de Secreção"/>
    <n v="4"/>
    <n v="32203.040000000001"/>
    <n v="128812.16"/>
  </r>
  <r>
    <s v="2026-04-13"/>
    <s v="Rede Saúde Total"/>
    <x v="3"/>
    <x v="1"/>
    <x v="3"/>
    <s v="Desfibrilador Externo"/>
    <n v="5"/>
    <n v="31261.3"/>
    <n v="156306.5"/>
  </r>
  <r>
    <s v="2026-04-13"/>
    <s v="Hospital Regional"/>
    <x v="0"/>
    <x v="4"/>
    <x v="3"/>
    <s v="Bomba de Infusão"/>
    <n v="6"/>
    <n v="33391.54"/>
    <n v="200349.24"/>
  </r>
  <r>
    <s v="2026-04-13"/>
    <s v="Hospital São Lucas"/>
    <x v="1"/>
    <x v="1"/>
    <x v="1"/>
    <s v="Aspirador Cirúrgico de Secreção"/>
    <n v="1"/>
    <n v="27099.56"/>
    <n v="27099.56"/>
  </r>
  <r>
    <s v="2026-04-13"/>
    <s v="Clínica Vida"/>
    <x v="2"/>
    <x v="2"/>
    <x v="3"/>
    <s v="Bomba de Infusão"/>
    <n v="4"/>
    <n v="30511.42"/>
    <n v="122045.68"/>
  </r>
  <r>
    <s v="2026-04-13"/>
    <s v="Clínica Vida"/>
    <x v="0"/>
    <x v="2"/>
    <x v="0"/>
    <s v="Carro de Emergência (Crash Cart)"/>
    <n v="5"/>
    <n v="7313.05"/>
    <n v="36565.25"/>
  </r>
  <r>
    <s v="2026-04-14"/>
    <s v="Hospital São Lucas"/>
    <x v="3"/>
    <x v="3"/>
    <x v="3"/>
    <s v="Bomba de Infusão"/>
    <n v="7"/>
    <n v="30850.71"/>
    <n v="215954.97"/>
  </r>
  <r>
    <s v="2026-04-14"/>
    <s v="Hospital Metropolitano"/>
    <x v="2"/>
    <x v="3"/>
    <x v="2"/>
    <s v="Aparelho de Raio-X Móvel"/>
    <n v="5"/>
    <n v="48221.46"/>
    <n v="241107.3"/>
  </r>
  <r>
    <s v="2026-04-14"/>
    <s v="Clínica Vida"/>
    <x v="3"/>
    <x v="0"/>
    <x v="0"/>
    <s v="Poltrona de Coleta"/>
    <n v="1"/>
    <n v="7230.44"/>
    <n v="7230.44"/>
  </r>
  <r>
    <s v="2026-04-14"/>
    <s v="Centro Médico Avançado"/>
    <x v="2"/>
    <x v="1"/>
    <x v="0"/>
    <s v="Carro de Emergência (Crash Cart)"/>
    <n v="7"/>
    <n v="8187.94"/>
    <n v="57315.58"/>
  </r>
  <r>
    <s v="2026-04-14"/>
    <s v="Clínica Ortopédica Central"/>
    <x v="1"/>
    <x v="2"/>
    <x v="0"/>
    <s v="Cama Hospitalar Elétrica"/>
    <n v="8"/>
    <n v="10221.799999999999"/>
    <n v="81774.399999999994"/>
  </r>
  <r>
    <s v="2026-04-14"/>
    <s v="Clínica Ortopédica Central"/>
    <x v="0"/>
    <x v="3"/>
    <x v="1"/>
    <s v="Mesa Cirúrgica Eletromecânica"/>
    <n v="7"/>
    <n v="30448.86"/>
    <n v="213142.02"/>
  </r>
  <r>
    <s v="2026-04-15"/>
    <s v="Centro Médico Avançado"/>
    <x v="2"/>
    <x v="1"/>
    <x v="1"/>
    <s v="Mesa Cirúrgica Eletromecânica"/>
    <n v="4"/>
    <n v="30608.06"/>
    <n v="122432.24"/>
  </r>
  <r>
    <s v="2026-04-15"/>
    <s v="Hospital São Lucas"/>
    <x v="4"/>
    <x v="3"/>
    <x v="0"/>
    <s v="Poltrona de Coleta"/>
    <n v="8"/>
    <n v="8596.44"/>
    <n v="68771.520000000004"/>
  </r>
  <r>
    <s v="2026-04-15"/>
    <s v="Centro Médico Avançado"/>
    <x v="4"/>
    <x v="3"/>
    <x v="1"/>
    <s v="Bisturi Eletrônico"/>
    <n v="5"/>
    <n v="31376.49"/>
    <n v="156882.45000000001"/>
  </r>
  <r>
    <s v="2026-04-15"/>
    <s v="Hospital Regional"/>
    <x v="2"/>
    <x v="2"/>
    <x v="3"/>
    <s v="Desfibrilador Externo"/>
    <n v="9"/>
    <n v="29631.14"/>
    <n v="266680.26"/>
  </r>
  <r>
    <s v="2026-04-15"/>
    <s v="Hospital Regional"/>
    <x v="2"/>
    <x v="2"/>
    <x v="1"/>
    <s v="Mesa Cirúrgica Eletromecânica"/>
    <n v="5"/>
    <n v="32969.96"/>
    <n v="164849.79999999999"/>
  </r>
  <r>
    <s v="2026-04-15"/>
    <s v="Hospital São Lucas"/>
    <x v="2"/>
    <x v="3"/>
    <x v="1"/>
    <s v="Bisturi Eletrônico"/>
    <n v="1"/>
    <n v="25106.92"/>
    <n v="25106.92"/>
  </r>
  <r>
    <s v="2026-04-16"/>
    <s v="Centro Médico Avançado"/>
    <x v="4"/>
    <x v="4"/>
    <x v="0"/>
    <s v="Cama Hospitalar Elétrica"/>
    <n v="9"/>
    <n v="9455.4"/>
    <n v="85098.6"/>
  </r>
  <r>
    <s v="2026-04-16"/>
    <s v="Hospital Regional"/>
    <x v="4"/>
    <x v="3"/>
    <x v="2"/>
    <s v="Eletrocardiógrafo"/>
    <n v="5"/>
    <n v="44390.69"/>
    <n v="221953.45"/>
  </r>
  <r>
    <s v="2026-04-16"/>
    <s v="Hospital Metropolitano"/>
    <x v="2"/>
    <x v="3"/>
    <x v="2"/>
    <s v="Aparelho de Raio-X Móvel"/>
    <n v="6"/>
    <n v="51705.23"/>
    <n v="310231.38"/>
  </r>
  <r>
    <s v="2026-04-16"/>
    <s v="Centro Médico Avançado"/>
    <x v="3"/>
    <x v="0"/>
    <x v="2"/>
    <s v="Ultrassom Portátil"/>
    <n v="4"/>
    <n v="48145.760000000002"/>
    <n v="192583.04000000001"/>
  </r>
  <r>
    <s v="2026-04-16"/>
    <s v="Hospital Metropolitano"/>
    <x v="3"/>
    <x v="0"/>
    <x v="3"/>
    <s v="Bomba de Infusão"/>
    <n v="6"/>
    <n v="32990.120000000003"/>
    <n v="197940.72"/>
  </r>
  <r>
    <s v="2026-04-16"/>
    <s v="Hospital Regional"/>
    <x v="1"/>
    <x v="0"/>
    <x v="1"/>
    <s v="Foco Cirúrgico LED"/>
    <n v="8"/>
    <n v="25697.53"/>
    <n v="205580.24"/>
  </r>
  <r>
    <s v="2026-04-17"/>
    <s v="Clínica Ortopédica Central"/>
    <x v="0"/>
    <x v="4"/>
    <x v="2"/>
    <s v="Ultrassom Portátil"/>
    <n v="3"/>
    <n v="49712.79"/>
    <n v="149138.37"/>
  </r>
  <r>
    <s v="2026-04-17"/>
    <s v="Hospital Regional"/>
    <x v="3"/>
    <x v="4"/>
    <x v="0"/>
    <s v="Maca de Transporte"/>
    <n v="5"/>
    <n v="10539.22"/>
    <n v="52696.1"/>
  </r>
  <r>
    <s v="2026-04-17"/>
    <s v="Hospital Metropolitano"/>
    <x v="4"/>
    <x v="3"/>
    <x v="2"/>
    <s v="Ultrassom Portátil"/>
    <n v="2"/>
    <n v="53110.86"/>
    <n v="106221.72"/>
  </r>
  <r>
    <s v="2026-04-17"/>
    <s v="Hospital Santa Maria"/>
    <x v="3"/>
    <x v="0"/>
    <x v="2"/>
    <s v="Monitor de Pressão Arterial 24h"/>
    <n v="2"/>
    <n v="39330.15"/>
    <n v="78660.3"/>
  </r>
  <r>
    <s v="2026-04-17"/>
    <s v="Rede Saúde Total"/>
    <x v="1"/>
    <x v="4"/>
    <x v="1"/>
    <s v="Mesa Cirúrgica Eletromecânica"/>
    <n v="7"/>
    <n v="28013.77"/>
    <n v="196096.39"/>
  </r>
  <r>
    <s v="2026-04-17"/>
    <s v="Clínica Vida"/>
    <x v="1"/>
    <x v="2"/>
    <x v="1"/>
    <s v="Aspirador Cirúrgico de Secreção"/>
    <n v="6"/>
    <n v="34166.53"/>
    <n v="204999.18"/>
  </r>
  <r>
    <s v="2026-04-17"/>
    <s v="Centro Médico Avançado"/>
    <x v="0"/>
    <x v="3"/>
    <x v="1"/>
    <s v="Foco Cirúrgico LED"/>
    <n v="4"/>
    <n v="29434.09"/>
    <n v="117736.36"/>
  </r>
  <r>
    <s v="2026-04-18"/>
    <s v="Hospital Santa Maria"/>
    <x v="3"/>
    <x v="1"/>
    <x v="3"/>
    <s v="Desfibrilador Externo"/>
    <n v="5"/>
    <n v="35675.03"/>
    <n v="178375.15"/>
  </r>
  <r>
    <s v="2026-04-18"/>
    <s v="Hospital Regional"/>
    <x v="4"/>
    <x v="3"/>
    <x v="3"/>
    <s v="Bomba de Infusão"/>
    <n v="1"/>
    <n v="38881.269999999997"/>
    <n v="38881.269999999997"/>
  </r>
  <r>
    <s v="2026-04-18"/>
    <s v="Clínica Ortopédica Central"/>
    <x v="4"/>
    <x v="1"/>
    <x v="2"/>
    <s v="Ultrassom Portátil"/>
    <n v="7"/>
    <n v="53978.3"/>
    <n v="377848.1"/>
  </r>
  <r>
    <s v="2026-04-18"/>
    <s v="Hospital São Lucas"/>
    <x v="2"/>
    <x v="0"/>
    <x v="1"/>
    <s v="Bisturi Eletrônico"/>
    <n v="8"/>
    <n v="29420.39"/>
    <n v="235363.12"/>
  </r>
  <r>
    <s v="2026-04-18"/>
    <s v="Hospital Regional"/>
    <x v="4"/>
    <x v="1"/>
    <x v="2"/>
    <s v="Monitor de Pressão Arterial 24h"/>
    <n v="9"/>
    <n v="46127.63"/>
    <n v="415148.67"/>
  </r>
  <r>
    <s v="2026-04-18"/>
    <s v="Clínica Ortopédica Central"/>
    <x v="0"/>
    <x v="0"/>
    <x v="0"/>
    <s v="Carro de Emergência (Crash Cart)"/>
    <n v="8"/>
    <n v="8379.9500000000007"/>
    <n v="67039.600000000006"/>
  </r>
  <r>
    <s v="2026-04-19"/>
    <s v="Rede Saúde Total"/>
    <x v="0"/>
    <x v="2"/>
    <x v="0"/>
    <s v="Cama Hospitalar Elétrica"/>
    <n v="5"/>
    <n v="9669.67"/>
    <n v="48348.35"/>
  </r>
  <r>
    <s v="2026-04-19"/>
    <s v="Hospital Regional"/>
    <x v="4"/>
    <x v="1"/>
    <x v="1"/>
    <s v="Bisturi Eletrônico"/>
    <n v="3"/>
    <n v="27014.25"/>
    <n v="81042.75"/>
  </r>
  <r>
    <s v="2026-04-19"/>
    <s v="Hospital Metropolitano"/>
    <x v="4"/>
    <x v="3"/>
    <x v="1"/>
    <s v="Aspirador Cirúrgico de Secreção"/>
    <n v="9"/>
    <n v="26598.74"/>
    <n v="239388.66"/>
  </r>
  <r>
    <s v="2026-04-19"/>
    <s v="Hospital São Lucas"/>
    <x v="2"/>
    <x v="0"/>
    <x v="0"/>
    <s v="Poltrona de Coleta"/>
    <n v="6"/>
    <n v="8436.25"/>
    <n v="50617.5"/>
  </r>
  <r>
    <s v="2026-04-19"/>
    <s v="Clínica Ortopédica Central"/>
    <x v="4"/>
    <x v="3"/>
    <x v="1"/>
    <s v="Aspirador Cirúrgico de Secreção"/>
    <n v="5"/>
    <n v="25784.81"/>
    <n v="128924.05"/>
  </r>
  <r>
    <s v="2026-04-19"/>
    <s v="Clínica Ortopédica Central"/>
    <x v="2"/>
    <x v="4"/>
    <x v="3"/>
    <s v="Ventilador Pulmonar"/>
    <n v="3"/>
    <n v="36097.53"/>
    <n v="108292.59"/>
  </r>
  <r>
    <s v="2026-04-20"/>
    <s v="Clínica Ortopédica Central"/>
    <x v="2"/>
    <x v="0"/>
    <x v="3"/>
    <s v="Desfibrilador Externo"/>
    <n v="6"/>
    <n v="35087.879999999997"/>
    <n v="210527.28"/>
  </r>
  <r>
    <s v="2026-04-20"/>
    <s v="Rede Saúde Total"/>
    <x v="4"/>
    <x v="1"/>
    <x v="1"/>
    <s v="Foco Cirúrgico LED"/>
    <n v="3"/>
    <n v="29208.240000000002"/>
    <n v="87624.72"/>
  </r>
  <r>
    <s v="2026-04-20"/>
    <s v="Hospital Regional"/>
    <x v="1"/>
    <x v="0"/>
    <x v="0"/>
    <s v="Carro de Emergência (Crash Cart)"/>
    <n v="6"/>
    <n v="8552.11"/>
    <n v="51312.66"/>
  </r>
  <r>
    <s v="2026-04-20"/>
    <s v="Rede Saúde Total"/>
    <x v="1"/>
    <x v="3"/>
    <x v="2"/>
    <s v="Monitor de Pressão Arterial 24h"/>
    <n v="4"/>
    <n v="54613.13"/>
    <n v="218452.52"/>
  </r>
  <r>
    <s v="2026-04-20"/>
    <s v="Centro Médico Avançado"/>
    <x v="2"/>
    <x v="2"/>
    <x v="1"/>
    <s v="Bisturi Eletrônico"/>
    <n v="2"/>
    <n v="24126.19"/>
    <n v="48252.38"/>
  </r>
  <r>
    <s v="2026-04-20"/>
    <s v="Clínica Vida"/>
    <x v="4"/>
    <x v="0"/>
    <x v="1"/>
    <s v="Mesa Cirúrgica Eletromecânica"/>
    <n v="8"/>
    <n v="32414.01"/>
    <n v="259312.08"/>
  </r>
  <r>
    <s v="2026-04-21"/>
    <s v="Clínica Vida"/>
    <x v="1"/>
    <x v="1"/>
    <x v="2"/>
    <s v="Eletrocardiógrafo"/>
    <n v="4"/>
    <n v="54484.37"/>
    <n v="217937.48"/>
  </r>
  <r>
    <s v="2026-04-21"/>
    <s v="Centro Médico Avançado"/>
    <x v="4"/>
    <x v="4"/>
    <x v="1"/>
    <s v="Mesa Cirúrgica Eletromecânica"/>
    <n v="9"/>
    <n v="28799.17"/>
    <n v="259192.53"/>
  </r>
  <r>
    <s v="2026-04-21"/>
    <s v="Hospital Regional"/>
    <x v="4"/>
    <x v="2"/>
    <x v="2"/>
    <s v="Eletrocardiógrafo"/>
    <n v="7"/>
    <n v="48162.43"/>
    <n v="337137.01"/>
  </r>
  <r>
    <s v="2026-04-21"/>
    <s v="Hospital Metropolitano"/>
    <x v="4"/>
    <x v="4"/>
    <x v="0"/>
    <s v="Cama Hospitalar Elétrica"/>
    <n v="2"/>
    <n v="10436.18"/>
    <n v="20872.36"/>
  </r>
  <r>
    <s v="2026-04-21"/>
    <s v="Rede Saúde Total"/>
    <x v="3"/>
    <x v="0"/>
    <x v="3"/>
    <s v="Bomba de Infusão"/>
    <n v="4"/>
    <n v="29917.15"/>
    <n v="119668.6"/>
  </r>
  <r>
    <s v="2026-04-21"/>
    <s v="Hospital São Lucas"/>
    <x v="4"/>
    <x v="3"/>
    <x v="0"/>
    <s v="Cama Hospitalar Elétrica"/>
    <n v="5"/>
    <n v="8993.4599999999991"/>
    <n v="44967.3"/>
  </r>
  <r>
    <s v="2026-04-22"/>
    <s v="Clínica Ortopédica Central"/>
    <x v="3"/>
    <x v="3"/>
    <x v="3"/>
    <s v="Ventilador Pulmonar"/>
    <n v="3"/>
    <n v="33276.43"/>
    <n v="99829.29"/>
  </r>
  <r>
    <s v="2026-04-22"/>
    <s v="Clínica Ortopédica Central"/>
    <x v="2"/>
    <x v="1"/>
    <x v="2"/>
    <s v="Monitor de Pressão Arterial 24h"/>
    <n v="9"/>
    <n v="42901.07"/>
    <n v="386109.63"/>
  </r>
  <r>
    <s v="2026-04-22"/>
    <s v="Hospital Regional"/>
    <x v="1"/>
    <x v="3"/>
    <x v="3"/>
    <s v="Ventilador Pulmonar"/>
    <n v="5"/>
    <n v="37677.99"/>
    <n v="188389.95"/>
  </r>
  <r>
    <s v="2026-04-22"/>
    <s v="Hospital Metropolitano"/>
    <x v="1"/>
    <x v="2"/>
    <x v="0"/>
    <s v="Maca de Transporte"/>
    <n v="2"/>
    <n v="10283.64"/>
    <n v="20567.28"/>
  </r>
  <r>
    <s v="2026-04-22"/>
    <s v="Clínica Vida"/>
    <x v="1"/>
    <x v="3"/>
    <x v="3"/>
    <s v="Desfibrilador Externo"/>
    <n v="3"/>
    <n v="37208.74"/>
    <n v="111626.22"/>
  </r>
  <r>
    <s v="2026-04-22"/>
    <s v="Clínica Vida"/>
    <x v="1"/>
    <x v="1"/>
    <x v="2"/>
    <s v="Monitor de Pressão Arterial 24h"/>
    <n v="9"/>
    <n v="41766.46"/>
    <n v="375898.14"/>
  </r>
  <r>
    <s v="2026-04-23"/>
    <s v="Clínica Ortopédica Central"/>
    <x v="1"/>
    <x v="0"/>
    <x v="3"/>
    <s v="Bomba de Infusão"/>
    <n v="7"/>
    <n v="28310.38"/>
    <n v="198172.66"/>
  </r>
  <r>
    <s v="2026-04-23"/>
    <s v="Hospital Regional"/>
    <x v="1"/>
    <x v="0"/>
    <x v="1"/>
    <s v="Foco Cirúrgico LED"/>
    <n v="2"/>
    <n v="30580.98"/>
    <n v="61161.96"/>
  </r>
  <r>
    <s v="2026-04-23"/>
    <s v="Rede Saúde Total"/>
    <x v="1"/>
    <x v="3"/>
    <x v="0"/>
    <s v="Cama Hospitalar Elétrica"/>
    <n v="9"/>
    <n v="7419.12"/>
    <n v="66772.08"/>
  </r>
  <r>
    <s v="2026-04-23"/>
    <s v="Clínica Vida"/>
    <x v="2"/>
    <x v="4"/>
    <x v="1"/>
    <s v="Mesa Cirúrgica Eletromecânica"/>
    <n v="4"/>
    <n v="31335.65"/>
    <n v="125342.6"/>
  </r>
  <r>
    <s v="2026-04-23"/>
    <s v="Rede Saúde Total"/>
    <x v="4"/>
    <x v="0"/>
    <x v="2"/>
    <s v="Eletrocardiógrafo"/>
    <n v="9"/>
    <n v="47797.64"/>
    <n v="430178.76"/>
  </r>
  <r>
    <s v="2026-04-23"/>
    <s v="Hospital Metropolitano"/>
    <x v="0"/>
    <x v="3"/>
    <x v="3"/>
    <s v="Bomba de Infusão"/>
    <n v="2"/>
    <n v="35683.660000000003"/>
    <n v="71367.320000000007"/>
  </r>
  <r>
    <s v="2026-04-23"/>
    <s v="Clínica Vida"/>
    <x v="3"/>
    <x v="1"/>
    <x v="1"/>
    <s v="Aspirador Cirúrgico de Secreção"/>
    <n v="4"/>
    <n v="30409.91"/>
    <n v="121639.64"/>
  </r>
  <r>
    <s v="2026-04-24"/>
    <s v="Clínica Vida"/>
    <x v="0"/>
    <x v="3"/>
    <x v="1"/>
    <s v="Aspirador Cirúrgico de Secreção"/>
    <n v="5"/>
    <n v="28534.27"/>
    <n v="142671.35"/>
  </r>
  <r>
    <s v="2026-04-24"/>
    <s v="Hospital Santa Maria"/>
    <x v="0"/>
    <x v="0"/>
    <x v="3"/>
    <s v="Desfibrilador Externo"/>
    <n v="2"/>
    <n v="29771.23"/>
    <n v="59542.46"/>
  </r>
  <r>
    <s v="2026-04-24"/>
    <s v="Clínica Vida"/>
    <x v="4"/>
    <x v="1"/>
    <x v="3"/>
    <s v="Monitor Multiparamétrico"/>
    <n v="1"/>
    <n v="31112.99"/>
    <n v="31112.99"/>
  </r>
  <r>
    <s v="2026-04-24"/>
    <s v="Centro Médico Avançado"/>
    <x v="4"/>
    <x v="3"/>
    <x v="0"/>
    <s v="Maca de Transporte"/>
    <n v="7"/>
    <n v="9008.2999999999993"/>
    <n v="63058.1"/>
  </r>
  <r>
    <s v="2026-04-24"/>
    <s v="Hospital São Lucas"/>
    <x v="4"/>
    <x v="2"/>
    <x v="1"/>
    <s v="Aspirador Cirúrgico de Secreção"/>
    <n v="1"/>
    <n v="31100.92"/>
    <n v="31100.92"/>
  </r>
  <r>
    <s v="2026-04-24"/>
    <s v="Centro Médico Avançado"/>
    <x v="1"/>
    <x v="1"/>
    <x v="1"/>
    <s v="Bisturi Eletrônico"/>
    <n v="8"/>
    <n v="32530.21"/>
    <n v="260241.68"/>
  </r>
  <r>
    <s v="2026-04-25"/>
    <s v="Hospital Regional"/>
    <x v="2"/>
    <x v="2"/>
    <x v="2"/>
    <s v="Aparelho de Raio-X Móvel"/>
    <n v="3"/>
    <n v="52059.07"/>
    <n v="156177.21"/>
  </r>
  <r>
    <s v="2026-04-25"/>
    <s v="Hospital Regional"/>
    <x v="1"/>
    <x v="4"/>
    <x v="0"/>
    <s v="Carro de Emergência (Crash Cart)"/>
    <n v="6"/>
    <n v="10532.14"/>
    <n v="63192.84"/>
  </r>
  <r>
    <s v="2026-04-25"/>
    <s v="Rede Saúde Total"/>
    <x v="2"/>
    <x v="1"/>
    <x v="2"/>
    <s v="Eletrocardiógrafo"/>
    <n v="7"/>
    <n v="43395.15"/>
    <n v="303766.05"/>
  </r>
  <r>
    <s v="2026-04-25"/>
    <s v="Centro Médico Avançado"/>
    <x v="2"/>
    <x v="2"/>
    <x v="1"/>
    <s v="Foco Cirúrgico LED"/>
    <n v="1"/>
    <n v="24596.44"/>
    <n v="24596.44"/>
  </r>
  <r>
    <s v="2026-04-25"/>
    <s v="Centro Médico Avançado"/>
    <x v="0"/>
    <x v="0"/>
    <x v="2"/>
    <s v="Monitor de Pressão Arterial 24h"/>
    <n v="6"/>
    <n v="44471.82"/>
    <n v="266830.92"/>
  </r>
  <r>
    <s v="2026-04-25"/>
    <s v="Centro Médico Avançado"/>
    <x v="0"/>
    <x v="0"/>
    <x v="1"/>
    <s v="Foco Cirúrgico LED"/>
    <n v="7"/>
    <n v="32124.9"/>
    <n v="224874.3"/>
  </r>
  <r>
    <s v="2026-04-26"/>
    <s v="Hospital Metropolitano"/>
    <x v="2"/>
    <x v="4"/>
    <x v="1"/>
    <s v="Aspirador Cirúrgico de Secreção"/>
    <n v="6"/>
    <n v="28706.85"/>
    <n v="172241.1"/>
  </r>
  <r>
    <s v="2026-04-26"/>
    <s v="Clínica Vida"/>
    <x v="2"/>
    <x v="1"/>
    <x v="2"/>
    <s v="Monitor de Pressão Arterial 24h"/>
    <n v="4"/>
    <n v="52970.19"/>
    <n v="211880.76"/>
  </r>
  <r>
    <s v="2026-04-26"/>
    <s v="Hospital São Lucas"/>
    <x v="1"/>
    <x v="1"/>
    <x v="2"/>
    <s v="Eletrocardiógrafo"/>
    <n v="1"/>
    <n v="48137.87"/>
    <n v="48137.87"/>
  </r>
  <r>
    <s v="2026-04-26"/>
    <s v="Rede Saúde Total"/>
    <x v="1"/>
    <x v="1"/>
    <x v="3"/>
    <s v="Desfibrilador Externo"/>
    <n v="9"/>
    <n v="39101.33"/>
    <n v="351911.97"/>
  </r>
  <r>
    <s v="2026-04-26"/>
    <s v="Centro Médico Avançado"/>
    <x v="0"/>
    <x v="4"/>
    <x v="3"/>
    <s v="Bomba de Infusão"/>
    <n v="4"/>
    <n v="39332.65"/>
    <n v="157330.6"/>
  </r>
  <r>
    <s v="2026-04-26"/>
    <s v="Centro Médico Avançado"/>
    <x v="4"/>
    <x v="1"/>
    <x v="3"/>
    <s v="Bomba de Infusão"/>
    <n v="7"/>
    <n v="28087.1"/>
    <n v="196609.7"/>
  </r>
  <r>
    <s v="2026-04-27"/>
    <s v="Hospital Santa Maria"/>
    <x v="2"/>
    <x v="0"/>
    <x v="1"/>
    <s v="Aspirador Cirúrgico de Secreção"/>
    <n v="7"/>
    <n v="28911.83"/>
    <n v="202382.81"/>
  </r>
  <r>
    <s v="2026-04-27"/>
    <s v="Rede Saúde Total"/>
    <x v="1"/>
    <x v="2"/>
    <x v="2"/>
    <s v="Eletrocardiógrafo"/>
    <n v="2"/>
    <n v="49224.4"/>
    <n v="98448.8"/>
  </r>
  <r>
    <s v="2026-04-27"/>
    <s v="Centro Médico Avançado"/>
    <x v="0"/>
    <x v="0"/>
    <x v="0"/>
    <s v="Carro de Emergência (Crash Cart)"/>
    <n v="1"/>
    <n v="8094.97"/>
    <n v="8094.97"/>
  </r>
  <r>
    <s v="2026-04-27"/>
    <s v="Rede Saúde Total"/>
    <x v="1"/>
    <x v="0"/>
    <x v="1"/>
    <s v="Bisturi Eletrônico"/>
    <n v="8"/>
    <n v="28359.26"/>
    <n v="226874.08"/>
  </r>
  <r>
    <s v="2026-04-27"/>
    <s v="Clínica Vida"/>
    <x v="2"/>
    <x v="2"/>
    <x v="0"/>
    <s v="Maca de Transporte"/>
    <n v="8"/>
    <n v="9529.1200000000008"/>
    <n v="76232.960000000006"/>
  </r>
  <r>
    <s v="2026-04-27"/>
    <s v="Hospital Santa Maria"/>
    <x v="2"/>
    <x v="0"/>
    <x v="2"/>
    <s v="Eletrocardiógrafo"/>
    <n v="7"/>
    <n v="42331.22"/>
    <n v="296318.53999999998"/>
  </r>
  <r>
    <s v="2026-04-28"/>
    <s v="Rede Saúde Total"/>
    <x v="3"/>
    <x v="4"/>
    <x v="1"/>
    <s v="Mesa Cirúrgica Eletromecânica"/>
    <n v="8"/>
    <n v="30542.19"/>
    <n v="244337.52"/>
  </r>
  <r>
    <s v="2026-04-28"/>
    <s v="Hospital São Lucas"/>
    <x v="4"/>
    <x v="2"/>
    <x v="0"/>
    <s v="Maca de Transporte"/>
    <n v="3"/>
    <n v="9596.32"/>
    <n v="28788.959999999999"/>
  </r>
  <r>
    <s v="2026-04-28"/>
    <s v="Hospital São Lucas"/>
    <x v="3"/>
    <x v="0"/>
    <x v="0"/>
    <s v="Carro de Emergência (Crash Cart)"/>
    <n v="2"/>
    <n v="7532.69"/>
    <n v="15065.38"/>
  </r>
  <r>
    <s v="2026-04-28"/>
    <s v="Hospital Regional"/>
    <x v="0"/>
    <x v="3"/>
    <x v="3"/>
    <s v="Bomba de Infusão"/>
    <n v="7"/>
    <n v="33568.379999999997"/>
    <n v="234978.66"/>
  </r>
  <r>
    <s v="2026-04-28"/>
    <s v="Hospital Santa Maria"/>
    <x v="1"/>
    <x v="0"/>
    <x v="3"/>
    <s v="Monitor Multiparamétrico"/>
    <n v="8"/>
    <n v="30567.42"/>
    <n v="244539.36"/>
  </r>
  <r>
    <s v="2026-04-28"/>
    <s v="Hospital Santa Maria"/>
    <x v="0"/>
    <x v="4"/>
    <x v="3"/>
    <s v="Monitor Multiparamétrico"/>
    <n v="1"/>
    <n v="36472.15"/>
    <n v="36472.15"/>
  </r>
  <r>
    <s v="2026-04-29"/>
    <s v="Hospital Regional"/>
    <x v="2"/>
    <x v="1"/>
    <x v="1"/>
    <s v="Bisturi Eletrônico"/>
    <n v="9"/>
    <n v="25923.02"/>
    <n v="233307.18"/>
  </r>
  <r>
    <s v="2026-04-29"/>
    <s v="Rede Saúde Total"/>
    <x v="3"/>
    <x v="0"/>
    <x v="2"/>
    <s v="Eletrocardiógrafo"/>
    <n v="4"/>
    <n v="54310.28"/>
    <n v="217241.12"/>
  </r>
  <r>
    <s v="2026-04-29"/>
    <s v="Hospital Santa Maria"/>
    <x v="3"/>
    <x v="1"/>
    <x v="2"/>
    <s v="Monitor de Pressão Arterial 24h"/>
    <n v="4"/>
    <n v="46006.94"/>
    <n v="184027.76"/>
  </r>
  <r>
    <s v="2026-04-29"/>
    <s v="Hospital São Lucas"/>
    <x v="3"/>
    <x v="3"/>
    <x v="3"/>
    <s v="Monitor Multiparamétrico"/>
    <n v="3"/>
    <n v="29734.44"/>
    <n v="89203.32"/>
  </r>
  <r>
    <s v="2026-04-29"/>
    <s v="Hospital São Lucas"/>
    <x v="0"/>
    <x v="0"/>
    <x v="3"/>
    <s v="Monitor Multiparamétrico"/>
    <n v="6"/>
    <n v="32806.68"/>
    <n v="196840.08"/>
  </r>
  <r>
    <s v="2026-04-29"/>
    <s v="Centro Médico Avançado"/>
    <x v="2"/>
    <x v="2"/>
    <x v="3"/>
    <s v="Desfibrilador Externo"/>
    <n v="1"/>
    <n v="32431.919999999998"/>
    <n v="32431.919999999998"/>
  </r>
  <r>
    <s v="2026-04-29"/>
    <s v="Clínica Vida"/>
    <x v="1"/>
    <x v="1"/>
    <x v="0"/>
    <s v="Maca de Transporte"/>
    <n v="6"/>
    <n v="8683.32"/>
    <n v="52099.92"/>
  </r>
  <r>
    <s v="2026-04-30"/>
    <s v="Hospital Santa Maria"/>
    <x v="1"/>
    <x v="3"/>
    <x v="3"/>
    <s v="Ventilador Pulmonar"/>
    <n v="2"/>
    <n v="34695.18"/>
    <n v="69390.36"/>
  </r>
  <r>
    <s v="2026-04-30"/>
    <s v="Rede Saúde Total"/>
    <x v="0"/>
    <x v="2"/>
    <x v="0"/>
    <s v="Maca de Transporte"/>
    <n v="9"/>
    <n v="8996.99"/>
    <n v="80972.91"/>
  </r>
  <r>
    <s v="2026-04-30"/>
    <s v="Hospital Regional"/>
    <x v="3"/>
    <x v="2"/>
    <x v="2"/>
    <s v="Monitor de Pressão Arterial 24h"/>
    <n v="2"/>
    <n v="40945.99"/>
    <n v="81891.98"/>
  </r>
  <r>
    <s v="2026-04-30"/>
    <s v="Hospital Regional"/>
    <x v="4"/>
    <x v="2"/>
    <x v="1"/>
    <s v="Foco Cirúrgico LED"/>
    <n v="7"/>
    <n v="24534.49"/>
    <n v="171741.43"/>
  </r>
  <r>
    <s v="2026-04-30"/>
    <s v="Rede Saúde Total"/>
    <x v="0"/>
    <x v="2"/>
    <x v="1"/>
    <s v="Bisturi Eletrônico"/>
    <n v="1"/>
    <n v="31969.45"/>
    <n v="31969.45"/>
  </r>
  <r>
    <s v="2026-04-30"/>
    <s v="Hospital Metropolitano"/>
    <x v="0"/>
    <x v="0"/>
    <x v="1"/>
    <s v="Aspirador Cirúrgico de Secreção"/>
    <n v="7"/>
    <n v="30068.84"/>
    <n v="210481.88"/>
  </r>
  <r>
    <s v="2026-05-01"/>
    <s v="Clínica Ortopédica Central"/>
    <x v="2"/>
    <x v="0"/>
    <x v="1"/>
    <s v="Aspirador Cirúrgico de Secreção"/>
    <n v="5"/>
    <n v="27820.81"/>
    <n v="139104.04999999999"/>
  </r>
  <r>
    <s v="2026-05-01"/>
    <s v="Clínica Vida"/>
    <x v="1"/>
    <x v="0"/>
    <x v="0"/>
    <s v="Carro de Emergência (Crash Cart)"/>
    <n v="8"/>
    <n v="9973.42"/>
    <n v="79787.360000000001"/>
  </r>
  <r>
    <s v="2026-05-01"/>
    <s v="Hospital Regional"/>
    <x v="0"/>
    <x v="3"/>
    <x v="0"/>
    <s v="Poltrona de Coleta"/>
    <n v="4"/>
    <n v="8544.4"/>
    <n v="34177.599999999999"/>
  </r>
  <r>
    <s v="2026-05-01"/>
    <s v="Hospital Santa Maria"/>
    <x v="0"/>
    <x v="3"/>
    <x v="3"/>
    <s v="Monitor Multiparamétrico"/>
    <n v="7"/>
    <n v="37388.35"/>
    <n v="261718.45"/>
  </r>
  <r>
    <s v="2026-05-01"/>
    <s v="Clínica Vida"/>
    <x v="3"/>
    <x v="3"/>
    <x v="0"/>
    <s v="Carro de Emergência (Crash Cart)"/>
    <n v="6"/>
    <n v="8264.57"/>
    <n v="49587.42"/>
  </r>
  <r>
    <s v="2026-05-01"/>
    <s v="Hospital Santa Maria"/>
    <x v="3"/>
    <x v="4"/>
    <x v="3"/>
    <s v="Desfibrilador Externo"/>
    <n v="5"/>
    <n v="28132.42"/>
    <n v="140662.1"/>
  </r>
  <r>
    <s v="2026-05-02"/>
    <s v="Hospital Metropolitano"/>
    <x v="4"/>
    <x v="3"/>
    <x v="3"/>
    <s v="Bomba de Infusão"/>
    <n v="4"/>
    <n v="39137.79"/>
    <n v="156551.16"/>
  </r>
  <r>
    <s v="2026-05-02"/>
    <s v="Hospital São Lucas"/>
    <x v="2"/>
    <x v="0"/>
    <x v="1"/>
    <s v="Bisturi Eletrônico"/>
    <n v="7"/>
    <n v="28218.97"/>
    <n v="197532.79"/>
  </r>
  <r>
    <s v="2026-05-02"/>
    <s v="Clínica Vida"/>
    <x v="4"/>
    <x v="0"/>
    <x v="0"/>
    <s v="Carro de Emergência (Crash Cart)"/>
    <n v="5"/>
    <n v="9920.15"/>
    <n v="49600.75"/>
  </r>
  <r>
    <s v="2026-05-02"/>
    <s v="Centro Médico Avançado"/>
    <x v="3"/>
    <x v="4"/>
    <x v="0"/>
    <s v="Cama Hospitalar Elétrica"/>
    <n v="5"/>
    <n v="8174.09"/>
    <n v="40870.449999999997"/>
  </r>
  <r>
    <s v="2026-05-02"/>
    <s v="Hospital Regional"/>
    <x v="1"/>
    <x v="4"/>
    <x v="3"/>
    <s v="Desfibrilador Externo"/>
    <n v="1"/>
    <n v="35473.47"/>
    <n v="35473.47"/>
  </r>
  <r>
    <s v="2026-05-02"/>
    <s v="Clínica Vida"/>
    <x v="3"/>
    <x v="3"/>
    <x v="3"/>
    <s v="Ventilador Pulmonar"/>
    <n v="2"/>
    <n v="38378.379999999997"/>
    <n v="76756.759999999995"/>
  </r>
  <r>
    <s v="2026-05-03"/>
    <s v="Clínica Vida"/>
    <x v="2"/>
    <x v="1"/>
    <x v="2"/>
    <s v="Monitor de Pressão Arterial 24h"/>
    <n v="5"/>
    <n v="38999.589999999997"/>
    <n v="194997.95"/>
  </r>
  <r>
    <s v="2026-05-03"/>
    <s v="Clínica Vida"/>
    <x v="3"/>
    <x v="4"/>
    <x v="2"/>
    <s v="Aparelho de Raio-X Móvel"/>
    <n v="3"/>
    <n v="53201.440000000002"/>
    <n v="159604.32"/>
  </r>
  <r>
    <s v="2026-05-03"/>
    <s v="Clínica Ortopédica Central"/>
    <x v="2"/>
    <x v="2"/>
    <x v="3"/>
    <s v="Monitor Multiparamétrico"/>
    <n v="2"/>
    <n v="34513.06"/>
    <n v="69026.12"/>
  </r>
  <r>
    <s v="2026-05-03"/>
    <s v="Clínica Vida"/>
    <x v="2"/>
    <x v="0"/>
    <x v="2"/>
    <s v="Aparelho de Raio-X Móvel"/>
    <n v="4"/>
    <n v="49184.49"/>
    <n v="196737.96"/>
  </r>
  <r>
    <s v="2026-05-03"/>
    <s v="Hospital Santa Maria"/>
    <x v="2"/>
    <x v="2"/>
    <x v="2"/>
    <s v="Monitor de Pressão Arterial 24h"/>
    <n v="4"/>
    <n v="47666.84"/>
    <n v="190667.36"/>
  </r>
  <r>
    <s v="2026-05-03"/>
    <s v="Hospital São Lucas"/>
    <x v="2"/>
    <x v="0"/>
    <x v="3"/>
    <s v="Bomba de Infusão"/>
    <n v="4"/>
    <n v="38393.279999999999"/>
    <n v="153573.12"/>
  </r>
  <r>
    <s v="2026-05-04"/>
    <s v="Hospital Metropolitano"/>
    <x v="2"/>
    <x v="0"/>
    <x v="3"/>
    <s v="Bomba de Infusão"/>
    <n v="4"/>
    <n v="27755.95"/>
    <n v="111023.8"/>
  </r>
  <r>
    <s v="2026-05-04"/>
    <s v="Rede Saúde Total"/>
    <x v="1"/>
    <x v="4"/>
    <x v="0"/>
    <s v="Cama Hospitalar Elétrica"/>
    <n v="3"/>
    <n v="8112.5"/>
    <n v="24337.5"/>
  </r>
  <r>
    <s v="2026-05-04"/>
    <s v="Clínica Vida"/>
    <x v="4"/>
    <x v="4"/>
    <x v="3"/>
    <s v="Ventilador Pulmonar"/>
    <n v="7"/>
    <n v="38409.760000000002"/>
    <n v="268868.32"/>
  </r>
  <r>
    <s v="2026-05-04"/>
    <s v="Hospital Regional"/>
    <x v="0"/>
    <x v="2"/>
    <x v="3"/>
    <s v="Monitor Multiparamétrico"/>
    <n v="9"/>
    <n v="36830.019999999997"/>
    <n v="331470.18"/>
  </r>
  <r>
    <s v="2026-05-04"/>
    <s v="Clínica Vida"/>
    <x v="4"/>
    <x v="0"/>
    <x v="1"/>
    <s v="Foco Cirúrgico LED"/>
    <n v="5"/>
    <n v="23997.63"/>
    <n v="119988.15"/>
  </r>
  <r>
    <s v="2026-05-04"/>
    <s v="Hospital Regional"/>
    <x v="2"/>
    <x v="2"/>
    <x v="0"/>
    <s v="Poltrona de Coleta"/>
    <n v="4"/>
    <n v="8982.82"/>
    <n v="35931.279999999999"/>
  </r>
  <r>
    <s v="2026-05-05"/>
    <s v="Hospital Santa Maria"/>
    <x v="1"/>
    <x v="1"/>
    <x v="0"/>
    <s v="Poltrona de Coleta"/>
    <n v="2"/>
    <n v="9025.5499999999993"/>
    <n v="18051.099999999999"/>
  </r>
  <r>
    <s v="2026-05-05"/>
    <s v="Hospital Regional"/>
    <x v="3"/>
    <x v="2"/>
    <x v="0"/>
    <s v="Cama Hospitalar Elétrica"/>
    <n v="2"/>
    <n v="8588"/>
    <n v="17176"/>
  </r>
  <r>
    <s v="2026-05-05"/>
    <s v="Centro Médico Avançado"/>
    <x v="1"/>
    <x v="3"/>
    <x v="1"/>
    <s v="Foco Cirúrgico LED"/>
    <n v="5"/>
    <n v="27130.81"/>
    <n v="135654.04999999999"/>
  </r>
  <r>
    <s v="2026-05-05"/>
    <s v="Rede Saúde Total"/>
    <x v="2"/>
    <x v="2"/>
    <x v="3"/>
    <s v="Ventilador Pulmonar"/>
    <n v="7"/>
    <n v="35926.080000000002"/>
    <n v="251482.56"/>
  </r>
  <r>
    <s v="2026-05-05"/>
    <s v="Hospital São Lucas"/>
    <x v="1"/>
    <x v="3"/>
    <x v="0"/>
    <s v="Cama Hospitalar Elétrica"/>
    <n v="9"/>
    <n v="7931.49"/>
    <n v="71383.41"/>
  </r>
  <r>
    <s v="2026-05-05"/>
    <s v="Hospital Regional"/>
    <x v="1"/>
    <x v="3"/>
    <x v="0"/>
    <s v="Maca de Transporte"/>
    <n v="7"/>
    <n v="9941.43"/>
    <n v="69590.009999999995"/>
  </r>
  <r>
    <s v="2026-05-05"/>
    <s v="Hospital Regional"/>
    <x v="2"/>
    <x v="3"/>
    <x v="2"/>
    <s v="Aparelho de Raio-X Móvel"/>
    <n v="5"/>
    <n v="52704.67"/>
    <n v="263523.34999999998"/>
  </r>
  <r>
    <s v="2026-05-06"/>
    <s v="Hospital São Lucas"/>
    <x v="1"/>
    <x v="1"/>
    <x v="0"/>
    <s v="Cama Hospitalar Elétrica"/>
    <n v="6"/>
    <n v="8636.89"/>
    <n v="51821.34"/>
  </r>
  <r>
    <s v="2026-05-06"/>
    <s v="Rede Saúde Total"/>
    <x v="0"/>
    <x v="2"/>
    <x v="3"/>
    <s v="Desfibrilador Externo"/>
    <n v="3"/>
    <n v="30829.41"/>
    <n v="92488.23"/>
  </r>
  <r>
    <s v="2026-05-06"/>
    <s v="Clínica Vida"/>
    <x v="0"/>
    <x v="2"/>
    <x v="3"/>
    <s v="Monitor Multiparamétrico"/>
    <n v="5"/>
    <n v="30833.64"/>
    <n v="154168.20000000001"/>
  </r>
  <r>
    <s v="2026-05-06"/>
    <s v="Hospital Regional"/>
    <x v="1"/>
    <x v="1"/>
    <x v="2"/>
    <s v="Monitor de Pressão Arterial 24h"/>
    <n v="8"/>
    <n v="46931.24"/>
    <n v="375449.92"/>
  </r>
  <r>
    <s v="2026-05-06"/>
    <s v="Hospital São Lucas"/>
    <x v="3"/>
    <x v="0"/>
    <x v="0"/>
    <s v="Carro de Emergência (Crash Cart)"/>
    <n v="1"/>
    <n v="9671.57"/>
    <n v="9671.57"/>
  </r>
  <r>
    <s v="2026-05-06"/>
    <s v="Centro Médico Avançado"/>
    <x v="2"/>
    <x v="4"/>
    <x v="0"/>
    <s v="Poltrona de Coleta"/>
    <n v="1"/>
    <n v="8445.15"/>
    <n v="8445.15"/>
  </r>
  <r>
    <s v="2026-05-07"/>
    <s v="Centro Médico Avançado"/>
    <x v="0"/>
    <x v="2"/>
    <x v="0"/>
    <s v="Cama Hospitalar Elétrica"/>
    <n v="7"/>
    <n v="9299.15"/>
    <n v="65094.05"/>
  </r>
  <r>
    <s v="2026-05-07"/>
    <s v="Hospital Santa Maria"/>
    <x v="3"/>
    <x v="4"/>
    <x v="1"/>
    <s v="Bisturi Eletrônico"/>
    <n v="5"/>
    <n v="28083.83"/>
    <n v="140419.15"/>
  </r>
  <r>
    <s v="2026-05-07"/>
    <s v="Hospital São Lucas"/>
    <x v="1"/>
    <x v="1"/>
    <x v="0"/>
    <s v="Maca de Transporte"/>
    <n v="5"/>
    <n v="8260.3799999999992"/>
    <n v="41301.9"/>
  </r>
  <r>
    <s v="2026-05-07"/>
    <s v="Hospital Santa Maria"/>
    <x v="3"/>
    <x v="0"/>
    <x v="3"/>
    <s v="Monitor Multiparamétrico"/>
    <n v="1"/>
    <n v="27518.2"/>
    <n v="27518.2"/>
  </r>
  <r>
    <s v="2026-05-07"/>
    <s v="Centro Médico Avançado"/>
    <x v="4"/>
    <x v="0"/>
    <x v="3"/>
    <s v="Bomba de Infusão"/>
    <n v="9"/>
    <n v="27250.1"/>
    <n v="245250.9"/>
  </r>
  <r>
    <s v="2026-05-07"/>
    <s v="Rede Saúde Total"/>
    <x v="0"/>
    <x v="0"/>
    <x v="1"/>
    <s v="Aspirador Cirúrgico de Secreção"/>
    <n v="1"/>
    <n v="26344.73"/>
    <n v="26344.73"/>
  </r>
  <r>
    <s v="2026-05-08"/>
    <s v="Clínica Vida"/>
    <x v="1"/>
    <x v="1"/>
    <x v="1"/>
    <s v="Mesa Cirúrgica Eletromecânica"/>
    <n v="5"/>
    <n v="28351.75"/>
    <n v="141758.75"/>
  </r>
  <r>
    <s v="2026-05-08"/>
    <s v="Hospital São Lucas"/>
    <x v="2"/>
    <x v="3"/>
    <x v="0"/>
    <s v="Cama Hospitalar Elétrica"/>
    <n v="9"/>
    <n v="10119.290000000001"/>
    <n v="91073.61"/>
  </r>
  <r>
    <s v="2026-05-08"/>
    <s v="Hospital Metropolitano"/>
    <x v="1"/>
    <x v="3"/>
    <x v="2"/>
    <s v="Eletrocardiógrafo"/>
    <n v="4"/>
    <n v="52622.720000000001"/>
    <n v="210490.88"/>
  </r>
  <r>
    <s v="2026-05-08"/>
    <s v="Centro Médico Avançado"/>
    <x v="2"/>
    <x v="4"/>
    <x v="1"/>
    <s v="Foco Cirúrgico LED"/>
    <n v="8"/>
    <n v="26792.25"/>
    <n v="214338"/>
  </r>
  <r>
    <s v="2026-05-08"/>
    <s v="Centro Médico Avançado"/>
    <x v="1"/>
    <x v="3"/>
    <x v="1"/>
    <s v="Bisturi Eletrônico"/>
    <n v="6"/>
    <n v="26538.85"/>
    <n v="159233.1"/>
  </r>
  <r>
    <s v="2026-05-08"/>
    <s v="Hospital Metropolitano"/>
    <x v="3"/>
    <x v="3"/>
    <x v="0"/>
    <s v="Maca de Transporte"/>
    <n v="3"/>
    <n v="7997.9"/>
    <n v="23993.7"/>
  </r>
  <r>
    <s v="2026-05-09"/>
    <s v="Clínica Ortopédica Central"/>
    <x v="3"/>
    <x v="0"/>
    <x v="0"/>
    <s v="Poltrona de Coleta"/>
    <n v="4"/>
    <n v="8378.41"/>
    <n v="33513.64"/>
  </r>
  <r>
    <s v="2026-05-09"/>
    <s v="Centro Médico Avançado"/>
    <x v="3"/>
    <x v="0"/>
    <x v="1"/>
    <s v="Bisturi Eletrônico"/>
    <n v="2"/>
    <n v="29379.83"/>
    <n v="58759.66"/>
  </r>
  <r>
    <s v="2026-05-09"/>
    <s v="Hospital Regional"/>
    <x v="4"/>
    <x v="4"/>
    <x v="2"/>
    <s v="Eletrocardiógrafo"/>
    <n v="1"/>
    <n v="46146.02"/>
    <n v="46146.02"/>
  </r>
  <r>
    <s v="2026-05-09"/>
    <s v="Rede Saúde Total"/>
    <x v="2"/>
    <x v="2"/>
    <x v="1"/>
    <s v="Foco Cirúrgico LED"/>
    <n v="8"/>
    <n v="26244.66"/>
    <n v="209957.28"/>
  </r>
  <r>
    <s v="2026-05-09"/>
    <s v="Hospital São Lucas"/>
    <x v="3"/>
    <x v="4"/>
    <x v="0"/>
    <s v="Maca de Transporte"/>
    <n v="1"/>
    <n v="7668.53"/>
    <n v="7668.53"/>
  </r>
  <r>
    <s v="2026-05-09"/>
    <s v="Hospital Metropolitano"/>
    <x v="4"/>
    <x v="4"/>
    <x v="0"/>
    <s v="Cama Hospitalar Elétrica"/>
    <n v="1"/>
    <n v="7267.76"/>
    <n v="7267.76"/>
  </r>
  <r>
    <s v="2026-05-10"/>
    <s v="Hospital Regional"/>
    <x v="2"/>
    <x v="1"/>
    <x v="1"/>
    <s v="Mesa Cirúrgica Eletromecânica"/>
    <n v="4"/>
    <n v="25524.39"/>
    <n v="102097.56"/>
  </r>
  <r>
    <s v="2026-05-10"/>
    <s v="Hospital Metropolitano"/>
    <x v="1"/>
    <x v="1"/>
    <x v="2"/>
    <s v="Ultrassom Portátil"/>
    <n v="6"/>
    <n v="50946.41"/>
    <n v="305678.46000000002"/>
  </r>
  <r>
    <s v="2026-05-10"/>
    <s v="Hospital São Lucas"/>
    <x v="4"/>
    <x v="4"/>
    <x v="1"/>
    <s v="Bisturi Eletrônico"/>
    <n v="9"/>
    <n v="26528.75"/>
    <n v="238758.75"/>
  </r>
  <r>
    <s v="2026-05-10"/>
    <s v="Hospital Santa Maria"/>
    <x v="0"/>
    <x v="4"/>
    <x v="1"/>
    <s v="Foco Cirúrgico LED"/>
    <n v="1"/>
    <n v="29048.34"/>
    <n v="29048.34"/>
  </r>
  <r>
    <s v="2026-05-10"/>
    <s v="Hospital São Lucas"/>
    <x v="4"/>
    <x v="4"/>
    <x v="0"/>
    <s v="Poltrona de Coleta"/>
    <n v="7"/>
    <n v="9235.42"/>
    <n v="64647.94"/>
  </r>
  <r>
    <s v="2026-05-10"/>
    <s v="Clínica Ortopédica Central"/>
    <x v="4"/>
    <x v="3"/>
    <x v="2"/>
    <s v="Aparelho de Raio-X Móvel"/>
    <n v="5"/>
    <n v="54213.14"/>
    <n v="271065.7"/>
  </r>
  <r>
    <s v="2026-05-11"/>
    <s v="Hospital São Lucas"/>
    <x v="2"/>
    <x v="1"/>
    <x v="3"/>
    <s v="Monitor Multiparamétrico"/>
    <n v="8"/>
    <n v="38577.35"/>
    <n v="308618.8"/>
  </r>
  <r>
    <s v="2026-05-11"/>
    <s v="Hospital São Lucas"/>
    <x v="1"/>
    <x v="4"/>
    <x v="2"/>
    <s v="Eletrocardiógrafo"/>
    <n v="7"/>
    <n v="51673.21"/>
    <n v="361712.47"/>
  </r>
  <r>
    <s v="2026-05-11"/>
    <s v="Clínica Ortopédica Central"/>
    <x v="0"/>
    <x v="0"/>
    <x v="1"/>
    <s v="Mesa Cirúrgica Eletromecânica"/>
    <n v="4"/>
    <n v="24193.759999999998"/>
    <n v="96775.039999999994"/>
  </r>
  <r>
    <s v="2026-05-11"/>
    <s v="Rede Saúde Total"/>
    <x v="3"/>
    <x v="0"/>
    <x v="1"/>
    <s v="Aspirador Cirúrgico de Secreção"/>
    <n v="4"/>
    <n v="30240.79"/>
    <n v="120963.16"/>
  </r>
  <r>
    <s v="2026-05-11"/>
    <s v="Centro Médico Avançado"/>
    <x v="3"/>
    <x v="3"/>
    <x v="1"/>
    <s v="Foco Cirúrgico LED"/>
    <n v="6"/>
    <n v="32609.73"/>
    <n v="195658.38"/>
  </r>
  <r>
    <s v="2026-05-11"/>
    <s v="Hospital São Lucas"/>
    <x v="4"/>
    <x v="3"/>
    <x v="2"/>
    <s v="Eletrocardiógrafo"/>
    <n v="6"/>
    <n v="38561.18"/>
    <n v="231367.08"/>
  </r>
  <r>
    <s v="2026-05-11"/>
    <s v="Clínica Ortopédica Central"/>
    <x v="2"/>
    <x v="2"/>
    <x v="0"/>
    <s v="Poltrona de Coleta"/>
    <n v="9"/>
    <n v="9093.93"/>
    <n v="81845.37"/>
  </r>
  <r>
    <s v="2026-05-12"/>
    <s v="Hospital Regional"/>
    <x v="2"/>
    <x v="2"/>
    <x v="1"/>
    <s v="Mesa Cirúrgica Eletromecânica"/>
    <n v="5"/>
    <n v="33406.959999999999"/>
    <n v="167034.79999999999"/>
  </r>
  <r>
    <s v="2026-05-12"/>
    <s v="Hospital Santa Maria"/>
    <x v="3"/>
    <x v="2"/>
    <x v="1"/>
    <s v="Mesa Cirúrgica Eletromecânica"/>
    <n v="8"/>
    <n v="29109.94"/>
    <n v="232879.52"/>
  </r>
  <r>
    <s v="2026-05-12"/>
    <s v="Hospital Santa Maria"/>
    <x v="0"/>
    <x v="3"/>
    <x v="2"/>
    <s v="Monitor de Pressão Arterial 24h"/>
    <n v="5"/>
    <n v="38323.910000000003"/>
    <n v="191619.55"/>
  </r>
  <r>
    <s v="2026-05-12"/>
    <s v="Hospital São Lucas"/>
    <x v="1"/>
    <x v="3"/>
    <x v="3"/>
    <s v="Ventilador Pulmonar"/>
    <n v="2"/>
    <n v="27340.97"/>
    <n v="54681.94"/>
  </r>
  <r>
    <s v="2026-05-12"/>
    <s v="Rede Saúde Total"/>
    <x v="0"/>
    <x v="3"/>
    <x v="3"/>
    <s v="Ventilador Pulmonar"/>
    <n v="6"/>
    <n v="32532.94"/>
    <n v="195197.64"/>
  </r>
  <r>
    <s v="2026-05-12"/>
    <s v="Rede Saúde Total"/>
    <x v="1"/>
    <x v="0"/>
    <x v="0"/>
    <s v="Carro de Emergência (Crash Cart)"/>
    <n v="9"/>
    <n v="7752.03"/>
    <n v="69768.27"/>
  </r>
  <r>
    <s v="2026-05-13"/>
    <s v="Hospital Regional"/>
    <x v="3"/>
    <x v="3"/>
    <x v="0"/>
    <s v="Maca de Transporte"/>
    <n v="3"/>
    <n v="9484.1299999999992"/>
    <n v="28452.39"/>
  </r>
  <r>
    <s v="2026-05-13"/>
    <s v="Hospital São Lucas"/>
    <x v="1"/>
    <x v="0"/>
    <x v="1"/>
    <s v="Aspirador Cirúrgico de Secreção"/>
    <n v="1"/>
    <n v="31738.55"/>
    <n v="31738.55"/>
  </r>
  <r>
    <s v="2026-05-13"/>
    <s v="Hospital Santa Maria"/>
    <x v="2"/>
    <x v="2"/>
    <x v="2"/>
    <s v="Ultrassom Portátil"/>
    <n v="1"/>
    <n v="41451.839999999997"/>
    <n v="41451.839999999997"/>
  </r>
  <r>
    <s v="2026-05-13"/>
    <s v="Rede Saúde Total"/>
    <x v="4"/>
    <x v="2"/>
    <x v="1"/>
    <s v="Bisturi Eletrônico"/>
    <n v="3"/>
    <n v="33751.57"/>
    <n v="101254.71"/>
  </r>
  <r>
    <s v="2026-05-13"/>
    <s v="Hospital São Lucas"/>
    <x v="4"/>
    <x v="2"/>
    <x v="0"/>
    <s v="Maca de Transporte"/>
    <n v="5"/>
    <n v="8727.49"/>
    <n v="43637.45"/>
  </r>
  <r>
    <s v="2026-05-13"/>
    <s v="Hospital Metropolitano"/>
    <x v="3"/>
    <x v="4"/>
    <x v="2"/>
    <s v="Aparelho de Raio-X Móvel"/>
    <n v="3"/>
    <n v="40821.230000000003"/>
    <n v="122463.69"/>
  </r>
  <r>
    <s v="2026-05-14"/>
    <s v="Rede Saúde Total"/>
    <x v="2"/>
    <x v="4"/>
    <x v="2"/>
    <s v="Eletrocardiógrafo"/>
    <n v="9"/>
    <n v="52006.53"/>
    <n v="468058.77"/>
  </r>
  <r>
    <s v="2026-05-14"/>
    <s v="Clínica Ortopédica Central"/>
    <x v="0"/>
    <x v="1"/>
    <x v="0"/>
    <s v="Carro de Emergência (Crash Cart)"/>
    <n v="8"/>
    <n v="9910.91"/>
    <n v="79287.28"/>
  </r>
  <r>
    <s v="2026-05-14"/>
    <s v="Hospital Metropolitano"/>
    <x v="2"/>
    <x v="1"/>
    <x v="3"/>
    <s v="Ventilador Pulmonar"/>
    <n v="3"/>
    <n v="35382.980000000003"/>
    <n v="106148.94"/>
  </r>
  <r>
    <s v="2026-05-14"/>
    <s v="Centro Médico Avançado"/>
    <x v="4"/>
    <x v="1"/>
    <x v="3"/>
    <s v="Desfibrilador Externo"/>
    <n v="9"/>
    <n v="38124.36"/>
    <n v="343119.24"/>
  </r>
  <r>
    <s v="2026-05-14"/>
    <s v="Rede Saúde Total"/>
    <x v="4"/>
    <x v="4"/>
    <x v="2"/>
    <s v="Aparelho de Raio-X Móvel"/>
    <n v="6"/>
    <n v="51522.71"/>
    <n v="309136.26"/>
  </r>
  <r>
    <s v="2026-05-14"/>
    <s v="Hospital Santa Maria"/>
    <x v="2"/>
    <x v="4"/>
    <x v="1"/>
    <s v="Aspirador Cirúrgico de Secreção"/>
    <n v="7"/>
    <n v="33680.699999999997"/>
    <n v="235764.9"/>
  </r>
  <r>
    <s v="2026-05-15"/>
    <s v="Clínica Vida"/>
    <x v="2"/>
    <x v="1"/>
    <x v="3"/>
    <s v="Monitor Multiparamétrico"/>
    <n v="4"/>
    <n v="32753.77"/>
    <n v="131015.08"/>
  </r>
  <r>
    <s v="2026-05-15"/>
    <s v="Hospital Metropolitano"/>
    <x v="4"/>
    <x v="1"/>
    <x v="1"/>
    <s v="Mesa Cirúrgica Eletromecânica"/>
    <n v="4"/>
    <n v="32173.09"/>
    <n v="128692.36"/>
  </r>
  <r>
    <s v="2026-05-15"/>
    <s v="Centro Médico Avançado"/>
    <x v="0"/>
    <x v="3"/>
    <x v="3"/>
    <s v="Desfibrilador Externo"/>
    <n v="2"/>
    <n v="39996.82"/>
    <n v="79993.64"/>
  </r>
  <r>
    <s v="2026-05-15"/>
    <s v="Hospital Regional"/>
    <x v="3"/>
    <x v="1"/>
    <x v="3"/>
    <s v="Bomba de Infusão"/>
    <n v="5"/>
    <n v="36479.120000000003"/>
    <n v="182395.6"/>
  </r>
  <r>
    <s v="2026-05-15"/>
    <s v="Hospital Regional"/>
    <x v="3"/>
    <x v="3"/>
    <x v="1"/>
    <s v="Foco Cirúrgico LED"/>
    <n v="8"/>
    <n v="25078.86"/>
    <n v="200630.88"/>
  </r>
  <r>
    <s v="2026-05-15"/>
    <s v="Hospital Santa Maria"/>
    <x v="2"/>
    <x v="0"/>
    <x v="0"/>
    <s v="Maca de Transporte"/>
    <n v="7"/>
    <n v="8987.2800000000007"/>
    <n v="62910.96"/>
  </r>
  <r>
    <s v="2026-05-16"/>
    <s v="Rede Saúde Total"/>
    <x v="3"/>
    <x v="4"/>
    <x v="3"/>
    <s v="Bomba de Infusão"/>
    <n v="7"/>
    <n v="34718.050000000003"/>
    <n v="243026.35"/>
  </r>
  <r>
    <s v="2026-05-16"/>
    <s v="Hospital São Lucas"/>
    <x v="4"/>
    <x v="1"/>
    <x v="3"/>
    <s v="Monitor Multiparamétrico"/>
    <n v="6"/>
    <n v="29429.9"/>
    <n v="176579.4"/>
  </r>
  <r>
    <s v="2026-05-16"/>
    <s v="Rede Saúde Total"/>
    <x v="4"/>
    <x v="4"/>
    <x v="1"/>
    <s v="Foco Cirúrgico LED"/>
    <n v="3"/>
    <n v="34584.39"/>
    <n v="103753.17"/>
  </r>
  <r>
    <s v="2026-05-16"/>
    <s v="Hospital Santa Maria"/>
    <x v="2"/>
    <x v="4"/>
    <x v="0"/>
    <s v="Maca de Transporte"/>
    <n v="5"/>
    <n v="7821.97"/>
    <n v="39109.85"/>
  </r>
  <r>
    <s v="2026-05-16"/>
    <s v="Hospital Regional"/>
    <x v="2"/>
    <x v="4"/>
    <x v="3"/>
    <s v="Ventilador Pulmonar"/>
    <n v="1"/>
    <n v="29472.74"/>
    <n v="29472.74"/>
  </r>
  <r>
    <s v="2026-05-16"/>
    <s v="Rede Saúde Total"/>
    <x v="2"/>
    <x v="0"/>
    <x v="3"/>
    <s v="Ventilador Pulmonar"/>
    <n v="7"/>
    <n v="38914.14"/>
    <n v="272398.98"/>
  </r>
  <r>
    <s v="2026-05-17"/>
    <s v="Hospital Regional"/>
    <x v="0"/>
    <x v="2"/>
    <x v="0"/>
    <s v="Maca de Transporte"/>
    <n v="9"/>
    <n v="8806.7000000000007"/>
    <n v="79260.3"/>
  </r>
  <r>
    <s v="2026-05-17"/>
    <s v="Hospital Metropolitano"/>
    <x v="3"/>
    <x v="1"/>
    <x v="3"/>
    <s v="Monitor Multiparamétrico"/>
    <n v="1"/>
    <n v="28008.81"/>
    <n v="28008.81"/>
  </r>
  <r>
    <s v="2026-05-17"/>
    <s v="Centro Médico Avançado"/>
    <x v="2"/>
    <x v="2"/>
    <x v="0"/>
    <s v="Cama Hospitalar Elétrica"/>
    <n v="2"/>
    <n v="9258.84"/>
    <n v="18517.68"/>
  </r>
  <r>
    <s v="2026-05-17"/>
    <s v="Hospital São Lucas"/>
    <x v="1"/>
    <x v="2"/>
    <x v="0"/>
    <s v="Carro de Emergência (Crash Cart)"/>
    <n v="3"/>
    <n v="9271.2099999999991"/>
    <n v="27813.63"/>
  </r>
  <r>
    <s v="2026-05-17"/>
    <s v="Hospital Metropolitano"/>
    <x v="1"/>
    <x v="2"/>
    <x v="1"/>
    <s v="Aspirador Cirúrgico de Secreção"/>
    <n v="3"/>
    <n v="24522.41"/>
    <n v="73567.23"/>
  </r>
  <r>
    <s v="2026-05-17"/>
    <s v="Hospital Regional"/>
    <x v="4"/>
    <x v="4"/>
    <x v="2"/>
    <s v="Ultrassom Portátil"/>
    <n v="8"/>
    <n v="55755.4"/>
    <n v="446043.2"/>
  </r>
  <r>
    <s v="2026-05-17"/>
    <s v="Hospital Regional"/>
    <x v="3"/>
    <x v="3"/>
    <x v="0"/>
    <s v="Maca de Transporte"/>
    <n v="7"/>
    <n v="9074.7000000000007"/>
    <n v="63522.9"/>
  </r>
  <r>
    <s v="2026-05-18"/>
    <s v="Clínica Vida"/>
    <x v="2"/>
    <x v="4"/>
    <x v="1"/>
    <s v="Mesa Cirúrgica Eletromecânica"/>
    <n v="6"/>
    <n v="30069.71"/>
    <n v="180418.26"/>
  </r>
  <r>
    <s v="2026-05-18"/>
    <s v="Clínica Vida"/>
    <x v="1"/>
    <x v="4"/>
    <x v="2"/>
    <s v="Eletrocardiógrafo"/>
    <n v="4"/>
    <n v="47612.08"/>
    <n v="190448.32"/>
  </r>
  <r>
    <s v="2026-05-18"/>
    <s v="Hospital Metropolitano"/>
    <x v="3"/>
    <x v="2"/>
    <x v="3"/>
    <s v="Desfibrilador Externo"/>
    <n v="9"/>
    <n v="35017.370000000003"/>
    <n v="315156.33"/>
  </r>
  <r>
    <s v="2026-05-18"/>
    <s v="Clínica Ortopédica Central"/>
    <x v="4"/>
    <x v="4"/>
    <x v="2"/>
    <s v="Ultrassom Portátil"/>
    <n v="1"/>
    <n v="43007.4"/>
    <n v="43007.4"/>
  </r>
  <r>
    <s v="2026-05-18"/>
    <s v="Hospital Metropolitano"/>
    <x v="0"/>
    <x v="2"/>
    <x v="0"/>
    <s v="Cama Hospitalar Elétrica"/>
    <n v="2"/>
    <n v="8201.6200000000008"/>
    <n v="16403.240000000002"/>
  </r>
  <r>
    <s v="2026-05-18"/>
    <s v="Clínica Vida"/>
    <x v="3"/>
    <x v="3"/>
    <x v="0"/>
    <s v="Poltrona de Coleta"/>
    <n v="4"/>
    <n v="8963.5499999999993"/>
    <n v="35854.199999999997"/>
  </r>
  <r>
    <s v="2026-05-19"/>
    <s v="Hospital Regional"/>
    <x v="3"/>
    <x v="1"/>
    <x v="0"/>
    <s v="Cama Hospitalar Elétrica"/>
    <n v="3"/>
    <n v="9967.73"/>
    <n v="29903.19"/>
  </r>
  <r>
    <s v="2026-05-19"/>
    <s v="Hospital Santa Maria"/>
    <x v="0"/>
    <x v="2"/>
    <x v="0"/>
    <s v="Poltrona de Coleta"/>
    <n v="1"/>
    <n v="7394.54"/>
    <n v="7394.54"/>
  </r>
  <r>
    <s v="2026-05-19"/>
    <s v="Hospital Metropolitano"/>
    <x v="3"/>
    <x v="3"/>
    <x v="0"/>
    <s v="Maca de Transporte"/>
    <n v="5"/>
    <n v="9276.57"/>
    <n v="46382.85"/>
  </r>
  <r>
    <s v="2026-05-19"/>
    <s v="Hospital Regional"/>
    <x v="4"/>
    <x v="1"/>
    <x v="1"/>
    <s v="Aspirador Cirúrgico de Secreção"/>
    <n v="7"/>
    <n v="32835.919999999998"/>
    <n v="229851.44"/>
  </r>
  <r>
    <s v="2026-05-19"/>
    <s v="Hospital Santa Maria"/>
    <x v="4"/>
    <x v="0"/>
    <x v="0"/>
    <s v="Cama Hospitalar Elétrica"/>
    <n v="2"/>
    <n v="7758.52"/>
    <n v="15517.04"/>
  </r>
  <r>
    <s v="2026-05-19"/>
    <s v="Hospital Santa Maria"/>
    <x v="0"/>
    <x v="2"/>
    <x v="1"/>
    <s v="Aspirador Cirúrgico de Secreção"/>
    <n v="5"/>
    <n v="23968.25"/>
    <n v="119841.25"/>
  </r>
  <r>
    <s v="2026-05-20"/>
    <s v="Clínica Vida"/>
    <x v="2"/>
    <x v="2"/>
    <x v="3"/>
    <s v="Bomba de Infusão"/>
    <n v="6"/>
    <n v="31202.73"/>
    <n v="187216.38"/>
  </r>
  <r>
    <s v="2026-05-20"/>
    <s v="Hospital Metropolitano"/>
    <x v="1"/>
    <x v="0"/>
    <x v="0"/>
    <s v="Maca de Transporte"/>
    <n v="7"/>
    <n v="9224.69"/>
    <n v="64572.83"/>
  </r>
  <r>
    <s v="2026-05-20"/>
    <s v="Rede Saúde Total"/>
    <x v="2"/>
    <x v="0"/>
    <x v="0"/>
    <s v="Maca de Transporte"/>
    <n v="1"/>
    <n v="7695.16"/>
    <n v="7695.16"/>
  </r>
  <r>
    <s v="2026-05-20"/>
    <s v="Hospital São Lucas"/>
    <x v="3"/>
    <x v="2"/>
    <x v="2"/>
    <s v="Monitor de Pressão Arterial 24h"/>
    <n v="7"/>
    <n v="45920.2"/>
    <n v="321441.40000000002"/>
  </r>
  <r>
    <s v="2026-05-20"/>
    <s v="Clínica Vida"/>
    <x v="1"/>
    <x v="0"/>
    <x v="3"/>
    <s v="Ventilador Pulmonar"/>
    <n v="4"/>
    <n v="34269.72"/>
    <n v="137078.88"/>
  </r>
  <r>
    <s v="2026-05-20"/>
    <s v="Clínica Vida"/>
    <x v="0"/>
    <x v="4"/>
    <x v="0"/>
    <s v="Carro de Emergência (Crash Cart)"/>
    <n v="8"/>
    <n v="9261.2000000000007"/>
    <n v="74089.600000000006"/>
  </r>
  <r>
    <s v="2026-05-21"/>
    <s v="Rede Saúde Total"/>
    <x v="0"/>
    <x v="1"/>
    <x v="0"/>
    <s v="Maca de Transporte"/>
    <n v="4"/>
    <n v="8158"/>
    <n v="32632"/>
  </r>
  <r>
    <s v="2026-05-21"/>
    <s v="Hospital São Lucas"/>
    <x v="1"/>
    <x v="1"/>
    <x v="3"/>
    <s v="Monitor Multiparamétrico"/>
    <n v="6"/>
    <n v="32320.38"/>
    <n v="193922.28"/>
  </r>
  <r>
    <s v="2026-05-21"/>
    <s v="Hospital Regional"/>
    <x v="4"/>
    <x v="1"/>
    <x v="1"/>
    <s v="Foco Cirúrgico LED"/>
    <n v="9"/>
    <n v="32517.4"/>
    <n v="292656.59999999998"/>
  </r>
  <r>
    <s v="2026-05-21"/>
    <s v="Clínica Ortopédica Central"/>
    <x v="1"/>
    <x v="4"/>
    <x v="0"/>
    <s v="Cama Hospitalar Elétrica"/>
    <n v="5"/>
    <n v="10425.129999999999"/>
    <n v="52125.65"/>
  </r>
  <r>
    <s v="2026-05-21"/>
    <s v="Hospital Metropolitano"/>
    <x v="3"/>
    <x v="0"/>
    <x v="2"/>
    <s v="Eletrocardiógrafo"/>
    <n v="4"/>
    <n v="53763.85"/>
    <n v="215055.4"/>
  </r>
  <r>
    <s v="2026-05-21"/>
    <s v="Clínica Ortopédica Central"/>
    <x v="4"/>
    <x v="3"/>
    <x v="0"/>
    <s v="Poltrona de Coleta"/>
    <n v="8"/>
    <n v="9143.56"/>
    <n v="73148.479999999996"/>
  </r>
  <r>
    <s v="2026-05-22"/>
    <s v="Hospital Regional"/>
    <x v="0"/>
    <x v="0"/>
    <x v="2"/>
    <s v="Ultrassom Portátil"/>
    <n v="9"/>
    <n v="45635.27"/>
    <n v="410717.43"/>
  </r>
  <r>
    <s v="2026-05-22"/>
    <s v="Centro Médico Avançado"/>
    <x v="1"/>
    <x v="2"/>
    <x v="2"/>
    <s v="Monitor de Pressão Arterial 24h"/>
    <n v="4"/>
    <n v="44243.22"/>
    <n v="176972.88"/>
  </r>
  <r>
    <s v="2026-05-22"/>
    <s v="Clínica Vida"/>
    <x v="2"/>
    <x v="1"/>
    <x v="0"/>
    <s v="Carro de Emergência (Crash Cart)"/>
    <n v="3"/>
    <n v="7649.85"/>
    <n v="22949.55"/>
  </r>
  <r>
    <s v="2026-05-22"/>
    <s v="Hospital São Lucas"/>
    <x v="2"/>
    <x v="0"/>
    <x v="0"/>
    <s v="Poltrona de Coleta"/>
    <n v="8"/>
    <n v="7587.27"/>
    <n v="60698.16"/>
  </r>
  <r>
    <s v="2026-05-22"/>
    <s v="Clínica Vida"/>
    <x v="3"/>
    <x v="3"/>
    <x v="2"/>
    <s v="Aparelho de Raio-X Móvel"/>
    <n v="5"/>
    <n v="50640.44"/>
    <n v="253202.2"/>
  </r>
  <r>
    <s v="2026-05-22"/>
    <s v="Hospital Santa Maria"/>
    <x v="2"/>
    <x v="2"/>
    <x v="3"/>
    <s v="Desfibrilador Externo"/>
    <n v="2"/>
    <n v="30525.37"/>
    <n v="61050.74"/>
  </r>
  <r>
    <s v="2026-05-23"/>
    <s v="Clínica Vida"/>
    <x v="1"/>
    <x v="4"/>
    <x v="3"/>
    <s v="Bomba de Infusão"/>
    <n v="9"/>
    <n v="30459.67"/>
    <n v="274137.03000000003"/>
  </r>
  <r>
    <s v="2026-05-23"/>
    <s v="Clínica Vida"/>
    <x v="1"/>
    <x v="4"/>
    <x v="0"/>
    <s v="Carro de Emergência (Crash Cart)"/>
    <n v="3"/>
    <n v="10618.86"/>
    <n v="31856.58"/>
  </r>
  <r>
    <s v="2026-05-23"/>
    <s v="Hospital Regional"/>
    <x v="2"/>
    <x v="3"/>
    <x v="1"/>
    <s v="Bisturi Eletrônico"/>
    <n v="2"/>
    <n v="25904.77"/>
    <n v="51809.54"/>
  </r>
  <r>
    <s v="2026-05-23"/>
    <s v="Hospital Regional"/>
    <x v="1"/>
    <x v="2"/>
    <x v="3"/>
    <s v="Desfibrilador Externo"/>
    <n v="1"/>
    <n v="29095.16"/>
    <n v="29095.16"/>
  </r>
  <r>
    <s v="2026-05-23"/>
    <s v="Hospital Regional"/>
    <x v="3"/>
    <x v="1"/>
    <x v="0"/>
    <s v="Maca de Transporte"/>
    <n v="8"/>
    <n v="7560.53"/>
    <n v="60484.24"/>
  </r>
  <r>
    <s v="2026-05-23"/>
    <s v="Clínica Ortopédica Central"/>
    <x v="4"/>
    <x v="0"/>
    <x v="3"/>
    <s v="Ventilador Pulmonar"/>
    <n v="3"/>
    <n v="34621.51"/>
    <n v="103864.53"/>
  </r>
  <r>
    <s v="2026-05-23"/>
    <s v="Hospital Santa Maria"/>
    <x v="3"/>
    <x v="2"/>
    <x v="1"/>
    <s v="Mesa Cirúrgica Eletromecânica"/>
    <n v="7"/>
    <n v="30832.07"/>
    <n v="215824.49"/>
  </r>
  <r>
    <s v="2026-05-24"/>
    <s v="Centro Médico Avançado"/>
    <x v="3"/>
    <x v="4"/>
    <x v="0"/>
    <s v="Poltrona de Coleta"/>
    <n v="1"/>
    <n v="8466.77"/>
    <n v="8466.77"/>
  </r>
  <r>
    <s v="2026-05-24"/>
    <s v="Centro Médico Avançado"/>
    <x v="1"/>
    <x v="3"/>
    <x v="1"/>
    <s v="Aspirador Cirúrgico de Secreção"/>
    <n v="1"/>
    <n v="29796.63"/>
    <n v="29796.63"/>
  </r>
  <r>
    <s v="2026-05-24"/>
    <s v="Hospital Regional"/>
    <x v="4"/>
    <x v="3"/>
    <x v="0"/>
    <s v="Cama Hospitalar Elétrica"/>
    <n v="9"/>
    <n v="9905.56"/>
    <n v="89150.04"/>
  </r>
  <r>
    <s v="2026-05-24"/>
    <s v="Hospital São Lucas"/>
    <x v="1"/>
    <x v="0"/>
    <x v="1"/>
    <s v="Aspirador Cirúrgico de Secreção"/>
    <n v="8"/>
    <n v="32962.769999999997"/>
    <n v="263702.15999999997"/>
  </r>
  <r>
    <s v="2026-05-24"/>
    <s v="Clínica Ortopédica Central"/>
    <x v="0"/>
    <x v="3"/>
    <x v="3"/>
    <s v="Bomba de Infusão"/>
    <n v="3"/>
    <n v="39461.269999999997"/>
    <n v="118383.81"/>
  </r>
  <r>
    <s v="2026-05-24"/>
    <s v="Rede Saúde Total"/>
    <x v="1"/>
    <x v="3"/>
    <x v="3"/>
    <s v="Bomba de Infusão"/>
    <n v="6"/>
    <n v="37750.629999999997"/>
    <n v="226503.78"/>
  </r>
  <r>
    <s v="2026-05-25"/>
    <s v="Hospital São Lucas"/>
    <x v="1"/>
    <x v="2"/>
    <x v="1"/>
    <s v="Bisturi Eletrônico"/>
    <n v="3"/>
    <n v="30126.22"/>
    <n v="90378.66"/>
  </r>
  <r>
    <s v="2026-05-25"/>
    <s v="Hospital Metropolitano"/>
    <x v="1"/>
    <x v="1"/>
    <x v="1"/>
    <s v="Bisturi Eletrônico"/>
    <n v="4"/>
    <n v="25812.16"/>
    <n v="103248.64"/>
  </r>
  <r>
    <s v="2026-05-25"/>
    <s v="Hospital Metropolitano"/>
    <x v="4"/>
    <x v="0"/>
    <x v="1"/>
    <s v="Bisturi Eletrônico"/>
    <n v="1"/>
    <n v="24917.35"/>
    <n v="24917.35"/>
  </r>
  <r>
    <s v="2026-05-25"/>
    <s v="Hospital São Lucas"/>
    <x v="1"/>
    <x v="2"/>
    <x v="0"/>
    <s v="Poltrona de Coleta"/>
    <n v="5"/>
    <n v="7410.34"/>
    <n v="37051.699999999997"/>
  </r>
  <r>
    <s v="2026-05-25"/>
    <s v="Hospital Regional"/>
    <x v="4"/>
    <x v="1"/>
    <x v="3"/>
    <s v="Ventilador Pulmonar"/>
    <n v="1"/>
    <n v="35731.53"/>
    <n v="35731.53"/>
  </r>
  <r>
    <s v="2026-05-25"/>
    <s v="Rede Saúde Total"/>
    <x v="2"/>
    <x v="2"/>
    <x v="0"/>
    <s v="Cama Hospitalar Elétrica"/>
    <n v="1"/>
    <n v="9970.6200000000008"/>
    <n v="9970.6200000000008"/>
  </r>
  <r>
    <s v="2026-05-26"/>
    <s v="Rede Saúde Total"/>
    <x v="0"/>
    <x v="2"/>
    <x v="3"/>
    <s v="Bomba de Infusão"/>
    <n v="7"/>
    <n v="33711.15"/>
    <n v="235978.05"/>
  </r>
  <r>
    <s v="2026-05-26"/>
    <s v="Clínica Ortopédica Central"/>
    <x v="4"/>
    <x v="3"/>
    <x v="2"/>
    <s v="Monitor de Pressão Arterial 24h"/>
    <n v="6"/>
    <n v="39234.86"/>
    <n v="235409.16"/>
  </r>
  <r>
    <s v="2026-05-26"/>
    <s v="Rede Saúde Total"/>
    <x v="2"/>
    <x v="1"/>
    <x v="0"/>
    <s v="Maca de Transporte"/>
    <n v="2"/>
    <n v="9045.6"/>
    <n v="18091.2"/>
  </r>
  <r>
    <s v="2026-05-26"/>
    <s v="Hospital Metropolitano"/>
    <x v="4"/>
    <x v="0"/>
    <x v="3"/>
    <s v="Monitor Multiparamétrico"/>
    <n v="2"/>
    <n v="39177.589999999997"/>
    <n v="78355.179999999993"/>
  </r>
  <r>
    <s v="2026-05-26"/>
    <s v="Hospital Santa Maria"/>
    <x v="4"/>
    <x v="0"/>
    <x v="3"/>
    <s v="Desfibrilador Externo"/>
    <n v="7"/>
    <n v="34849.449999999997"/>
    <n v="243946.15"/>
  </r>
  <r>
    <s v="2026-05-26"/>
    <s v="Hospital Regional"/>
    <x v="0"/>
    <x v="1"/>
    <x v="0"/>
    <s v="Carro de Emergência (Crash Cart)"/>
    <n v="1"/>
    <n v="9977.0499999999993"/>
    <n v="9977.0499999999993"/>
  </r>
  <r>
    <s v="2026-05-27"/>
    <s v="Rede Saúde Total"/>
    <x v="3"/>
    <x v="3"/>
    <x v="0"/>
    <s v="Cama Hospitalar Elétrica"/>
    <n v="2"/>
    <n v="9945.52"/>
    <n v="19891.04"/>
  </r>
  <r>
    <s v="2026-05-27"/>
    <s v="Clínica Ortopédica Central"/>
    <x v="3"/>
    <x v="4"/>
    <x v="3"/>
    <s v="Desfibrilador Externo"/>
    <n v="8"/>
    <n v="39131.25"/>
    <n v="313050"/>
  </r>
  <r>
    <s v="2026-05-27"/>
    <s v="Hospital Metropolitano"/>
    <x v="4"/>
    <x v="2"/>
    <x v="0"/>
    <s v="Maca de Transporte"/>
    <n v="6"/>
    <n v="9843.7800000000007"/>
    <n v="59062.68"/>
  </r>
  <r>
    <s v="2026-05-27"/>
    <s v="Hospital Santa Maria"/>
    <x v="1"/>
    <x v="3"/>
    <x v="1"/>
    <s v="Mesa Cirúrgica Eletromecânica"/>
    <n v="2"/>
    <n v="32174.25"/>
    <n v="64348.5"/>
  </r>
  <r>
    <s v="2026-05-27"/>
    <s v="Clínica Vida"/>
    <x v="2"/>
    <x v="1"/>
    <x v="0"/>
    <s v="Maca de Transporte"/>
    <n v="7"/>
    <n v="8020.95"/>
    <n v="56146.65"/>
  </r>
  <r>
    <s v="2026-05-27"/>
    <s v="Clínica Vida"/>
    <x v="1"/>
    <x v="2"/>
    <x v="0"/>
    <s v="Carro de Emergência (Crash Cart)"/>
    <n v="4"/>
    <n v="7428.75"/>
    <n v="29715"/>
  </r>
  <r>
    <s v="2026-05-28"/>
    <s v="Hospital Santa Maria"/>
    <x v="1"/>
    <x v="0"/>
    <x v="0"/>
    <s v="Maca de Transporte"/>
    <n v="2"/>
    <n v="8984.84"/>
    <n v="17969.68"/>
  </r>
  <r>
    <s v="2026-05-28"/>
    <s v="Hospital Metropolitano"/>
    <x v="4"/>
    <x v="4"/>
    <x v="3"/>
    <s v="Desfibrilador Externo"/>
    <n v="6"/>
    <n v="28792.76"/>
    <n v="172756.56"/>
  </r>
  <r>
    <s v="2026-05-28"/>
    <s v="Clínica Ortopédica Central"/>
    <x v="4"/>
    <x v="0"/>
    <x v="1"/>
    <s v="Aspirador Cirúrgico de Secreção"/>
    <n v="9"/>
    <n v="34576.589999999997"/>
    <n v="311189.31"/>
  </r>
  <r>
    <s v="2026-05-28"/>
    <s v="Hospital Santa Maria"/>
    <x v="4"/>
    <x v="1"/>
    <x v="2"/>
    <s v="Aparelho de Raio-X Móvel"/>
    <n v="9"/>
    <n v="43468.65"/>
    <n v="391217.85"/>
  </r>
  <r>
    <s v="2026-05-28"/>
    <s v="Hospital Regional"/>
    <x v="4"/>
    <x v="2"/>
    <x v="2"/>
    <s v="Monitor de Pressão Arterial 24h"/>
    <n v="8"/>
    <n v="53603"/>
    <n v="428824"/>
  </r>
  <r>
    <s v="2026-05-28"/>
    <s v="Hospital Regional"/>
    <x v="3"/>
    <x v="1"/>
    <x v="1"/>
    <s v="Mesa Cirúrgica Eletromecânica"/>
    <n v="3"/>
    <n v="28141.4"/>
    <n v="84424.2"/>
  </r>
  <r>
    <s v="2026-05-29"/>
    <s v="Clínica Vida"/>
    <x v="4"/>
    <x v="2"/>
    <x v="1"/>
    <s v="Mesa Cirúrgica Eletromecânica"/>
    <n v="3"/>
    <n v="27419.78"/>
    <n v="82259.34"/>
  </r>
  <r>
    <s v="2026-05-29"/>
    <s v="Rede Saúde Total"/>
    <x v="3"/>
    <x v="3"/>
    <x v="1"/>
    <s v="Foco Cirúrgico LED"/>
    <n v="2"/>
    <n v="34273.78"/>
    <n v="68547.56"/>
  </r>
  <r>
    <s v="2026-05-29"/>
    <s v="Clínica Ortopédica Central"/>
    <x v="3"/>
    <x v="4"/>
    <x v="3"/>
    <s v="Bomba de Infusão"/>
    <n v="5"/>
    <n v="31850.53"/>
    <n v="159252.65"/>
  </r>
  <r>
    <s v="2026-05-29"/>
    <s v="Clínica Vida"/>
    <x v="4"/>
    <x v="3"/>
    <x v="2"/>
    <s v="Eletrocardiógrafo"/>
    <n v="4"/>
    <n v="45275.18"/>
    <n v="181100.72"/>
  </r>
  <r>
    <s v="2026-05-29"/>
    <s v="Rede Saúde Total"/>
    <x v="0"/>
    <x v="3"/>
    <x v="1"/>
    <s v="Foco Cirúrgico LED"/>
    <n v="7"/>
    <n v="24988.23"/>
    <n v="174917.61"/>
  </r>
  <r>
    <s v="2026-05-29"/>
    <s v="Rede Saúde Total"/>
    <x v="2"/>
    <x v="1"/>
    <x v="3"/>
    <s v="Ventilador Pulmonar"/>
    <n v="4"/>
    <n v="35781.72"/>
    <n v="143126.88"/>
  </r>
  <r>
    <s v="2026-05-29"/>
    <s v="Centro Médico Avançado"/>
    <x v="1"/>
    <x v="4"/>
    <x v="2"/>
    <s v="Eletrocardiógrafo"/>
    <n v="9"/>
    <n v="43449.11"/>
    <n v="391041.99"/>
  </r>
  <r>
    <s v="2026-05-30"/>
    <s v="Hospital Regional"/>
    <x v="3"/>
    <x v="2"/>
    <x v="0"/>
    <s v="Maca de Transporte"/>
    <n v="2"/>
    <n v="9216.0499999999993"/>
    <n v="18432.099999999999"/>
  </r>
  <r>
    <s v="2026-05-30"/>
    <s v="Hospital Metropolitano"/>
    <x v="2"/>
    <x v="2"/>
    <x v="3"/>
    <s v="Monitor Multiparamétrico"/>
    <n v="6"/>
    <n v="34769.300000000003"/>
    <n v="208615.8"/>
  </r>
  <r>
    <s v="2026-05-30"/>
    <s v="Hospital São Lucas"/>
    <x v="0"/>
    <x v="0"/>
    <x v="2"/>
    <s v="Eletrocardiógrafo"/>
    <n v="7"/>
    <n v="51195.59"/>
    <n v="358369.13"/>
  </r>
  <r>
    <s v="2026-05-30"/>
    <s v="Hospital Metropolitano"/>
    <x v="1"/>
    <x v="2"/>
    <x v="3"/>
    <s v="Monitor Multiparamétrico"/>
    <n v="4"/>
    <n v="36739.089999999997"/>
    <n v="146956.35999999999"/>
  </r>
  <r>
    <s v="2026-05-30"/>
    <s v="Hospital São Lucas"/>
    <x v="1"/>
    <x v="1"/>
    <x v="2"/>
    <s v="Ultrassom Portátil"/>
    <n v="6"/>
    <n v="47510.14"/>
    <n v="285060.84000000003"/>
  </r>
  <r>
    <s v="2026-05-30"/>
    <s v="Hospital Santa Maria"/>
    <x v="3"/>
    <x v="3"/>
    <x v="2"/>
    <s v="Aparelho de Raio-X Móvel"/>
    <n v="7"/>
    <n v="44207.86"/>
    <n v="309455.02"/>
  </r>
  <r>
    <s v="2026-05-31"/>
    <s v="Hospital Regional"/>
    <x v="4"/>
    <x v="3"/>
    <x v="0"/>
    <s v="Maca de Transporte"/>
    <n v="4"/>
    <n v="10072.33"/>
    <n v="40289.32"/>
  </r>
  <r>
    <s v="2026-05-31"/>
    <s v="Rede Saúde Total"/>
    <x v="0"/>
    <x v="3"/>
    <x v="3"/>
    <s v="Desfibrilador Externo"/>
    <n v="8"/>
    <n v="31166.28"/>
    <n v="249330.24"/>
  </r>
  <r>
    <s v="2026-05-31"/>
    <s v="Clínica Ortopédica Central"/>
    <x v="3"/>
    <x v="4"/>
    <x v="1"/>
    <s v="Aspirador Cirúrgico de Secreção"/>
    <n v="9"/>
    <n v="29484.1"/>
    <n v="265356.90000000002"/>
  </r>
  <r>
    <s v="2026-05-31"/>
    <s v="Hospital São Lucas"/>
    <x v="0"/>
    <x v="2"/>
    <x v="0"/>
    <s v="Poltrona de Coleta"/>
    <n v="1"/>
    <n v="8589.26"/>
    <n v="8589.26"/>
  </r>
  <r>
    <s v="2026-05-31"/>
    <s v="Hospital Metropolitano"/>
    <x v="4"/>
    <x v="1"/>
    <x v="0"/>
    <s v="Maca de Transporte"/>
    <n v="7"/>
    <n v="10132.27"/>
    <n v="70925.89"/>
  </r>
  <r>
    <s v="2026-05-31"/>
    <s v="Rede Saúde Total"/>
    <x v="4"/>
    <x v="4"/>
    <x v="2"/>
    <s v="Eletrocardiógrafo"/>
    <n v="9"/>
    <n v="46024.53"/>
    <n v="414220.77"/>
  </r>
  <r>
    <s v="2026-06-01"/>
    <s v="Hospital São Lucas"/>
    <x v="3"/>
    <x v="0"/>
    <x v="1"/>
    <s v="Foco Cirúrgico LED"/>
    <n v="5"/>
    <n v="28124.31"/>
    <n v="140621.54999999999"/>
  </r>
  <r>
    <s v="2026-06-01"/>
    <s v="Hospital São Lucas"/>
    <x v="4"/>
    <x v="1"/>
    <x v="3"/>
    <s v="Monitor Multiparamétrico"/>
    <n v="2"/>
    <n v="36029.74"/>
    <n v="72059.48"/>
  </r>
  <r>
    <s v="2026-06-01"/>
    <s v="Centro Médico Avançado"/>
    <x v="2"/>
    <x v="1"/>
    <x v="1"/>
    <s v="Bisturi Eletrônico"/>
    <n v="6"/>
    <n v="30547.34"/>
    <n v="183284.04"/>
  </r>
  <r>
    <s v="2026-06-01"/>
    <s v="Hospital São Lucas"/>
    <x v="1"/>
    <x v="1"/>
    <x v="1"/>
    <s v="Mesa Cirúrgica Eletromecânica"/>
    <n v="7"/>
    <n v="25001.16"/>
    <n v="175008.12"/>
  </r>
  <r>
    <s v="2026-06-01"/>
    <s v="Clínica Ortopédica Central"/>
    <x v="3"/>
    <x v="3"/>
    <x v="1"/>
    <s v="Foco Cirúrgico LED"/>
    <n v="2"/>
    <n v="29491.49"/>
    <n v="58982.98"/>
  </r>
  <r>
    <s v="2026-06-01"/>
    <s v="Hospital Regional"/>
    <x v="0"/>
    <x v="1"/>
    <x v="1"/>
    <s v="Mesa Cirúrgica Eletromecânica"/>
    <n v="2"/>
    <n v="32037.360000000001"/>
    <n v="64074.720000000001"/>
  </r>
  <r>
    <s v="2026-06-02"/>
    <s v="Clínica Ortopédica Central"/>
    <x v="2"/>
    <x v="2"/>
    <x v="1"/>
    <s v="Foco Cirúrgico LED"/>
    <n v="1"/>
    <n v="34911.24"/>
    <n v="34911.24"/>
  </r>
  <r>
    <s v="2026-06-02"/>
    <s v="Clínica Vida"/>
    <x v="3"/>
    <x v="1"/>
    <x v="2"/>
    <s v="Aparelho de Raio-X Móvel"/>
    <n v="4"/>
    <n v="49574.64"/>
    <n v="198298.56"/>
  </r>
  <r>
    <s v="2026-06-02"/>
    <s v="Rede Saúde Total"/>
    <x v="4"/>
    <x v="3"/>
    <x v="2"/>
    <s v="Ultrassom Portátil"/>
    <n v="7"/>
    <n v="44915.28"/>
    <n v="314406.96000000002"/>
  </r>
  <r>
    <s v="2026-06-02"/>
    <s v="Hospital Regional"/>
    <x v="4"/>
    <x v="1"/>
    <x v="0"/>
    <s v="Maca de Transporte"/>
    <n v="9"/>
    <n v="7993.92"/>
    <n v="71945.279999999999"/>
  </r>
  <r>
    <s v="2026-06-02"/>
    <s v="Centro Médico Avançado"/>
    <x v="4"/>
    <x v="0"/>
    <x v="2"/>
    <s v="Ultrassom Portátil"/>
    <n v="3"/>
    <n v="53960.94"/>
    <n v="161882.82"/>
  </r>
  <r>
    <s v="2026-06-02"/>
    <s v="Hospital Regional"/>
    <x v="4"/>
    <x v="0"/>
    <x v="0"/>
    <s v="Poltrona de Coleta"/>
    <n v="7"/>
    <n v="9994.52"/>
    <n v="69961.64"/>
  </r>
  <r>
    <s v="2026-06-03"/>
    <s v="Hospital Regional"/>
    <x v="0"/>
    <x v="3"/>
    <x v="0"/>
    <s v="Maca de Transporte"/>
    <n v="7"/>
    <n v="8020.34"/>
    <n v="56142.38"/>
  </r>
  <r>
    <s v="2026-06-03"/>
    <s v="Hospital Metropolitano"/>
    <x v="2"/>
    <x v="2"/>
    <x v="3"/>
    <s v="Monitor Multiparamétrico"/>
    <n v="7"/>
    <n v="29768.09"/>
    <n v="208376.63"/>
  </r>
  <r>
    <s v="2026-06-03"/>
    <s v="Hospital Regional"/>
    <x v="1"/>
    <x v="2"/>
    <x v="1"/>
    <s v="Bisturi Eletrônico"/>
    <n v="2"/>
    <n v="31809.53"/>
    <n v="63619.06"/>
  </r>
  <r>
    <s v="2026-06-03"/>
    <s v="Centro Médico Avançado"/>
    <x v="0"/>
    <x v="4"/>
    <x v="2"/>
    <s v="Eletrocardiógrafo"/>
    <n v="6"/>
    <n v="43919.14"/>
    <n v="263514.84000000003"/>
  </r>
  <r>
    <s v="2026-06-03"/>
    <s v="Clínica Ortopédica Central"/>
    <x v="0"/>
    <x v="3"/>
    <x v="3"/>
    <s v="Ventilador Pulmonar"/>
    <n v="2"/>
    <n v="31121.9"/>
    <n v="62243.8"/>
  </r>
  <r>
    <s v="2026-06-03"/>
    <s v="Hospital Regional"/>
    <x v="1"/>
    <x v="1"/>
    <x v="2"/>
    <s v="Aparelho de Raio-X Móvel"/>
    <n v="6"/>
    <n v="40991.22"/>
    <n v="245947.32"/>
  </r>
  <r>
    <s v="2026-06-04"/>
    <s v="Hospital Santa Maria"/>
    <x v="1"/>
    <x v="3"/>
    <x v="0"/>
    <s v="Cama Hospitalar Elétrica"/>
    <n v="3"/>
    <n v="8122.52"/>
    <n v="24367.56"/>
  </r>
  <r>
    <s v="2026-06-04"/>
    <s v="Rede Saúde Total"/>
    <x v="4"/>
    <x v="4"/>
    <x v="2"/>
    <s v="Monitor de Pressão Arterial 24h"/>
    <n v="2"/>
    <n v="45945.14"/>
    <n v="91890.28"/>
  </r>
  <r>
    <s v="2026-06-04"/>
    <s v="Hospital Regional"/>
    <x v="0"/>
    <x v="3"/>
    <x v="1"/>
    <s v="Bisturi Eletrônico"/>
    <n v="6"/>
    <n v="32007.79"/>
    <n v="192046.74"/>
  </r>
  <r>
    <s v="2026-06-04"/>
    <s v="Rede Saúde Total"/>
    <x v="3"/>
    <x v="3"/>
    <x v="0"/>
    <s v="Cama Hospitalar Elétrica"/>
    <n v="2"/>
    <n v="8368.4500000000007"/>
    <n v="16736.900000000001"/>
  </r>
  <r>
    <s v="2026-06-04"/>
    <s v="Hospital Santa Maria"/>
    <x v="1"/>
    <x v="4"/>
    <x v="0"/>
    <s v="Cama Hospitalar Elétrica"/>
    <n v="5"/>
    <n v="8342.25"/>
    <n v="41711.25"/>
  </r>
  <r>
    <s v="2026-06-04"/>
    <s v="Hospital Santa Maria"/>
    <x v="1"/>
    <x v="2"/>
    <x v="3"/>
    <s v="Bomba de Infusão"/>
    <n v="2"/>
    <n v="30846.89"/>
    <n v="61693.78"/>
  </r>
  <r>
    <s v="2026-06-04"/>
    <s v="Rede Saúde Total"/>
    <x v="2"/>
    <x v="1"/>
    <x v="1"/>
    <s v="Mesa Cirúrgica Eletromecânica"/>
    <n v="3"/>
    <n v="29156.78"/>
    <n v="87470.34"/>
  </r>
  <r>
    <s v="2026-06-05"/>
    <s v="Hospital São Lucas"/>
    <x v="3"/>
    <x v="4"/>
    <x v="0"/>
    <s v="Cama Hospitalar Elétrica"/>
    <n v="3"/>
    <n v="7839.16"/>
    <n v="23517.48"/>
  </r>
  <r>
    <s v="2026-06-05"/>
    <s v="Clínica Vida"/>
    <x v="3"/>
    <x v="0"/>
    <x v="1"/>
    <s v="Bisturi Eletrônico"/>
    <n v="6"/>
    <n v="29239.06"/>
    <n v="175434.36"/>
  </r>
  <r>
    <s v="2026-06-05"/>
    <s v="Hospital Metropolitano"/>
    <x v="1"/>
    <x v="2"/>
    <x v="2"/>
    <s v="Aparelho de Raio-X Móvel"/>
    <n v="6"/>
    <n v="50925.16"/>
    <n v="305550.96000000002"/>
  </r>
  <r>
    <s v="2026-06-05"/>
    <s v="Hospital São Lucas"/>
    <x v="4"/>
    <x v="0"/>
    <x v="1"/>
    <s v="Aspirador Cirúrgico de Secreção"/>
    <n v="3"/>
    <n v="24133.65"/>
    <n v="72400.95"/>
  </r>
  <r>
    <s v="2026-06-05"/>
    <s v="Hospital São Lucas"/>
    <x v="2"/>
    <x v="2"/>
    <x v="0"/>
    <s v="Carro de Emergência (Crash Cart)"/>
    <n v="3"/>
    <n v="7258.25"/>
    <n v="21774.75"/>
  </r>
  <r>
    <s v="2026-06-05"/>
    <s v="Clínica Ortopédica Central"/>
    <x v="3"/>
    <x v="1"/>
    <x v="3"/>
    <s v="Ventilador Pulmonar"/>
    <n v="1"/>
    <n v="28161.57"/>
    <n v="28161.57"/>
  </r>
  <r>
    <s v="2026-06-06"/>
    <s v="Hospital Metropolitano"/>
    <x v="1"/>
    <x v="1"/>
    <x v="0"/>
    <s v="Poltrona de Coleta"/>
    <n v="7"/>
    <n v="9046.24"/>
    <n v="63323.68"/>
  </r>
  <r>
    <s v="2026-06-06"/>
    <s v="Hospital Metropolitano"/>
    <x v="3"/>
    <x v="3"/>
    <x v="1"/>
    <s v="Mesa Cirúrgica Eletromecânica"/>
    <n v="8"/>
    <n v="33369.9"/>
    <n v="266959.2"/>
  </r>
  <r>
    <s v="2026-06-06"/>
    <s v="Hospital São Lucas"/>
    <x v="2"/>
    <x v="0"/>
    <x v="1"/>
    <s v="Mesa Cirúrgica Eletromecânica"/>
    <n v="2"/>
    <n v="23854.71"/>
    <n v="47709.42"/>
  </r>
  <r>
    <s v="2026-06-06"/>
    <s v="Hospital Regional"/>
    <x v="2"/>
    <x v="2"/>
    <x v="0"/>
    <s v="Carro de Emergência (Crash Cart)"/>
    <n v="4"/>
    <n v="10409.65"/>
    <n v="41638.6"/>
  </r>
  <r>
    <s v="2026-06-06"/>
    <s v="Clínica Ortopédica Central"/>
    <x v="0"/>
    <x v="1"/>
    <x v="1"/>
    <s v="Bisturi Eletrônico"/>
    <n v="7"/>
    <n v="24990.32"/>
    <n v="174932.24"/>
  </r>
  <r>
    <s v="2026-06-06"/>
    <s v="Clínica Ortopédica Central"/>
    <x v="1"/>
    <x v="4"/>
    <x v="2"/>
    <s v="Eletrocardiógrafo"/>
    <n v="8"/>
    <n v="53405.7"/>
    <n v="427245.6"/>
  </r>
  <r>
    <s v="2026-06-07"/>
    <s v="Hospital Santa Maria"/>
    <x v="2"/>
    <x v="1"/>
    <x v="0"/>
    <s v="Maca de Transporte"/>
    <n v="1"/>
    <n v="8866.7099999999991"/>
    <n v="8866.7099999999991"/>
  </r>
  <r>
    <s v="2026-06-07"/>
    <s v="Centro Médico Avançado"/>
    <x v="0"/>
    <x v="4"/>
    <x v="3"/>
    <s v="Desfibrilador Externo"/>
    <n v="4"/>
    <n v="35639.769999999997"/>
    <n v="142559.07999999999"/>
  </r>
  <r>
    <s v="2026-06-07"/>
    <s v="Hospital Metropolitano"/>
    <x v="0"/>
    <x v="2"/>
    <x v="0"/>
    <s v="Maca de Transporte"/>
    <n v="6"/>
    <n v="8961.32"/>
    <n v="53767.92"/>
  </r>
  <r>
    <s v="2026-06-07"/>
    <s v="Hospital São Lucas"/>
    <x v="3"/>
    <x v="1"/>
    <x v="2"/>
    <s v="Ultrassom Portátil"/>
    <n v="3"/>
    <n v="46836.87"/>
    <n v="140510.60999999999"/>
  </r>
  <r>
    <s v="2026-06-07"/>
    <s v="Hospital Santa Maria"/>
    <x v="3"/>
    <x v="1"/>
    <x v="2"/>
    <s v="Aparelho de Raio-X Móvel"/>
    <n v="5"/>
    <n v="53278.19"/>
    <n v="266390.95"/>
  </r>
  <r>
    <s v="2026-06-07"/>
    <s v="Rede Saúde Total"/>
    <x v="0"/>
    <x v="2"/>
    <x v="2"/>
    <s v="Ultrassom Portátil"/>
    <n v="9"/>
    <n v="51855.95"/>
    <n v="466703.55"/>
  </r>
  <r>
    <s v="2026-06-08"/>
    <s v="Clínica Vida"/>
    <x v="3"/>
    <x v="1"/>
    <x v="2"/>
    <s v="Monitor de Pressão Arterial 24h"/>
    <n v="3"/>
    <n v="46951.24"/>
    <n v="140853.72"/>
  </r>
  <r>
    <s v="2026-06-08"/>
    <s v="Centro Médico Avançado"/>
    <x v="2"/>
    <x v="4"/>
    <x v="2"/>
    <s v="Eletrocardiógrafo"/>
    <n v="5"/>
    <n v="40259.449999999997"/>
    <n v="201297.25"/>
  </r>
  <r>
    <s v="2026-06-08"/>
    <s v="Centro Médico Avançado"/>
    <x v="4"/>
    <x v="1"/>
    <x v="3"/>
    <s v="Bomba de Infusão"/>
    <n v="8"/>
    <n v="28677.16"/>
    <n v="229417.28"/>
  </r>
  <r>
    <s v="2026-06-08"/>
    <s v="Centro Médico Avançado"/>
    <x v="2"/>
    <x v="0"/>
    <x v="1"/>
    <s v="Mesa Cirúrgica Eletromecânica"/>
    <n v="6"/>
    <n v="32777.24"/>
    <n v="196663.44"/>
  </r>
  <r>
    <s v="2026-06-08"/>
    <s v="Clínica Ortopédica Central"/>
    <x v="0"/>
    <x v="3"/>
    <x v="2"/>
    <s v="Eletrocardiógrafo"/>
    <n v="4"/>
    <n v="47779.03"/>
    <n v="191116.12"/>
  </r>
  <r>
    <s v="2026-06-08"/>
    <s v="Rede Saúde Total"/>
    <x v="0"/>
    <x v="4"/>
    <x v="2"/>
    <s v="Monitor de Pressão Arterial 24h"/>
    <n v="8"/>
    <n v="46918.6"/>
    <n v="375348.8"/>
  </r>
  <r>
    <s v="2026-06-09"/>
    <s v="Centro Médico Avançado"/>
    <x v="2"/>
    <x v="0"/>
    <x v="0"/>
    <s v="Carro de Emergência (Crash Cart)"/>
    <n v="3"/>
    <n v="9538.93"/>
    <n v="28616.79"/>
  </r>
  <r>
    <s v="2026-06-09"/>
    <s v="Rede Saúde Total"/>
    <x v="3"/>
    <x v="2"/>
    <x v="3"/>
    <s v="Monitor Multiparamétrico"/>
    <n v="3"/>
    <n v="38193.17"/>
    <n v="114579.51"/>
  </r>
  <r>
    <s v="2026-06-09"/>
    <s v="Hospital Regional"/>
    <x v="3"/>
    <x v="4"/>
    <x v="3"/>
    <s v="Desfibrilador Externo"/>
    <n v="4"/>
    <n v="35249.58"/>
    <n v="140998.32"/>
  </r>
  <r>
    <s v="2026-06-09"/>
    <s v="Centro Médico Avançado"/>
    <x v="0"/>
    <x v="3"/>
    <x v="1"/>
    <s v="Foco Cirúrgico LED"/>
    <n v="9"/>
    <n v="32343.9"/>
    <n v="291095.09999999998"/>
  </r>
  <r>
    <s v="2026-06-09"/>
    <s v="Clínica Vida"/>
    <x v="1"/>
    <x v="3"/>
    <x v="3"/>
    <s v="Monitor Multiparamétrico"/>
    <n v="5"/>
    <n v="36995.46"/>
    <n v="184977.3"/>
  </r>
  <r>
    <s v="2026-06-09"/>
    <s v="Rede Saúde Total"/>
    <x v="3"/>
    <x v="2"/>
    <x v="0"/>
    <s v="Cama Hospitalar Elétrica"/>
    <n v="8"/>
    <n v="8436.2900000000009"/>
    <n v="67490.320000000007"/>
  </r>
  <r>
    <s v="2026-06-10"/>
    <s v="Rede Saúde Total"/>
    <x v="2"/>
    <x v="2"/>
    <x v="0"/>
    <s v="Poltrona de Coleta"/>
    <n v="6"/>
    <n v="8156.88"/>
    <n v="48941.279999999999"/>
  </r>
  <r>
    <s v="2026-06-10"/>
    <s v="Clínica Vida"/>
    <x v="3"/>
    <x v="4"/>
    <x v="1"/>
    <s v="Mesa Cirúrgica Eletromecânica"/>
    <n v="3"/>
    <n v="32773.040000000001"/>
    <n v="98319.12"/>
  </r>
  <r>
    <s v="2026-06-10"/>
    <s v="Centro Médico Avançado"/>
    <x v="2"/>
    <x v="1"/>
    <x v="0"/>
    <s v="Maca de Transporte"/>
    <n v="8"/>
    <n v="8507.41"/>
    <n v="68059.28"/>
  </r>
  <r>
    <s v="2026-06-10"/>
    <s v="Clínica Vida"/>
    <x v="0"/>
    <x v="2"/>
    <x v="2"/>
    <s v="Monitor de Pressão Arterial 24h"/>
    <n v="9"/>
    <n v="54510.05"/>
    <n v="490590.45"/>
  </r>
  <r>
    <s v="2026-06-10"/>
    <s v="Rede Saúde Total"/>
    <x v="3"/>
    <x v="1"/>
    <x v="2"/>
    <s v="Eletrocardiógrafo"/>
    <n v="8"/>
    <n v="39504.43"/>
    <n v="316035.44"/>
  </r>
  <r>
    <s v="2026-06-10"/>
    <s v="Clínica Vida"/>
    <x v="2"/>
    <x v="0"/>
    <x v="0"/>
    <s v="Maca de Transporte"/>
    <n v="4"/>
    <n v="7422.94"/>
    <n v="29691.759999999998"/>
  </r>
  <r>
    <s v="2026-06-10"/>
    <s v="Rede Saúde Total"/>
    <x v="0"/>
    <x v="3"/>
    <x v="1"/>
    <s v="Mesa Cirúrgica Eletromecânica"/>
    <n v="6"/>
    <n v="34182.449999999997"/>
    <n v="205094.7"/>
  </r>
  <r>
    <s v="2026-06-11"/>
    <s v="Rede Saúde Total"/>
    <x v="1"/>
    <x v="1"/>
    <x v="3"/>
    <s v="Ventilador Pulmonar"/>
    <n v="1"/>
    <n v="35500.22"/>
    <n v="35500.22"/>
  </r>
  <r>
    <s v="2026-06-11"/>
    <s v="Hospital Regional"/>
    <x v="2"/>
    <x v="3"/>
    <x v="1"/>
    <s v="Bisturi Eletrônico"/>
    <n v="4"/>
    <n v="28051.51"/>
    <n v="112206.04"/>
  </r>
  <r>
    <s v="2026-06-11"/>
    <s v="Hospital São Lucas"/>
    <x v="1"/>
    <x v="1"/>
    <x v="3"/>
    <s v="Ventilador Pulmonar"/>
    <n v="8"/>
    <n v="36864.769999999997"/>
    <n v="294918.15999999997"/>
  </r>
  <r>
    <s v="2026-06-11"/>
    <s v="Rede Saúde Total"/>
    <x v="1"/>
    <x v="0"/>
    <x v="0"/>
    <s v="Cama Hospitalar Elétrica"/>
    <n v="1"/>
    <n v="9510.91"/>
    <n v="9510.91"/>
  </r>
  <r>
    <s v="2026-06-11"/>
    <s v="Centro Médico Avançado"/>
    <x v="4"/>
    <x v="2"/>
    <x v="0"/>
    <s v="Carro de Emergência (Crash Cart)"/>
    <n v="3"/>
    <n v="9031.08"/>
    <n v="27093.24"/>
  </r>
  <r>
    <s v="2026-06-11"/>
    <s v="Hospital Santa Maria"/>
    <x v="3"/>
    <x v="0"/>
    <x v="2"/>
    <s v="Eletrocardiógrafo"/>
    <n v="1"/>
    <n v="40029.72"/>
    <n v="40029.72"/>
  </r>
  <r>
    <s v="2026-06-12"/>
    <s v="Clínica Ortopédica Central"/>
    <x v="2"/>
    <x v="2"/>
    <x v="3"/>
    <s v="Desfibrilador Externo"/>
    <n v="9"/>
    <n v="37595.9"/>
    <n v="338363.1"/>
  </r>
  <r>
    <s v="2026-06-12"/>
    <s v="Hospital Metropolitano"/>
    <x v="1"/>
    <x v="2"/>
    <x v="1"/>
    <s v="Bisturi Eletrônico"/>
    <n v="2"/>
    <n v="33499.46"/>
    <n v="66998.92"/>
  </r>
  <r>
    <s v="2026-06-12"/>
    <s v="Hospital São Lucas"/>
    <x v="4"/>
    <x v="3"/>
    <x v="0"/>
    <s v="Maca de Transporte"/>
    <n v="9"/>
    <n v="7810.37"/>
    <n v="70293.33"/>
  </r>
  <r>
    <s v="2026-06-12"/>
    <s v="Hospital São Lucas"/>
    <x v="0"/>
    <x v="0"/>
    <x v="1"/>
    <s v="Bisturi Eletrônico"/>
    <n v="4"/>
    <n v="33325.730000000003"/>
    <n v="133302.92000000001"/>
  </r>
  <r>
    <s v="2026-06-12"/>
    <s v="Hospital São Lucas"/>
    <x v="2"/>
    <x v="1"/>
    <x v="2"/>
    <s v="Monitor de Pressão Arterial 24h"/>
    <n v="2"/>
    <n v="54051.25"/>
    <n v="108102.5"/>
  </r>
  <r>
    <s v="2026-06-12"/>
    <s v="Hospital Regional"/>
    <x v="1"/>
    <x v="0"/>
    <x v="3"/>
    <s v="Desfibrilador Externo"/>
    <n v="4"/>
    <n v="34232.69"/>
    <n v="136930.76"/>
  </r>
  <r>
    <s v="2026-06-13"/>
    <s v="Rede Saúde Total"/>
    <x v="3"/>
    <x v="3"/>
    <x v="3"/>
    <s v="Desfibrilador Externo"/>
    <n v="6"/>
    <n v="35599.089999999997"/>
    <n v="213594.54"/>
  </r>
  <r>
    <s v="2026-06-13"/>
    <s v="Hospital Regional"/>
    <x v="4"/>
    <x v="2"/>
    <x v="0"/>
    <s v="Carro de Emergência (Crash Cart)"/>
    <n v="7"/>
    <n v="8524.61"/>
    <n v="59672.27"/>
  </r>
  <r>
    <s v="2026-06-13"/>
    <s v="Rede Saúde Total"/>
    <x v="1"/>
    <x v="3"/>
    <x v="3"/>
    <s v="Bomba de Infusão"/>
    <n v="3"/>
    <n v="30806.93"/>
    <n v="92420.79"/>
  </r>
  <r>
    <s v="2026-06-13"/>
    <s v="Centro Médico Avançado"/>
    <x v="3"/>
    <x v="4"/>
    <x v="0"/>
    <s v="Cama Hospitalar Elétrica"/>
    <n v="3"/>
    <n v="9679.74"/>
    <n v="29039.22"/>
  </r>
  <r>
    <s v="2026-06-13"/>
    <s v="Hospital Regional"/>
    <x v="1"/>
    <x v="4"/>
    <x v="2"/>
    <s v="Ultrassom Portátil"/>
    <n v="8"/>
    <n v="53763.75"/>
    <n v="430110"/>
  </r>
  <r>
    <s v="2026-06-13"/>
    <s v="Hospital Regional"/>
    <x v="2"/>
    <x v="1"/>
    <x v="3"/>
    <s v="Monitor Multiparamétrico"/>
    <n v="5"/>
    <n v="35572.19"/>
    <n v="177860.95"/>
  </r>
  <r>
    <s v="2026-06-14"/>
    <s v="Clínica Ortopédica Central"/>
    <x v="2"/>
    <x v="3"/>
    <x v="0"/>
    <s v="Cama Hospitalar Elétrica"/>
    <n v="4"/>
    <n v="8964.41"/>
    <n v="35857.64"/>
  </r>
  <r>
    <s v="2026-06-14"/>
    <s v="Hospital Santa Maria"/>
    <x v="2"/>
    <x v="1"/>
    <x v="1"/>
    <s v="Mesa Cirúrgica Eletromecânica"/>
    <n v="7"/>
    <n v="25579.96"/>
    <n v="179059.72"/>
  </r>
  <r>
    <s v="2026-06-14"/>
    <s v="Hospital Regional"/>
    <x v="4"/>
    <x v="1"/>
    <x v="0"/>
    <s v="Poltrona de Coleta"/>
    <n v="7"/>
    <n v="7406.76"/>
    <n v="51847.32"/>
  </r>
  <r>
    <s v="2026-06-14"/>
    <s v="Clínica Ortopédica Central"/>
    <x v="2"/>
    <x v="4"/>
    <x v="3"/>
    <s v="Ventilador Pulmonar"/>
    <n v="9"/>
    <n v="32904.85"/>
    <n v="296143.65000000002"/>
  </r>
  <r>
    <s v="2026-06-14"/>
    <s v="Clínica Vida"/>
    <x v="3"/>
    <x v="1"/>
    <x v="2"/>
    <s v="Eletrocardiógrafo"/>
    <n v="9"/>
    <n v="39138.29"/>
    <n v="352244.61"/>
  </r>
  <r>
    <s v="2026-06-14"/>
    <s v="Hospital Santa Maria"/>
    <x v="1"/>
    <x v="4"/>
    <x v="3"/>
    <s v="Ventilador Pulmonar"/>
    <n v="5"/>
    <n v="34487.480000000003"/>
    <n v="172437.4"/>
  </r>
  <r>
    <s v="2026-06-15"/>
    <s v="Centro Médico Avançado"/>
    <x v="0"/>
    <x v="2"/>
    <x v="3"/>
    <s v="Monitor Multiparamétrico"/>
    <n v="8"/>
    <n v="32098.93"/>
    <n v="256791.44"/>
  </r>
  <r>
    <s v="2026-06-15"/>
    <s v="Hospital Regional"/>
    <x v="3"/>
    <x v="3"/>
    <x v="0"/>
    <s v="Cama Hospitalar Elétrica"/>
    <n v="1"/>
    <n v="9799.44"/>
    <n v="9799.44"/>
  </r>
  <r>
    <s v="2026-06-15"/>
    <s v="Hospital Metropolitano"/>
    <x v="3"/>
    <x v="1"/>
    <x v="1"/>
    <s v="Aspirador Cirúrgico de Secreção"/>
    <n v="9"/>
    <n v="27223.26"/>
    <n v="245009.34"/>
  </r>
  <r>
    <s v="2026-06-15"/>
    <s v="Hospital São Lucas"/>
    <x v="2"/>
    <x v="4"/>
    <x v="3"/>
    <s v="Bomba de Infusão"/>
    <n v="8"/>
    <n v="34790.18"/>
    <n v="278321.44"/>
  </r>
  <r>
    <s v="2026-06-15"/>
    <s v="Clínica Vida"/>
    <x v="4"/>
    <x v="0"/>
    <x v="1"/>
    <s v="Mesa Cirúrgica Eletromecânica"/>
    <n v="6"/>
    <n v="29822.06"/>
    <n v="178932.36"/>
  </r>
  <r>
    <s v="2026-06-15"/>
    <s v="Clínica Vida"/>
    <x v="1"/>
    <x v="1"/>
    <x v="0"/>
    <s v="Carro de Emergência (Crash Cart)"/>
    <n v="3"/>
    <n v="7241.02"/>
    <n v="21723.06"/>
  </r>
  <r>
    <s v="2026-06-15"/>
    <s v="Centro Médico Avançado"/>
    <x v="4"/>
    <x v="2"/>
    <x v="1"/>
    <s v="Bisturi Eletrônico"/>
    <n v="3"/>
    <n v="24610.76"/>
    <n v="73832.28"/>
  </r>
  <r>
    <s v="2026-06-16"/>
    <s v="Clínica Ortopédica Central"/>
    <x v="1"/>
    <x v="2"/>
    <x v="0"/>
    <s v="Maca de Transporte"/>
    <n v="8"/>
    <n v="8212.25"/>
    <n v="65698"/>
  </r>
  <r>
    <s v="2026-06-16"/>
    <s v="Clínica Vida"/>
    <x v="1"/>
    <x v="0"/>
    <x v="2"/>
    <s v="Eletrocardiógrafo"/>
    <n v="5"/>
    <n v="54130.23"/>
    <n v="270651.15000000002"/>
  </r>
  <r>
    <s v="2026-06-16"/>
    <s v="Hospital Santa Maria"/>
    <x v="4"/>
    <x v="4"/>
    <x v="1"/>
    <s v="Bisturi Eletrônico"/>
    <n v="7"/>
    <n v="25446.57"/>
    <n v="178125.99"/>
  </r>
  <r>
    <s v="2026-06-16"/>
    <s v="Hospital Regional"/>
    <x v="3"/>
    <x v="1"/>
    <x v="1"/>
    <s v="Foco Cirúrgico LED"/>
    <n v="5"/>
    <n v="31762.02"/>
    <n v="158810.1"/>
  </r>
  <r>
    <s v="2026-06-16"/>
    <s v="Hospital Regional"/>
    <x v="1"/>
    <x v="4"/>
    <x v="2"/>
    <s v="Eletrocardiógrafo"/>
    <n v="8"/>
    <n v="55770.6"/>
    <n v="446164.8"/>
  </r>
  <r>
    <s v="2026-06-16"/>
    <s v="Hospital Metropolitano"/>
    <x v="4"/>
    <x v="2"/>
    <x v="1"/>
    <s v="Bisturi Eletrônico"/>
    <n v="4"/>
    <n v="32654.36"/>
    <n v="130617.44"/>
  </r>
  <r>
    <s v="2026-06-17"/>
    <s v="Centro Médico Avançado"/>
    <x v="1"/>
    <x v="4"/>
    <x v="2"/>
    <s v="Eletrocardiógrafo"/>
    <n v="2"/>
    <n v="42623.02"/>
    <n v="85246.04"/>
  </r>
  <r>
    <s v="2026-06-17"/>
    <s v="Hospital São Lucas"/>
    <x v="0"/>
    <x v="2"/>
    <x v="3"/>
    <s v="Bomba de Infusão"/>
    <n v="3"/>
    <n v="38827.08"/>
    <n v="116481.24"/>
  </r>
  <r>
    <s v="2026-06-17"/>
    <s v="Clínica Ortopédica Central"/>
    <x v="3"/>
    <x v="4"/>
    <x v="0"/>
    <s v="Maca de Transporte"/>
    <n v="8"/>
    <n v="7541.56"/>
    <n v="60332.480000000003"/>
  </r>
  <r>
    <s v="2026-06-17"/>
    <s v="Hospital São Lucas"/>
    <x v="2"/>
    <x v="0"/>
    <x v="2"/>
    <s v="Monitor de Pressão Arterial 24h"/>
    <n v="7"/>
    <n v="46676.55"/>
    <n v="326735.84999999998"/>
  </r>
  <r>
    <s v="2026-06-17"/>
    <s v="Clínica Vida"/>
    <x v="1"/>
    <x v="3"/>
    <x v="1"/>
    <s v="Foco Cirúrgico LED"/>
    <n v="2"/>
    <n v="33740.47"/>
    <n v="67480.94"/>
  </r>
  <r>
    <s v="2026-06-17"/>
    <s v="Centro Médico Avançado"/>
    <x v="0"/>
    <x v="0"/>
    <x v="2"/>
    <s v="Eletrocardiógrafo"/>
    <n v="6"/>
    <n v="49792.78"/>
    <n v="298756.68"/>
  </r>
  <r>
    <s v="2026-06-18"/>
    <s v="Hospital Metropolitano"/>
    <x v="2"/>
    <x v="0"/>
    <x v="1"/>
    <s v="Bisturi Eletrônico"/>
    <n v="9"/>
    <n v="28432.82"/>
    <n v="255895.38"/>
  </r>
  <r>
    <s v="2026-06-18"/>
    <s v="Hospital São Lucas"/>
    <x v="2"/>
    <x v="3"/>
    <x v="3"/>
    <s v="Monitor Multiparamétrico"/>
    <n v="4"/>
    <n v="30948"/>
    <n v="123792"/>
  </r>
  <r>
    <s v="2026-06-18"/>
    <s v="Hospital Santa Maria"/>
    <x v="1"/>
    <x v="3"/>
    <x v="2"/>
    <s v="Monitor de Pressão Arterial 24h"/>
    <n v="9"/>
    <n v="45001.79"/>
    <n v="405016.11"/>
  </r>
  <r>
    <s v="2026-06-18"/>
    <s v="Hospital Regional"/>
    <x v="4"/>
    <x v="1"/>
    <x v="3"/>
    <s v="Bomba de Infusão"/>
    <n v="2"/>
    <n v="33714.449999999997"/>
    <n v="67428.899999999994"/>
  </r>
  <r>
    <s v="2026-06-18"/>
    <s v="Clínica Vida"/>
    <x v="1"/>
    <x v="1"/>
    <x v="0"/>
    <s v="Maca de Transporte"/>
    <n v="2"/>
    <n v="8309.75"/>
    <n v="16619.5"/>
  </r>
  <r>
    <s v="2026-06-18"/>
    <s v="Hospital Metropolitano"/>
    <x v="0"/>
    <x v="0"/>
    <x v="1"/>
    <s v="Foco Cirúrgico LED"/>
    <n v="9"/>
    <n v="34652.44"/>
    <n v="311871.96000000002"/>
  </r>
  <r>
    <s v="2026-06-19"/>
    <s v="Hospital São Lucas"/>
    <x v="2"/>
    <x v="0"/>
    <x v="1"/>
    <s v="Foco Cirúrgico LED"/>
    <n v="7"/>
    <n v="34250.47"/>
    <n v="239753.29"/>
  </r>
  <r>
    <s v="2026-06-19"/>
    <s v="Clínica Ortopédica Central"/>
    <x v="1"/>
    <x v="2"/>
    <x v="3"/>
    <s v="Bomba de Infusão"/>
    <n v="7"/>
    <n v="38344.589999999997"/>
    <n v="268412.13"/>
  </r>
  <r>
    <s v="2026-06-19"/>
    <s v="Hospital Santa Maria"/>
    <x v="4"/>
    <x v="2"/>
    <x v="0"/>
    <s v="Carro de Emergência (Crash Cart)"/>
    <n v="1"/>
    <n v="8659.2199999999993"/>
    <n v="8659.2199999999993"/>
  </r>
  <r>
    <s v="2026-06-19"/>
    <s v="Hospital Santa Maria"/>
    <x v="1"/>
    <x v="1"/>
    <x v="2"/>
    <s v="Monitor de Pressão Arterial 24h"/>
    <n v="6"/>
    <n v="50693.43"/>
    <n v="304160.58"/>
  </r>
  <r>
    <s v="2026-06-19"/>
    <s v="Hospital São Lucas"/>
    <x v="3"/>
    <x v="1"/>
    <x v="2"/>
    <s v="Monitor de Pressão Arterial 24h"/>
    <n v="7"/>
    <n v="54500.93"/>
    <n v="381506.51"/>
  </r>
  <r>
    <s v="2026-06-19"/>
    <s v="Hospital Regional"/>
    <x v="4"/>
    <x v="2"/>
    <x v="1"/>
    <s v="Bisturi Eletrônico"/>
    <n v="6"/>
    <n v="33324.81"/>
    <n v="199948.86"/>
  </r>
  <r>
    <s v="2026-06-20"/>
    <s v="Hospital São Lucas"/>
    <x v="0"/>
    <x v="2"/>
    <x v="3"/>
    <s v="Monitor Multiparamétrico"/>
    <n v="6"/>
    <n v="32503.39"/>
    <n v="195020.34"/>
  </r>
  <r>
    <s v="2026-06-20"/>
    <s v="Clínica Vida"/>
    <x v="2"/>
    <x v="4"/>
    <x v="3"/>
    <s v="Desfibrilador Externo"/>
    <n v="2"/>
    <n v="28638.54"/>
    <n v="57277.08"/>
  </r>
  <r>
    <s v="2026-06-20"/>
    <s v="Hospital São Lucas"/>
    <x v="1"/>
    <x v="4"/>
    <x v="2"/>
    <s v="Eletrocardiógrafo"/>
    <n v="6"/>
    <n v="39611.35"/>
    <n v="237668.1"/>
  </r>
  <r>
    <s v="2026-06-20"/>
    <s v="Hospital Santa Maria"/>
    <x v="4"/>
    <x v="2"/>
    <x v="0"/>
    <s v="Poltrona de Coleta"/>
    <n v="4"/>
    <n v="9187.02"/>
    <n v="36748.080000000002"/>
  </r>
  <r>
    <s v="2026-06-20"/>
    <s v="Hospital Metropolitano"/>
    <x v="3"/>
    <x v="4"/>
    <x v="0"/>
    <s v="Carro de Emergência (Crash Cart)"/>
    <n v="9"/>
    <n v="9409.93"/>
    <n v="84689.37"/>
  </r>
  <r>
    <s v="2026-06-20"/>
    <s v="Hospital São Lucas"/>
    <x v="4"/>
    <x v="3"/>
    <x v="2"/>
    <s v="Ultrassom Portátil"/>
    <n v="1"/>
    <n v="53547.17"/>
    <n v="53547.17"/>
  </r>
  <r>
    <s v="2026-06-21"/>
    <s v="Hospital Regional"/>
    <x v="3"/>
    <x v="1"/>
    <x v="2"/>
    <s v="Eletrocardiógrafo"/>
    <n v="8"/>
    <n v="43515.27"/>
    <n v="348122.16"/>
  </r>
  <r>
    <s v="2026-06-21"/>
    <s v="Centro Médico Avançado"/>
    <x v="0"/>
    <x v="1"/>
    <x v="3"/>
    <s v="Ventilador Pulmonar"/>
    <n v="5"/>
    <n v="29343.62"/>
    <n v="146718.1"/>
  </r>
  <r>
    <s v="2026-06-21"/>
    <s v="Hospital Metropolitano"/>
    <x v="2"/>
    <x v="2"/>
    <x v="0"/>
    <s v="Poltrona de Coleta"/>
    <n v="1"/>
    <n v="8513.6200000000008"/>
    <n v="8513.6200000000008"/>
  </r>
  <r>
    <s v="2026-06-21"/>
    <s v="Clínica Ortopédica Central"/>
    <x v="0"/>
    <x v="0"/>
    <x v="2"/>
    <s v="Eletrocardiógrafo"/>
    <n v="4"/>
    <n v="44614.35"/>
    <n v="178457.4"/>
  </r>
  <r>
    <s v="2026-06-21"/>
    <s v="Rede Saúde Total"/>
    <x v="1"/>
    <x v="2"/>
    <x v="2"/>
    <s v="Monitor de Pressão Arterial 24h"/>
    <n v="1"/>
    <n v="40634.44"/>
    <n v="40634.44"/>
  </r>
  <r>
    <s v="2026-06-21"/>
    <s v="Hospital São Lucas"/>
    <x v="4"/>
    <x v="4"/>
    <x v="1"/>
    <s v="Foco Cirúrgico LED"/>
    <n v="6"/>
    <n v="31329.57"/>
    <n v="187977.42"/>
  </r>
  <r>
    <s v="2026-06-21"/>
    <s v="Hospital Regional"/>
    <x v="3"/>
    <x v="0"/>
    <x v="2"/>
    <s v="Eletrocardiógrafo"/>
    <n v="2"/>
    <n v="47406.45"/>
    <n v="94812.9"/>
  </r>
  <r>
    <s v="2026-06-22"/>
    <s v="Hospital Metropolitano"/>
    <x v="3"/>
    <x v="4"/>
    <x v="2"/>
    <s v="Monitor de Pressão Arterial 24h"/>
    <n v="5"/>
    <n v="51230.21"/>
    <n v="256151.05"/>
  </r>
  <r>
    <s v="2026-06-22"/>
    <s v="Hospital Regional"/>
    <x v="4"/>
    <x v="3"/>
    <x v="0"/>
    <s v="Cama Hospitalar Elétrica"/>
    <n v="7"/>
    <n v="8424.15"/>
    <n v="58969.05"/>
  </r>
  <r>
    <s v="2026-06-22"/>
    <s v="Clínica Ortopédica Central"/>
    <x v="4"/>
    <x v="4"/>
    <x v="3"/>
    <s v="Desfibrilador Externo"/>
    <n v="2"/>
    <n v="31368.99"/>
    <n v="62737.98"/>
  </r>
  <r>
    <s v="2026-06-22"/>
    <s v="Hospital Santa Maria"/>
    <x v="1"/>
    <x v="3"/>
    <x v="0"/>
    <s v="Maca de Transporte"/>
    <n v="6"/>
    <n v="8831.76"/>
    <n v="52990.559999999998"/>
  </r>
  <r>
    <s v="2026-06-22"/>
    <s v="Hospital Regional"/>
    <x v="0"/>
    <x v="3"/>
    <x v="3"/>
    <s v="Ventilador Pulmonar"/>
    <n v="6"/>
    <n v="38430.81"/>
    <n v="230584.86"/>
  </r>
  <r>
    <s v="2026-06-22"/>
    <s v="Hospital Metropolitano"/>
    <x v="3"/>
    <x v="4"/>
    <x v="1"/>
    <s v="Foco Cirúrgico LED"/>
    <n v="5"/>
    <n v="24251.15"/>
    <n v="121255.75"/>
  </r>
  <r>
    <s v="2026-06-23"/>
    <s v="Hospital Regional"/>
    <x v="1"/>
    <x v="4"/>
    <x v="2"/>
    <s v="Ultrassom Portátil"/>
    <n v="5"/>
    <n v="52736.99"/>
    <n v="263684.95"/>
  </r>
  <r>
    <s v="2026-06-23"/>
    <s v="Hospital Regional"/>
    <x v="0"/>
    <x v="3"/>
    <x v="1"/>
    <s v="Bisturi Eletrônico"/>
    <n v="3"/>
    <n v="27932.66"/>
    <n v="83797.98"/>
  </r>
  <r>
    <s v="2026-06-23"/>
    <s v="Hospital Regional"/>
    <x v="1"/>
    <x v="0"/>
    <x v="3"/>
    <s v="Bomba de Infusão"/>
    <n v="2"/>
    <n v="38139.120000000003"/>
    <n v="76278.240000000005"/>
  </r>
  <r>
    <s v="2026-06-23"/>
    <s v="Clínica Vida"/>
    <x v="3"/>
    <x v="3"/>
    <x v="0"/>
    <s v="Carro de Emergência (Crash Cart)"/>
    <n v="7"/>
    <n v="9952.49"/>
    <n v="69667.429999999993"/>
  </r>
  <r>
    <s v="2026-06-23"/>
    <s v="Clínica Vida"/>
    <x v="4"/>
    <x v="1"/>
    <x v="0"/>
    <s v="Maca de Transporte"/>
    <n v="1"/>
    <n v="8410.7900000000009"/>
    <n v="8410.7900000000009"/>
  </r>
  <r>
    <s v="2026-06-23"/>
    <s v="Hospital Santa Maria"/>
    <x v="4"/>
    <x v="3"/>
    <x v="1"/>
    <s v="Mesa Cirúrgica Eletromecânica"/>
    <n v="6"/>
    <n v="31571.42"/>
    <n v="189428.52"/>
  </r>
  <r>
    <s v="2026-06-24"/>
    <s v="Hospital São Lucas"/>
    <x v="0"/>
    <x v="0"/>
    <x v="3"/>
    <s v="Ventilador Pulmonar"/>
    <n v="6"/>
    <n v="29243.3"/>
    <n v="175459.8"/>
  </r>
  <r>
    <s v="2026-06-24"/>
    <s v="Hospital Regional"/>
    <x v="2"/>
    <x v="1"/>
    <x v="1"/>
    <s v="Mesa Cirúrgica Eletromecânica"/>
    <n v="3"/>
    <n v="33838.35"/>
    <n v="101515.05"/>
  </r>
  <r>
    <s v="2026-06-24"/>
    <s v="Clínica Ortopédica Central"/>
    <x v="0"/>
    <x v="2"/>
    <x v="1"/>
    <s v="Aspirador Cirúrgico de Secreção"/>
    <n v="2"/>
    <n v="28330.3"/>
    <n v="56660.6"/>
  </r>
  <r>
    <s v="2026-06-24"/>
    <s v="Hospital São Lucas"/>
    <x v="2"/>
    <x v="2"/>
    <x v="2"/>
    <s v="Ultrassom Portátil"/>
    <n v="2"/>
    <n v="46451.26"/>
    <n v="92902.52"/>
  </r>
  <r>
    <s v="2026-06-24"/>
    <s v="Clínica Ortopédica Central"/>
    <x v="1"/>
    <x v="0"/>
    <x v="1"/>
    <s v="Foco Cirúrgico LED"/>
    <n v="9"/>
    <n v="31704.5"/>
    <n v="285340.5"/>
  </r>
  <r>
    <s v="2026-06-24"/>
    <s v="Hospital São Lucas"/>
    <x v="1"/>
    <x v="3"/>
    <x v="2"/>
    <s v="Monitor de Pressão Arterial 24h"/>
    <n v="5"/>
    <n v="53025.120000000003"/>
    <n v="265125.59999999998"/>
  </r>
  <r>
    <s v="2026-06-25"/>
    <s v="Hospital Santa Maria"/>
    <x v="3"/>
    <x v="4"/>
    <x v="2"/>
    <s v="Ultrassom Portátil"/>
    <n v="7"/>
    <n v="42504.17"/>
    <n v="297529.19"/>
  </r>
  <r>
    <s v="2026-06-25"/>
    <s v="Hospital Regional"/>
    <x v="2"/>
    <x v="0"/>
    <x v="0"/>
    <s v="Maca de Transporte"/>
    <n v="5"/>
    <n v="9473.59"/>
    <n v="47367.95"/>
  </r>
  <r>
    <s v="2026-06-25"/>
    <s v="Hospital Regional"/>
    <x v="3"/>
    <x v="1"/>
    <x v="2"/>
    <s v="Eletrocardiógrafo"/>
    <n v="7"/>
    <n v="45305.96"/>
    <n v="317141.71999999997"/>
  </r>
  <r>
    <s v="2026-06-25"/>
    <s v="Rede Saúde Total"/>
    <x v="4"/>
    <x v="1"/>
    <x v="2"/>
    <s v="Monitor de Pressão Arterial 24h"/>
    <n v="4"/>
    <n v="44886.65"/>
    <n v="179546.6"/>
  </r>
  <r>
    <s v="2026-06-25"/>
    <s v="Clínica Ortopédica Central"/>
    <x v="2"/>
    <x v="2"/>
    <x v="0"/>
    <s v="Maca de Transporte"/>
    <n v="8"/>
    <n v="9571.09"/>
    <n v="76568.72"/>
  </r>
  <r>
    <s v="2026-06-25"/>
    <s v="Hospital São Lucas"/>
    <x v="0"/>
    <x v="1"/>
    <x v="1"/>
    <s v="Aspirador Cirúrgico de Secreção"/>
    <n v="7"/>
    <n v="28136.45"/>
    <n v="196955.15"/>
  </r>
  <r>
    <s v="2026-06-26"/>
    <s v="Hospital São Lucas"/>
    <x v="4"/>
    <x v="0"/>
    <x v="3"/>
    <s v="Desfibrilador Externo"/>
    <n v="5"/>
    <n v="31630.19"/>
    <n v="158150.95000000001"/>
  </r>
  <r>
    <s v="2026-06-26"/>
    <s v="Centro Médico Avançado"/>
    <x v="4"/>
    <x v="1"/>
    <x v="3"/>
    <s v="Ventilador Pulmonar"/>
    <n v="6"/>
    <n v="37899.370000000003"/>
    <n v="227396.22"/>
  </r>
  <r>
    <s v="2026-06-26"/>
    <s v="Centro Médico Avançado"/>
    <x v="0"/>
    <x v="0"/>
    <x v="3"/>
    <s v="Ventilador Pulmonar"/>
    <n v="5"/>
    <n v="28496.33"/>
    <n v="142481.65"/>
  </r>
  <r>
    <s v="2026-06-26"/>
    <s v="Clínica Vida"/>
    <x v="4"/>
    <x v="4"/>
    <x v="1"/>
    <s v="Mesa Cirúrgica Eletromecânica"/>
    <n v="7"/>
    <n v="31370"/>
    <n v="219590"/>
  </r>
  <r>
    <s v="2026-06-26"/>
    <s v="Rede Saúde Total"/>
    <x v="2"/>
    <x v="2"/>
    <x v="2"/>
    <s v="Monitor de Pressão Arterial 24h"/>
    <n v="2"/>
    <n v="42727.06"/>
    <n v="85454.12"/>
  </r>
  <r>
    <s v="2026-06-26"/>
    <s v="Hospital Metropolitano"/>
    <x v="3"/>
    <x v="1"/>
    <x v="3"/>
    <s v="Ventilador Pulmonar"/>
    <n v="5"/>
    <n v="27398.38"/>
    <n v="136991.9"/>
  </r>
  <r>
    <s v="2026-06-27"/>
    <s v="Centro Médico Avançado"/>
    <x v="4"/>
    <x v="0"/>
    <x v="1"/>
    <s v="Foco Cirúrgico LED"/>
    <n v="3"/>
    <n v="25667.759999999998"/>
    <n v="77003.28"/>
  </r>
  <r>
    <s v="2026-06-27"/>
    <s v="Hospital Metropolitano"/>
    <x v="2"/>
    <x v="3"/>
    <x v="2"/>
    <s v="Monitor de Pressão Arterial 24h"/>
    <n v="9"/>
    <n v="49169.91"/>
    <n v="442529.19"/>
  </r>
  <r>
    <s v="2026-06-27"/>
    <s v="Clínica Vida"/>
    <x v="1"/>
    <x v="2"/>
    <x v="0"/>
    <s v="Maca de Transporte"/>
    <n v="6"/>
    <n v="9636.0300000000007"/>
    <n v="57816.18"/>
  </r>
  <r>
    <s v="2026-06-27"/>
    <s v="Clínica Vida"/>
    <x v="2"/>
    <x v="4"/>
    <x v="3"/>
    <s v="Monitor Multiparamétrico"/>
    <n v="3"/>
    <n v="27469.54"/>
    <n v="82408.62"/>
  </r>
  <r>
    <s v="2026-06-27"/>
    <s v="Clínica Vida"/>
    <x v="3"/>
    <x v="0"/>
    <x v="2"/>
    <s v="Monitor de Pressão Arterial 24h"/>
    <n v="7"/>
    <n v="38905.660000000003"/>
    <n v="272339.62"/>
  </r>
  <r>
    <s v="2026-06-27"/>
    <s v="Clínica Ortopédica Central"/>
    <x v="2"/>
    <x v="4"/>
    <x v="3"/>
    <s v="Monitor Multiparamétrico"/>
    <n v="4"/>
    <n v="38752.54"/>
    <n v="155010.16"/>
  </r>
  <r>
    <s v="2026-06-27"/>
    <s v="Clínica Ortopédica Central"/>
    <x v="0"/>
    <x v="4"/>
    <x v="3"/>
    <s v="Ventilador Pulmonar"/>
    <n v="3"/>
    <n v="28138.31"/>
    <n v="84414.93"/>
  </r>
  <r>
    <s v="2026-06-28"/>
    <s v="Hospital Santa Maria"/>
    <x v="3"/>
    <x v="1"/>
    <x v="3"/>
    <s v="Desfibrilador Externo"/>
    <n v="8"/>
    <n v="38645.53"/>
    <n v="309164.24"/>
  </r>
  <r>
    <s v="2026-06-28"/>
    <s v="Hospital Santa Maria"/>
    <x v="1"/>
    <x v="1"/>
    <x v="2"/>
    <s v="Ultrassom Portátil"/>
    <n v="4"/>
    <n v="42356.99"/>
    <n v="169427.96"/>
  </r>
  <r>
    <s v="2026-06-28"/>
    <s v="Clínica Vida"/>
    <x v="0"/>
    <x v="0"/>
    <x v="1"/>
    <s v="Bisturi Eletrônico"/>
    <n v="1"/>
    <n v="32088.2"/>
    <n v="32088.2"/>
  </r>
  <r>
    <s v="2026-06-28"/>
    <s v="Rede Saúde Total"/>
    <x v="2"/>
    <x v="3"/>
    <x v="2"/>
    <s v="Eletrocardiógrafo"/>
    <n v="6"/>
    <n v="43825.2"/>
    <n v="262951.2"/>
  </r>
  <r>
    <s v="2026-06-28"/>
    <s v="Hospital São Lucas"/>
    <x v="3"/>
    <x v="0"/>
    <x v="3"/>
    <s v="Monitor Multiparamétrico"/>
    <n v="1"/>
    <n v="38192.03"/>
    <n v="38192.03"/>
  </r>
  <r>
    <s v="2026-06-28"/>
    <s v="Clínica Ortopédica Central"/>
    <x v="1"/>
    <x v="3"/>
    <x v="2"/>
    <s v="Eletrocardiógrafo"/>
    <n v="5"/>
    <n v="50858.19"/>
    <n v="254290.95"/>
  </r>
  <r>
    <s v="2026-06-29"/>
    <s v="Rede Saúde Total"/>
    <x v="0"/>
    <x v="4"/>
    <x v="0"/>
    <s v="Cama Hospitalar Elétrica"/>
    <n v="7"/>
    <n v="8591.17"/>
    <n v="60138.19"/>
  </r>
  <r>
    <s v="2026-06-29"/>
    <s v="Hospital Regional"/>
    <x v="1"/>
    <x v="2"/>
    <x v="1"/>
    <s v="Bisturi Eletrônico"/>
    <n v="6"/>
    <n v="24654.59"/>
    <n v="147927.54"/>
  </r>
  <r>
    <s v="2026-06-29"/>
    <s v="Clínica Ortopédica Central"/>
    <x v="2"/>
    <x v="0"/>
    <x v="2"/>
    <s v="Ultrassom Portátil"/>
    <n v="2"/>
    <n v="51438.6"/>
    <n v="102877.2"/>
  </r>
  <r>
    <s v="2026-06-29"/>
    <s v="Clínica Ortopédica Central"/>
    <x v="1"/>
    <x v="0"/>
    <x v="0"/>
    <s v="Maca de Transporte"/>
    <n v="4"/>
    <n v="9322.41"/>
    <n v="37289.64"/>
  </r>
  <r>
    <s v="2026-06-29"/>
    <s v="Hospital Santa Maria"/>
    <x v="4"/>
    <x v="3"/>
    <x v="1"/>
    <s v="Mesa Cirúrgica Eletromecânica"/>
    <n v="2"/>
    <n v="23832.61"/>
    <n v="47665.22"/>
  </r>
  <r>
    <s v="2026-06-29"/>
    <s v="Hospital São Lucas"/>
    <x v="0"/>
    <x v="4"/>
    <x v="0"/>
    <s v="Cama Hospitalar Elétrica"/>
    <n v="1"/>
    <n v="7257.03"/>
    <n v="7257.03"/>
  </r>
  <r>
    <s v="2026-06-30"/>
    <s v="Hospital São Lucas"/>
    <x v="1"/>
    <x v="4"/>
    <x v="1"/>
    <s v="Bisturi Eletrônico"/>
    <n v="3"/>
    <n v="32858.480000000003"/>
    <n v="98575.44"/>
  </r>
  <r>
    <s v="2026-06-30"/>
    <s v="Centro Médico Avançado"/>
    <x v="2"/>
    <x v="3"/>
    <x v="2"/>
    <s v="Aparelho de Raio-X Móvel"/>
    <n v="3"/>
    <n v="42919.199999999997"/>
    <n v="128757.6"/>
  </r>
  <r>
    <s v="2026-06-30"/>
    <s v="Hospital Metropolitano"/>
    <x v="2"/>
    <x v="4"/>
    <x v="0"/>
    <s v="Poltrona de Coleta"/>
    <n v="7"/>
    <n v="9387.85"/>
    <n v="65714.95"/>
  </r>
  <r>
    <s v="2026-06-30"/>
    <s v="Hospital Metropolitano"/>
    <x v="1"/>
    <x v="1"/>
    <x v="3"/>
    <s v="Monitor Multiparamétrico"/>
    <n v="1"/>
    <n v="33013.94"/>
    <n v="33013.94"/>
  </r>
  <r>
    <s v="2026-06-30"/>
    <s v="Hospital Metropolitano"/>
    <x v="2"/>
    <x v="2"/>
    <x v="0"/>
    <s v="Carro de Emergência (Crash Cart)"/>
    <n v="9"/>
    <n v="10160.66"/>
    <n v="91445.94"/>
  </r>
  <r>
    <s v="2026-06-30"/>
    <s v="Hospital Metropolitano"/>
    <x v="3"/>
    <x v="0"/>
    <x v="1"/>
    <s v="Aspirador Cirúrgico de Secreção"/>
    <n v="6"/>
    <n v="34069.96"/>
    <n v="204419.76"/>
  </r>
  <r>
    <s v="2026-07-01"/>
    <s v="Hospital Regional"/>
    <x v="3"/>
    <x v="2"/>
    <x v="2"/>
    <s v="Eletrocardiógrafo"/>
    <n v="4"/>
    <n v="56192.54"/>
    <n v="224770.16"/>
  </r>
  <r>
    <s v="2026-07-01"/>
    <s v="Hospital Regional"/>
    <x v="3"/>
    <x v="0"/>
    <x v="1"/>
    <s v="Foco Cirúrgico LED"/>
    <n v="3"/>
    <n v="25521.26"/>
    <n v="76563.78"/>
  </r>
  <r>
    <s v="2026-07-01"/>
    <s v="Clínica Ortopédica Central"/>
    <x v="4"/>
    <x v="1"/>
    <x v="0"/>
    <s v="Poltrona de Coleta"/>
    <n v="3"/>
    <n v="10159.08"/>
    <n v="30477.24"/>
  </r>
  <r>
    <s v="2026-07-01"/>
    <s v="Clínica Vida"/>
    <x v="1"/>
    <x v="4"/>
    <x v="0"/>
    <s v="Carro de Emergência (Crash Cart)"/>
    <n v="2"/>
    <n v="8129.47"/>
    <n v="16258.94"/>
  </r>
  <r>
    <s v="2026-07-01"/>
    <s v="Hospital Santa Maria"/>
    <x v="4"/>
    <x v="3"/>
    <x v="3"/>
    <s v="Desfibrilador Externo"/>
    <n v="2"/>
    <n v="34762.44"/>
    <n v="69524.88"/>
  </r>
  <r>
    <s v="2026-07-01"/>
    <s v="Hospital Santa Maria"/>
    <x v="2"/>
    <x v="1"/>
    <x v="2"/>
    <s v="Eletrocardiógrafo"/>
    <n v="5"/>
    <n v="47353.91"/>
    <n v="236769.55"/>
  </r>
  <r>
    <s v="2026-07-02"/>
    <s v="Hospital Metropolitano"/>
    <x v="4"/>
    <x v="2"/>
    <x v="2"/>
    <s v="Monitor de Pressão Arterial 24h"/>
    <n v="9"/>
    <n v="38573.79"/>
    <n v="347164.11"/>
  </r>
  <r>
    <s v="2026-07-02"/>
    <s v="Clínica Ortopédica Central"/>
    <x v="2"/>
    <x v="3"/>
    <x v="0"/>
    <s v="Carro de Emergência (Crash Cart)"/>
    <n v="2"/>
    <n v="10396.42"/>
    <n v="20792.84"/>
  </r>
  <r>
    <s v="2026-07-02"/>
    <s v="Centro Médico Avançado"/>
    <x v="2"/>
    <x v="4"/>
    <x v="2"/>
    <s v="Ultrassom Portátil"/>
    <n v="2"/>
    <n v="39659.89"/>
    <n v="79319.78"/>
  </r>
  <r>
    <s v="2026-07-02"/>
    <s v="Rede Saúde Total"/>
    <x v="0"/>
    <x v="1"/>
    <x v="3"/>
    <s v="Desfibrilador Externo"/>
    <n v="6"/>
    <n v="36009.199999999997"/>
    <n v="216055.2"/>
  </r>
  <r>
    <s v="2026-07-02"/>
    <s v="Clínica Vida"/>
    <x v="3"/>
    <x v="3"/>
    <x v="1"/>
    <s v="Aspirador Cirúrgico de Secreção"/>
    <n v="2"/>
    <n v="32592.080000000002"/>
    <n v="65184.160000000003"/>
  </r>
  <r>
    <s v="2026-07-02"/>
    <s v="Clínica Ortopédica Central"/>
    <x v="2"/>
    <x v="1"/>
    <x v="2"/>
    <s v="Monitor de Pressão Arterial 24h"/>
    <n v="4"/>
    <n v="52565.18"/>
    <n v="210260.72"/>
  </r>
  <r>
    <s v="2026-07-03"/>
    <s v="Clínica Vida"/>
    <x v="0"/>
    <x v="1"/>
    <x v="0"/>
    <s v="Poltrona de Coleta"/>
    <n v="6"/>
    <n v="7685.68"/>
    <n v="46114.080000000002"/>
  </r>
  <r>
    <s v="2026-07-03"/>
    <s v="Clínica Vida"/>
    <x v="3"/>
    <x v="4"/>
    <x v="1"/>
    <s v="Foco Cirúrgico LED"/>
    <n v="5"/>
    <n v="28812.78"/>
    <n v="144063.9"/>
  </r>
  <r>
    <s v="2026-07-03"/>
    <s v="Clínica Vida"/>
    <x v="2"/>
    <x v="0"/>
    <x v="1"/>
    <s v="Aspirador Cirúrgico de Secreção"/>
    <n v="1"/>
    <n v="33089.599999999999"/>
    <n v="33089.599999999999"/>
  </r>
  <r>
    <s v="2026-07-03"/>
    <s v="Clínica Ortopédica Central"/>
    <x v="2"/>
    <x v="3"/>
    <x v="3"/>
    <s v="Monitor Multiparamétrico"/>
    <n v="6"/>
    <n v="31074.29"/>
    <n v="186445.74"/>
  </r>
  <r>
    <s v="2026-07-03"/>
    <s v="Hospital Metropolitano"/>
    <x v="4"/>
    <x v="4"/>
    <x v="0"/>
    <s v="Cama Hospitalar Elétrica"/>
    <n v="1"/>
    <n v="8815.35"/>
    <n v="8815.35"/>
  </r>
  <r>
    <s v="2026-07-03"/>
    <s v="Hospital Santa Maria"/>
    <x v="4"/>
    <x v="1"/>
    <x v="2"/>
    <s v="Aparelho de Raio-X Móvel"/>
    <n v="3"/>
    <n v="43160.29"/>
    <n v="129480.87"/>
  </r>
  <r>
    <s v="2026-07-03"/>
    <s v="Hospital Santa Maria"/>
    <x v="3"/>
    <x v="4"/>
    <x v="0"/>
    <s v="Poltrona de Coleta"/>
    <n v="5"/>
    <n v="8801.07"/>
    <n v="44005.35"/>
  </r>
  <r>
    <s v="2026-07-04"/>
    <s v="Hospital Metropolitano"/>
    <x v="2"/>
    <x v="0"/>
    <x v="1"/>
    <s v="Bisturi Eletrônico"/>
    <n v="5"/>
    <n v="33743.78"/>
    <n v="168718.9"/>
  </r>
  <r>
    <s v="2026-07-04"/>
    <s v="Clínica Vida"/>
    <x v="1"/>
    <x v="3"/>
    <x v="0"/>
    <s v="Maca de Transporte"/>
    <n v="6"/>
    <n v="8772.42"/>
    <n v="52634.52"/>
  </r>
  <r>
    <s v="2026-07-04"/>
    <s v="Rede Saúde Total"/>
    <x v="4"/>
    <x v="0"/>
    <x v="2"/>
    <s v="Monitor de Pressão Arterial 24h"/>
    <n v="8"/>
    <n v="48256.42"/>
    <n v="386051.36"/>
  </r>
  <r>
    <s v="2026-07-04"/>
    <s v="Hospital São Lucas"/>
    <x v="3"/>
    <x v="2"/>
    <x v="2"/>
    <s v="Aparelho de Raio-X Móvel"/>
    <n v="5"/>
    <n v="45521.57"/>
    <n v="227607.85"/>
  </r>
  <r>
    <s v="2026-07-04"/>
    <s v="Clínica Ortopédica Central"/>
    <x v="2"/>
    <x v="3"/>
    <x v="3"/>
    <s v="Desfibrilador Externo"/>
    <n v="1"/>
    <n v="33089.5"/>
    <n v="33089.5"/>
  </r>
  <r>
    <s v="2026-07-04"/>
    <s v="Hospital São Lucas"/>
    <x v="2"/>
    <x v="0"/>
    <x v="2"/>
    <s v="Monitor de Pressão Arterial 24h"/>
    <n v="5"/>
    <n v="38523.14"/>
    <n v="192615.7"/>
  </r>
  <r>
    <s v="2026-07-05"/>
    <s v="Centro Médico Avançado"/>
    <x v="1"/>
    <x v="1"/>
    <x v="2"/>
    <s v="Monitor de Pressão Arterial 24h"/>
    <n v="3"/>
    <n v="43357.42"/>
    <n v="130072.26"/>
  </r>
  <r>
    <s v="2026-07-05"/>
    <s v="Hospital Metropolitano"/>
    <x v="3"/>
    <x v="3"/>
    <x v="0"/>
    <s v="Carro de Emergência (Crash Cart)"/>
    <n v="4"/>
    <n v="8709.3799999999992"/>
    <n v="34837.519999999997"/>
  </r>
  <r>
    <s v="2026-07-05"/>
    <s v="Rede Saúde Total"/>
    <x v="2"/>
    <x v="3"/>
    <x v="0"/>
    <s v="Maca de Transporte"/>
    <n v="8"/>
    <n v="9379.91"/>
    <n v="75039.28"/>
  </r>
  <r>
    <s v="2026-07-05"/>
    <s v="Clínica Ortopédica Central"/>
    <x v="4"/>
    <x v="4"/>
    <x v="1"/>
    <s v="Foco Cirúrgico LED"/>
    <n v="7"/>
    <n v="28840.58"/>
    <n v="201884.06"/>
  </r>
  <r>
    <s v="2026-07-05"/>
    <s v="Hospital Metropolitano"/>
    <x v="1"/>
    <x v="1"/>
    <x v="3"/>
    <s v="Ventilador Pulmonar"/>
    <n v="5"/>
    <n v="31524.06"/>
    <n v="157620.29999999999"/>
  </r>
  <r>
    <s v="2026-07-05"/>
    <s v="Clínica Vida"/>
    <x v="3"/>
    <x v="2"/>
    <x v="0"/>
    <s v="Cama Hospitalar Elétrica"/>
    <n v="2"/>
    <n v="8544.5400000000009"/>
    <n v="17089.080000000002"/>
  </r>
  <r>
    <s v="2026-07-06"/>
    <s v="Hospital Santa Maria"/>
    <x v="1"/>
    <x v="0"/>
    <x v="2"/>
    <s v="Ultrassom Portátil"/>
    <n v="6"/>
    <n v="42611.28"/>
    <n v="255667.68"/>
  </r>
  <r>
    <s v="2026-07-06"/>
    <s v="Hospital São Lucas"/>
    <x v="4"/>
    <x v="4"/>
    <x v="1"/>
    <s v="Aspirador Cirúrgico de Secreção"/>
    <n v="6"/>
    <n v="34154.339999999997"/>
    <n v="204926.04"/>
  </r>
  <r>
    <s v="2026-07-06"/>
    <s v="Hospital Regional"/>
    <x v="3"/>
    <x v="0"/>
    <x v="0"/>
    <s v="Maca de Transporte"/>
    <n v="6"/>
    <n v="8998.93"/>
    <n v="53993.58"/>
  </r>
  <r>
    <s v="2026-07-06"/>
    <s v="Hospital Regional"/>
    <x v="1"/>
    <x v="2"/>
    <x v="3"/>
    <s v="Monitor Multiparamétrico"/>
    <n v="9"/>
    <n v="27371.64"/>
    <n v="246344.76"/>
  </r>
  <r>
    <s v="2026-07-06"/>
    <s v="Rede Saúde Total"/>
    <x v="0"/>
    <x v="2"/>
    <x v="3"/>
    <s v="Bomba de Infusão"/>
    <n v="8"/>
    <n v="27448.91"/>
    <n v="219591.28"/>
  </r>
  <r>
    <s v="2026-07-06"/>
    <s v="Clínica Vida"/>
    <x v="4"/>
    <x v="3"/>
    <x v="1"/>
    <s v="Mesa Cirúrgica Eletromecânica"/>
    <n v="8"/>
    <n v="34697.17"/>
    <n v="277577.36"/>
  </r>
  <r>
    <s v="2026-07-07"/>
    <s v="Centro Médico Avançado"/>
    <x v="4"/>
    <x v="2"/>
    <x v="1"/>
    <s v="Mesa Cirúrgica Eletromecânica"/>
    <n v="1"/>
    <n v="26280.25"/>
    <n v="26280.25"/>
  </r>
  <r>
    <s v="2026-07-07"/>
    <s v="Hospital São Lucas"/>
    <x v="4"/>
    <x v="0"/>
    <x v="1"/>
    <s v="Mesa Cirúrgica Eletromecânica"/>
    <n v="5"/>
    <n v="32822.81"/>
    <n v="164114.04999999999"/>
  </r>
  <r>
    <s v="2026-07-07"/>
    <s v="Clínica Vida"/>
    <x v="0"/>
    <x v="1"/>
    <x v="1"/>
    <s v="Bisturi Eletrônico"/>
    <n v="7"/>
    <n v="24452.68"/>
    <n v="171168.76"/>
  </r>
  <r>
    <s v="2026-07-07"/>
    <s v="Hospital São Lucas"/>
    <x v="0"/>
    <x v="1"/>
    <x v="1"/>
    <s v="Foco Cirúrgico LED"/>
    <n v="6"/>
    <n v="34117.019999999997"/>
    <n v="204702.12"/>
  </r>
  <r>
    <s v="2026-07-07"/>
    <s v="Rede Saúde Total"/>
    <x v="2"/>
    <x v="3"/>
    <x v="2"/>
    <s v="Aparelho de Raio-X Móvel"/>
    <n v="5"/>
    <n v="53989.51"/>
    <n v="269947.55"/>
  </r>
  <r>
    <s v="2026-07-07"/>
    <s v="Rede Saúde Total"/>
    <x v="1"/>
    <x v="0"/>
    <x v="2"/>
    <s v="Eletrocardiógrafo"/>
    <n v="8"/>
    <n v="48529.68"/>
    <n v="388237.44"/>
  </r>
  <r>
    <s v="2026-07-08"/>
    <s v="Centro Médico Avançado"/>
    <x v="2"/>
    <x v="0"/>
    <x v="0"/>
    <s v="Carro de Emergência (Crash Cart)"/>
    <n v="3"/>
    <n v="7255.6"/>
    <n v="21766.799999999999"/>
  </r>
  <r>
    <s v="2026-07-08"/>
    <s v="Hospital Regional"/>
    <x v="1"/>
    <x v="2"/>
    <x v="3"/>
    <s v="Desfibrilador Externo"/>
    <n v="6"/>
    <n v="30499.98"/>
    <n v="182999.88"/>
  </r>
  <r>
    <s v="2026-07-08"/>
    <s v="Clínica Vida"/>
    <x v="0"/>
    <x v="0"/>
    <x v="2"/>
    <s v="Eletrocardiógrafo"/>
    <n v="5"/>
    <n v="45572.81"/>
    <n v="227864.05"/>
  </r>
  <r>
    <s v="2026-07-08"/>
    <s v="Clínica Ortopédica Central"/>
    <x v="0"/>
    <x v="4"/>
    <x v="2"/>
    <s v="Ultrassom Portátil"/>
    <n v="8"/>
    <n v="46531.15"/>
    <n v="372249.2"/>
  </r>
  <r>
    <s v="2026-07-08"/>
    <s v="Hospital Regional"/>
    <x v="2"/>
    <x v="2"/>
    <x v="2"/>
    <s v="Aparelho de Raio-X Móvel"/>
    <n v="4"/>
    <n v="43608.22"/>
    <n v="174432.88"/>
  </r>
  <r>
    <s v="2026-07-08"/>
    <s v="Clínica Vida"/>
    <x v="3"/>
    <x v="4"/>
    <x v="0"/>
    <s v="Carro de Emergência (Crash Cart)"/>
    <n v="8"/>
    <n v="7337.02"/>
    <n v="58696.160000000003"/>
  </r>
  <r>
    <s v="2026-07-09"/>
    <s v="Hospital Regional"/>
    <x v="2"/>
    <x v="3"/>
    <x v="1"/>
    <s v="Foco Cirúrgico LED"/>
    <n v="2"/>
    <n v="30409.43"/>
    <n v="60818.86"/>
  </r>
  <r>
    <s v="2026-07-09"/>
    <s v="Clínica Ortopédica Central"/>
    <x v="1"/>
    <x v="1"/>
    <x v="0"/>
    <s v="Carro de Emergência (Crash Cart)"/>
    <n v="9"/>
    <n v="9007.1299999999992"/>
    <n v="81064.17"/>
  </r>
  <r>
    <s v="2026-07-09"/>
    <s v="Hospital Santa Maria"/>
    <x v="2"/>
    <x v="3"/>
    <x v="3"/>
    <s v="Bomba de Infusão"/>
    <n v="9"/>
    <n v="30822.41"/>
    <n v="277401.69"/>
  </r>
  <r>
    <s v="2026-07-09"/>
    <s v="Hospital Santa Maria"/>
    <x v="4"/>
    <x v="1"/>
    <x v="3"/>
    <s v="Bomba de Infusão"/>
    <n v="6"/>
    <n v="27686.09"/>
    <n v="166116.54"/>
  </r>
  <r>
    <s v="2026-07-09"/>
    <s v="Centro Médico Avançado"/>
    <x v="1"/>
    <x v="3"/>
    <x v="3"/>
    <s v="Bomba de Infusão"/>
    <n v="4"/>
    <n v="39930.81"/>
    <n v="159723.24"/>
  </r>
  <r>
    <s v="2026-07-09"/>
    <s v="Hospital Santa Maria"/>
    <x v="1"/>
    <x v="0"/>
    <x v="3"/>
    <s v="Bomba de Infusão"/>
    <n v="4"/>
    <n v="33369.42"/>
    <n v="133477.68"/>
  </r>
  <r>
    <s v="2026-07-09"/>
    <s v="Hospital Santa Maria"/>
    <x v="3"/>
    <x v="4"/>
    <x v="2"/>
    <s v="Ultrassom Portátil"/>
    <n v="6"/>
    <n v="51858.080000000002"/>
    <n v="311148.48"/>
  </r>
  <r>
    <s v="2026-07-10"/>
    <s v="Hospital Metropolitano"/>
    <x v="0"/>
    <x v="1"/>
    <x v="2"/>
    <s v="Aparelho de Raio-X Móvel"/>
    <n v="5"/>
    <n v="46391.65"/>
    <n v="231958.25"/>
  </r>
  <r>
    <s v="2026-07-10"/>
    <s v="Hospital São Lucas"/>
    <x v="1"/>
    <x v="2"/>
    <x v="0"/>
    <s v="Maca de Transporte"/>
    <n v="6"/>
    <n v="7371.78"/>
    <n v="44230.68"/>
  </r>
  <r>
    <s v="2026-07-10"/>
    <s v="Hospital Metropolitano"/>
    <x v="0"/>
    <x v="4"/>
    <x v="1"/>
    <s v="Mesa Cirúrgica Eletromecânica"/>
    <n v="7"/>
    <n v="27267.53"/>
    <n v="190872.71"/>
  </r>
  <r>
    <s v="2026-07-10"/>
    <s v="Hospital Metropolitano"/>
    <x v="2"/>
    <x v="2"/>
    <x v="3"/>
    <s v="Monitor Multiparamétrico"/>
    <n v="7"/>
    <n v="31297.41"/>
    <n v="219081.87"/>
  </r>
  <r>
    <s v="2026-07-10"/>
    <s v="Centro Médico Avançado"/>
    <x v="4"/>
    <x v="4"/>
    <x v="0"/>
    <s v="Cama Hospitalar Elétrica"/>
    <n v="9"/>
    <n v="10075.4"/>
    <n v="90678.6"/>
  </r>
  <r>
    <s v="2026-07-10"/>
    <s v="Hospital Metropolitano"/>
    <x v="3"/>
    <x v="4"/>
    <x v="2"/>
    <s v="Monitor de Pressão Arterial 24h"/>
    <n v="8"/>
    <n v="50026.14"/>
    <n v="400209.12"/>
  </r>
  <r>
    <s v="2026-07-11"/>
    <s v="Hospital Santa Maria"/>
    <x v="0"/>
    <x v="3"/>
    <x v="2"/>
    <s v="Monitor de Pressão Arterial 24h"/>
    <n v="6"/>
    <n v="43207.74"/>
    <n v="259246.44"/>
  </r>
  <r>
    <s v="2026-07-11"/>
    <s v="Clínica Ortopédica Central"/>
    <x v="1"/>
    <x v="1"/>
    <x v="1"/>
    <s v="Foco Cirúrgico LED"/>
    <n v="6"/>
    <n v="34638.69"/>
    <n v="207832.14"/>
  </r>
  <r>
    <s v="2026-07-11"/>
    <s v="Centro Médico Avançado"/>
    <x v="0"/>
    <x v="1"/>
    <x v="1"/>
    <s v="Foco Cirúrgico LED"/>
    <n v="5"/>
    <n v="27401.27"/>
    <n v="137006.35"/>
  </r>
  <r>
    <s v="2026-07-11"/>
    <s v="Centro Médico Avançado"/>
    <x v="1"/>
    <x v="4"/>
    <x v="1"/>
    <s v="Bisturi Eletrônico"/>
    <n v="1"/>
    <n v="34980.22"/>
    <n v="34980.22"/>
  </r>
  <r>
    <s v="2026-07-11"/>
    <s v="Rede Saúde Total"/>
    <x v="0"/>
    <x v="0"/>
    <x v="0"/>
    <s v="Carro de Emergência (Crash Cart)"/>
    <n v="9"/>
    <n v="10611.96"/>
    <n v="95507.64"/>
  </r>
  <r>
    <s v="2026-07-11"/>
    <s v="Centro Médico Avançado"/>
    <x v="1"/>
    <x v="0"/>
    <x v="2"/>
    <s v="Eletrocardiógrafo"/>
    <n v="9"/>
    <n v="41691.79"/>
    <n v="375226.11"/>
  </r>
  <r>
    <s v="2026-07-12"/>
    <s v="Rede Saúde Total"/>
    <x v="2"/>
    <x v="2"/>
    <x v="2"/>
    <s v="Aparelho de Raio-X Móvel"/>
    <n v="9"/>
    <n v="43879.34"/>
    <n v="394914.06"/>
  </r>
  <r>
    <s v="2026-07-12"/>
    <s v="Centro Médico Avançado"/>
    <x v="1"/>
    <x v="2"/>
    <x v="1"/>
    <s v="Bisturi Eletrônico"/>
    <n v="8"/>
    <n v="29243.7"/>
    <n v="233949.6"/>
  </r>
  <r>
    <s v="2026-07-12"/>
    <s v="Hospital São Lucas"/>
    <x v="1"/>
    <x v="3"/>
    <x v="3"/>
    <s v="Desfibrilador Externo"/>
    <n v="3"/>
    <n v="35700.49"/>
    <n v="107101.47"/>
  </r>
  <r>
    <s v="2026-07-12"/>
    <s v="Hospital Santa Maria"/>
    <x v="4"/>
    <x v="4"/>
    <x v="1"/>
    <s v="Mesa Cirúrgica Eletromecânica"/>
    <n v="1"/>
    <n v="29714.13"/>
    <n v="29714.13"/>
  </r>
  <r>
    <s v="2026-07-12"/>
    <s v="Centro Médico Avançado"/>
    <x v="1"/>
    <x v="2"/>
    <x v="0"/>
    <s v="Carro de Emergência (Crash Cart)"/>
    <n v="8"/>
    <n v="10521.1"/>
    <n v="84168.8"/>
  </r>
  <r>
    <s v="2026-07-12"/>
    <s v="Hospital Santa Maria"/>
    <x v="4"/>
    <x v="2"/>
    <x v="1"/>
    <s v="Mesa Cirúrgica Eletromecânica"/>
    <n v="7"/>
    <n v="31908.68"/>
    <n v="223360.76"/>
  </r>
  <r>
    <s v="2026-07-13"/>
    <s v="Hospital Santa Maria"/>
    <x v="3"/>
    <x v="4"/>
    <x v="1"/>
    <s v="Aspirador Cirúrgico de Secreção"/>
    <n v="5"/>
    <n v="26174.9"/>
    <n v="130874.5"/>
  </r>
  <r>
    <s v="2026-07-13"/>
    <s v="Hospital Regional"/>
    <x v="4"/>
    <x v="3"/>
    <x v="0"/>
    <s v="Carro de Emergência (Crash Cart)"/>
    <n v="7"/>
    <n v="7582.33"/>
    <n v="53076.31"/>
  </r>
  <r>
    <s v="2026-07-13"/>
    <s v="Centro Médico Avançado"/>
    <x v="2"/>
    <x v="2"/>
    <x v="1"/>
    <s v="Aspirador Cirúrgico de Secreção"/>
    <n v="4"/>
    <n v="31510.09"/>
    <n v="126040.36"/>
  </r>
  <r>
    <s v="2026-07-13"/>
    <s v="Clínica Vida"/>
    <x v="4"/>
    <x v="3"/>
    <x v="2"/>
    <s v="Monitor de Pressão Arterial 24h"/>
    <n v="9"/>
    <n v="41102.14"/>
    <n v="369919.26"/>
  </r>
  <r>
    <s v="2026-07-13"/>
    <s v="Hospital Regional"/>
    <x v="3"/>
    <x v="1"/>
    <x v="3"/>
    <s v="Desfibrilador Externo"/>
    <n v="2"/>
    <n v="37282.26"/>
    <n v="74564.52"/>
  </r>
  <r>
    <s v="2026-07-13"/>
    <s v="Clínica Vida"/>
    <x v="2"/>
    <x v="3"/>
    <x v="1"/>
    <s v="Bisturi Eletrônico"/>
    <n v="9"/>
    <n v="27283.61"/>
    <n v="245552.49"/>
  </r>
  <r>
    <s v="2026-07-14"/>
    <s v="Hospital Santa Maria"/>
    <x v="0"/>
    <x v="0"/>
    <x v="0"/>
    <s v="Cama Hospitalar Elétrica"/>
    <n v="9"/>
    <n v="8336.44"/>
    <n v="75027.960000000006"/>
  </r>
  <r>
    <s v="2026-07-14"/>
    <s v="Hospital Santa Maria"/>
    <x v="0"/>
    <x v="0"/>
    <x v="3"/>
    <s v="Bomba de Infusão"/>
    <n v="5"/>
    <n v="27338.22"/>
    <n v="136691.1"/>
  </r>
  <r>
    <s v="2026-07-14"/>
    <s v="Hospital Regional"/>
    <x v="4"/>
    <x v="3"/>
    <x v="0"/>
    <s v="Poltrona de Coleta"/>
    <n v="1"/>
    <n v="9608.44"/>
    <n v="9608.44"/>
  </r>
  <r>
    <s v="2026-07-14"/>
    <s v="Hospital Regional"/>
    <x v="4"/>
    <x v="0"/>
    <x v="3"/>
    <s v="Bomba de Infusão"/>
    <n v="7"/>
    <n v="28649.85"/>
    <n v="200548.95"/>
  </r>
  <r>
    <s v="2026-07-14"/>
    <s v="Clínica Vida"/>
    <x v="3"/>
    <x v="1"/>
    <x v="3"/>
    <s v="Desfibrilador Externo"/>
    <n v="4"/>
    <n v="37092.870000000003"/>
    <n v="148371.48000000001"/>
  </r>
  <r>
    <s v="2026-07-14"/>
    <s v="Rede Saúde Total"/>
    <x v="3"/>
    <x v="4"/>
    <x v="1"/>
    <s v="Foco Cirúrgico LED"/>
    <n v="9"/>
    <n v="29308.92"/>
    <n v="263780.28000000003"/>
  </r>
  <r>
    <s v="2026-07-15"/>
    <s v="Clínica Vida"/>
    <x v="1"/>
    <x v="0"/>
    <x v="2"/>
    <s v="Aparelho de Raio-X Móvel"/>
    <n v="6"/>
    <n v="52367.040000000001"/>
    <n v="314202.23999999999"/>
  </r>
  <r>
    <s v="2026-07-15"/>
    <s v="Hospital Regional"/>
    <x v="3"/>
    <x v="0"/>
    <x v="1"/>
    <s v="Foco Cirúrgico LED"/>
    <n v="3"/>
    <n v="30339.98"/>
    <n v="91019.94"/>
  </r>
  <r>
    <s v="2026-07-15"/>
    <s v="Clínica Ortopédica Central"/>
    <x v="1"/>
    <x v="3"/>
    <x v="0"/>
    <s v="Cama Hospitalar Elétrica"/>
    <n v="6"/>
    <n v="7505.27"/>
    <n v="45031.62"/>
  </r>
  <r>
    <s v="2026-07-15"/>
    <s v="Hospital Regional"/>
    <x v="2"/>
    <x v="1"/>
    <x v="0"/>
    <s v="Maca de Transporte"/>
    <n v="6"/>
    <n v="9828.2199999999993"/>
    <n v="58969.32"/>
  </r>
  <r>
    <s v="2026-07-15"/>
    <s v="Clínica Ortopédica Central"/>
    <x v="4"/>
    <x v="4"/>
    <x v="3"/>
    <s v="Bomba de Infusão"/>
    <n v="5"/>
    <n v="28093.43"/>
    <n v="140467.15"/>
  </r>
  <r>
    <s v="2026-07-15"/>
    <s v="Hospital São Lucas"/>
    <x v="2"/>
    <x v="3"/>
    <x v="3"/>
    <s v="Monitor Multiparamétrico"/>
    <n v="2"/>
    <n v="33327.379999999997"/>
    <n v="66654.759999999995"/>
  </r>
  <r>
    <s v="2026-07-15"/>
    <s v="Hospital Regional"/>
    <x v="3"/>
    <x v="3"/>
    <x v="2"/>
    <s v="Eletrocardiógrafo"/>
    <n v="2"/>
    <n v="41352.29"/>
    <n v="82704.58"/>
  </r>
  <r>
    <s v="2026-07-16"/>
    <s v="Hospital São Lucas"/>
    <x v="2"/>
    <x v="1"/>
    <x v="1"/>
    <s v="Bisturi Eletrônico"/>
    <n v="7"/>
    <n v="32226.15"/>
    <n v="225583.05"/>
  </r>
  <r>
    <s v="2026-07-16"/>
    <s v="Rede Saúde Total"/>
    <x v="2"/>
    <x v="4"/>
    <x v="0"/>
    <s v="Poltrona de Coleta"/>
    <n v="2"/>
    <n v="10324.41"/>
    <n v="20648.82"/>
  </r>
  <r>
    <s v="2026-07-16"/>
    <s v="Clínica Vida"/>
    <x v="2"/>
    <x v="1"/>
    <x v="3"/>
    <s v="Desfibrilador Externo"/>
    <n v="6"/>
    <n v="34292.81"/>
    <n v="205756.86"/>
  </r>
  <r>
    <s v="2026-07-16"/>
    <s v="Clínica Ortopédica Central"/>
    <x v="3"/>
    <x v="4"/>
    <x v="2"/>
    <s v="Aparelho de Raio-X Móvel"/>
    <n v="5"/>
    <n v="47738.65"/>
    <n v="238693.25"/>
  </r>
  <r>
    <s v="2026-07-16"/>
    <s v="Clínica Vida"/>
    <x v="2"/>
    <x v="1"/>
    <x v="0"/>
    <s v="Cama Hospitalar Elétrica"/>
    <n v="4"/>
    <n v="9822.4699999999993"/>
    <n v="39289.879999999997"/>
  </r>
  <r>
    <s v="2026-07-16"/>
    <s v="Hospital São Lucas"/>
    <x v="1"/>
    <x v="3"/>
    <x v="3"/>
    <s v="Monitor Multiparamétrico"/>
    <n v="7"/>
    <n v="27265.01"/>
    <n v="190855.07"/>
  </r>
  <r>
    <s v="2026-07-17"/>
    <s v="Clínica Ortopédica Central"/>
    <x v="3"/>
    <x v="3"/>
    <x v="0"/>
    <s v="Carro de Emergência (Crash Cart)"/>
    <n v="8"/>
    <n v="10345.379999999999"/>
    <n v="82763.039999999994"/>
  </r>
  <r>
    <s v="2026-07-17"/>
    <s v="Clínica Vida"/>
    <x v="2"/>
    <x v="2"/>
    <x v="2"/>
    <s v="Monitor de Pressão Arterial 24h"/>
    <n v="4"/>
    <n v="41804.080000000002"/>
    <n v="167216.32000000001"/>
  </r>
  <r>
    <s v="2026-07-17"/>
    <s v="Hospital Regional"/>
    <x v="3"/>
    <x v="0"/>
    <x v="2"/>
    <s v="Aparelho de Raio-X Móvel"/>
    <n v="1"/>
    <n v="55964.14"/>
    <n v="55964.14"/>
  </r>
  <r>
    <s v="2026-07-17"/>
    <s v="Hospital Santa Maria"/>
    <x v="0"/>
    <x v="1"/>
    <x v="0"/>
    <s v="Maca de Transporte"/>
    <n v="1"/>
    <n v="9728.26"/>
    <n v="9728.26"/>
  </r>
  <r>
    <s v="2026-07-17"/>
    <s v="Hospital São Lucas"/>
    <x v="1"/>
    <x v="2"/>
    <x v="1"/>
    <s v="Aspirador Cirúrgico de Secreção"/>
    <n v="1"/>
    <n v="32471.61"/>
    <n v="32471.61"/>
  </r>
  <r>
    <s v="2026-07-17"/>
    <s v="Clínica Vida"/>
    <x v="2"/>
    <x v="0"/>
    <x v="0"/>
    <s v="Poltrona de Coleta"/>
    <n v="1"/>
    <n v="9456.09"/>
    <n v="9456.09"/>
  </r>
  <r>
    <s v="2026-07-18"/>
    <s v="Hospital São Lucas"/>
    <x v="0"/>
    <x v="1"/>
    <x v="3"/>
    <s v="Desfibrilador Externo"/>
    <n v="5"/>
    <n v="33237.29"/>
    <n v="166186.45000000001"/>
  </r>
  <r>
    <s v="2026-07-18"/>
    <s v="Hospital Metropolitano"/>
    <x v="0"/>
    <x v="4"/>
    <x v="1"/>
    <s v="Bisturi Eletrônico"/>
    <n v="4"/>
    <n v="30202.23"/>
    <n v="120808.92"/>
  </r>
  <r>
    <s v="2026-07-18"/>
    <s v="Hospital São Lucas"/>
    <x v="3"/>
    <x v="0"/>
    <x v="3"/>
    <s v="Desfibrilador Externo"/>
    <n v="9"/>
    <n v="27793.96"/>
    <n v="250145.64"/>
  </r>
  <r>
    <s v="2026-07-18"/>
    <s v="Clínica Ortopédica Central"/>
    <x v="0"/>
    <x v="3"/>
    <x v="0"/>
    <s v="Cama Hospitalar Elétrica"/>
    <n v="3"/>
    <n v="9346.4599999999991"/>
    <n v="28039.38"/>
  </r>
  <r>
    <s v="2026-07-18"/>
    <s v="Hospital Metropolitano"/>
    <x v="1"/>
    <x v="2"/>
    <x v="1"/>
    <s v="Mesa Cirúrgica Eletromecânica"/>
    <n v="7"/>
    <n v="30812.3"/>
    <n v="215686.1"/>
  </r>
  <r>
    <s v="2026-07-18"/>
    <s v="Centro Médico Avançado"/>
    <x v="1"/>
    <x v="0"/>
    <x v="3"/>
    <s v="Desfibrilador Externo"/>
    <n v="8"/>
    <n v="38607.370000000003"/>
    <n v="308858.96000000002"/>
  </r>
  <r>
    <s v="2026-07-19"/>
    <s v="Clínica Ortopédica Central"/>
    <x v="4"/>
    <x v="0"/>
    <x v="0"/>
    <s v="Poltrona de Coleta"/>
    <n v="6"/>
    <n v="8944.23"/>
    <n v="53665.38"/>
  </r>
  <r>
    <s v="2026-07-19"/>
    <s v="Hospital Santa Maria"/>
    <x v="1"/>
    <x v="3"/>
    <x v="0"/>
    <s v="Carro de Emergência (Crash Cart)"/>
    <n v="1"/>
    <n v="7487.29"/>
    <n v="7487.29"/>
  </r>
  <r>
    <s v="2026-07-19"/>
    <s v="Hospital Metropolitano"/>
    <x v="0"/>
    <x v="1"/>
    <x v="1"/>
    <s v="Bisturi Eletrônico"/>
    <n v="8"/>
    <n v="27229.39"/>
    <n v="217835.12"/>
  </r>
  <r>
    <s v="2026-07-19"/>
    <s v="Centro Médico Avançado"/>
    <x v="1"/>
    <x v="4"/>
    <x v="0"/>
    <s v="Maca de Transporte"/>
    <n v="3"/>
    <n v="9454.14"/>
    <n v="28362.42"/>
  </r>
  <r>
    <s v="2026-07-19"/>
    <s v="Hospital Regional"/>
    <x v="3"/>
    <x v="3"/>
    <x v="2"/>
    <s v="Ultrassom Portátil"/>
    <n v="8"/>
    <n v="42556.66"/>
    <n v="340453.28"/>
  </r>
  <r>
    <s v="2026-07-19"/>
    <s v="Hospital São Lucas"/>
    <x v="4"/>
    <x v="4"/>
    <x v="3"/>
    <s v="Monitor Multiparamétrico"/>
    <n v="4"/>
    <n v="30790.76"/>
    <n v="123163.04"/>
  </r>
  <r>
    <s v="2026-07-20"/>
    <s v="Clínica Vida"/>
    <x v="0"/>
    <x v="1"/>
    <x v="3"/>
    <s v="Desfibrilador Externo"/>
    <n v="8"/>
    <n v="37702"/>
    <n v="301616"/>
  </r>
  <r>
    <s v="2026-07-20"/>
    <s v="Rede Saúde Total"/>
    <x v="4"/>
    <x v="0"/>
    <x v="0"/>
    <s v="Cama Hospitalar Elétrica"/>
    <n v="1"/>
    <n v="9211.69"/>
    <n v="9211.69"/>
  </r>
  <r>
    <s v="2026-07-20"/>
    <s v="Hospital São Lucas"/>
    <x v="0"/>
    <x v="4"/>
    <x v="0"/>
    <s v="Cama Hospitalar Elétrica"/>
    <n v="3"/>
    <n v="8953.99"/>
    <n v="26861.97"/>
  </r>
  <r>
    <s v="2026-07-20"/>
    <s v="Centro Médico Avançado"/>
    <x v="3"/>
    <x v="2"/>
    <x v="2"/>
    <s v="Ultrassom Portátil"/>
    <n v="6"/>
    <n v="43982.14"/>
    <n v="263892.84000000003"/>
  </r>
  <r>
    <s v="2026-07-20"/>
    <s v="Hospital São Lucas"/>
    <x v="4"/>
    <x v="2"/>
    <x v="1"/>
    <s v="Foco Cirúrgico LED"/>
    <n v="9"/>
    <n v="31986.39"/>
    <n v="287877.51"/>
  </r>
  <r>
    <s v="2026-07-20"/>
    <s v="Hospital Santa Maria"/>
    <x v="2"/>
    <x v="3"/>
    <x v="0"/>
    <s v="Maca de Transporte"/>
    <n v="2"/>
    <n v="8203.24"/>
    <n v="16406.48"/>
  </r>
  <r>
    <s v="2026-07-21"/>
    <s v="Hospital Regional"/>
    <x v="0"/>
    <x v="1"/>
    <x v="0"/>
    <s v="Carro de Emergência (Crash Cart)"/>
    <n v="1"/>
    <n v="9731.02"/>
    <n v="9731.02"/>
  </r>
  <r>
    <s v="2026-07-21"/>
    <s v="Rede Saúde Total"/>
    <x v="2"/>
    <x v="3"/>
    <x v="0"/>
    <s v="Carro de Emergência (Crash Cart)"/>
    <n v="3"/>
    <n v="7463.35"/>
    <n v="22390.05"/>
  </r>
  <r>
    <s v="2026-07-21"/>
    <s v="Hospital Metropolitano"/>
    <x v="4"/>
    <x v="3"/>
    <x v="0"/>
    <s v="Poltrona de Coleta"/>
    <n v="4"/>
    <n v="10164.44"/>
    <n v="40657.760000000002"/>
  </r>
  <r>
    <s v="2026-07-21"/>
    <s v="Hospital Metropolitano"/>
    <x v="2"/>
    <x v="3"/>
    <x v="3"/>
    <s v="Bomba de Infusão"/>
    <n v="5"/>
    <n v="33594.449999999997"/>
    <n v="167972.25"/>
  </r>
  <r>
    <s v="2026-07-21"/>
    <s v="Hospital Metropolitano"/>
    <x v="2"/>
    <x v="2"/>
    <x v="0"/>
    <s v="Carro de Emergência (Crash Cart)"/>
    <n v="3"/>
    <n v="8715.93"/>
    <n v="26147.79"/>
  </r>
  <r>
    <s v="2026-07-21"/>
    <s v="Centro Médico Avançado"/>
    <x v="4"/>
    <x v="2"/>
    <x v="3"/>
    <s v="Bomba de Infusão"/>
    <n v="2"/>
    <n v="35021.1"/>
    <n v="70042.2"/>
  </r>
  <r>
    <s v="2026-07-21"/>
    <s v="Clínica Ortopédica Central"/>
    <x v="3"/>
    <x v="3"/>
    <x v="0"/>
    <s v="Carro de Emergência (Crash Cart)"/>
    <n v="2"/>
    <n v="9347.25"/>
    <n v="18694.5"/>
  </r>
  <r>
    <s v="2026-07-22"/>
    <s v="Clínica Ortopédica Central"/>
    <x v="2"/>
    <x v="2"/>
    <x v="1"/>
    <s v="Aspirador Cirúrgico de Secreção"/>
    <n v="7"/>
    <n v="25278.79"/>
    <n v="176951.53"/>
  </r>
  <r>
    <s v="2026-07-22"/>
    <s v="Clínica Vida"/>
    <x v="2"/>
    <x v="1"/>
    <x v="2"/>
    <s v="Aparelho de Raio-X Móvel"/>
    <n v="9"/>
    <n v="51862.2"/>
    <n v="466759.8"/>
  </r>
  <r>
    <s v="2026-07-22"/>
    <s v="Rede Saúde Total"/>
    <x v="3"/>
    <x v="3"/>
    <x v="1"/>
    <s v="Foco Cirúrgico LED"/>
    <n v="2"/>
    <n v="26890.400000000001"/>
    <n v="53780.800000000003"/>
  </r>
  <r>
    <s v="2026-07-22"/>
    <s v="Hospital Metropolitano"/>
    <x v="2"/>
    <x v="2"/>
    <x v="0"/>
    <s v="Carro de Emergência (Crash Cart)"/>
    <n v="7"/>
    <n v="10301.870000000001"/>
    <n v="72113.09"/>
  </r>
  <r>
    <s v="2026-07-22"/>
    <s v="Clínica Ortopédica Central"/>
    <x v="2"/>
    <x v="4"/>
    <x v="0"/>
    <s v="Maca de Transporte"/>
    <n v="7"/>
    <n v="10005.69"/>
    <n v="70039.83"/>
  </r>
  <r>
    <s v="2026-07-22"/>
    <s v="Centro Médico Avançado"/>
    <x v="2"/>
    <x v="3"/>
    <x v="0"/>
    <s v="Carro de Emergência (Crash Cart)"/>
    <n v="7"/>
    <n v="8402.2999999999993"/>
    <n v="58816.1"/>
  </r>
  <r>
    <s v="2026-07-23"/>
    <s v="Clínica Vida"/>
    <x v="1"/>
    <x v="3"/>
    <x v="1"/>
    <s v="Bisturi Eletrônico"/>
    <n v="3"/>
    <n v="32846.68"/>
    <n v="98540.04"/>
  </r>
  <r>
    <s v="2026-07-23"/>
    <s v="Hospital Regional"/>
    <x v="3"/>
    <x v="1"/>
    <x v="0"/>
    <s v="Cama Hospitalar Elétrica"/>
    <n v="7"/>
    <n v="8436.73"/>
    <n v="59057.11"/>
  </r>
  <r>
    <s v="2026-07-23"/>
    <s v="Clínica Vida"/>
    <x v="2"/>
    <x v="0"/>
    <x v="1"/>
    <s v="Foco Cirúrgico LED"/>
    <n v="1"/>
    <n v="24930.61"/>
    <n v="24930.61"/>
  </r>
  <r>
    <s v="2026-07-23"/>
    <s v="Clínica Ortopédica Central"/>
    <x v="3"/>
    <x v="0"/>
    <x v="3"/>
    <s v="Ventilador Pulmonar"/>
    <n v="1"/>
    <n v="39512.17"/>
    <n v="39512.17"/>
  </r>
  <r>
    <s v="2026-07-23"/>
    <s v="Hospital Santa Maria"/>
    <x v="0"/>
    <x v="1"/>
    <x v="2"/>
    <s v="Eletrocardiógrafo"/>
    <n v="5"/>
    <n v="49996.84"/>
    <n v="249984.2"/>
  </r>
  <r>
    <s v="2026-07-23"/>
    <s v="Centro Médico Avançado"/>
    <x v="0"/>
    <x v="1"/>
    <x v="2"/>
    <s v="Eletrocardiógrafo"/>
    <n v="2"/>
    <n v="46459.79"/>
    <n v="92919.58"/>
  </r>
  <r>
    <s v="2026-07-24"/>
    <s v="Hospital Santa Maria"/>
    <x v="2"/>
    <x v="1"/>
    <x v="1"/>
    <s v="Bisturi Eletrônico"/>
    <n v="9"/>
    <n v="28255.06"/>
    <n v="254295.54"/>
  </r>
  <r>
    <s v="2026-07-24"/>
    <s v="Hospital Metropolitano"/>
    <x v="3"/>
    <x v="0"/>
    <x v="3"/>
    <s v="Ventilador Pulmonar"/>
    <n v="7"/>
    <n v="31356.23"/>
    <n v="219493.61"/>
  </r>
  <r>
    <s v="2026-07-24"/>
    <s v="Hospital Santa Maria"/>
    <x v="3"/>
    <x v="1"/>
    <x v="1"/>
    <s v="Aspirador Cirúrgico de Secreção"/>
    <n v="4"/>
    <n v="34792.21"/>
    <n v="139168.84"/>
  </r>
  <r>
    <s v="2026-07-24"/>
    <s v="Hospital Metropolitano"/>
    <x v="3"/>
    <x v="2"/>
    <x v="3"/>
    <s v="Monitor Multiparamétrico"/>
    <n v="4"/>
    <n v="28924.76"/>
    <n v="115699.04"/>
  </r>
  <r>
    <s v="2026-07-24"/>
    <s v="Hospital Metropolitano"/>
    <x v="1"/>
    <x v="3"/>
    <x v="0"/>
    <s v="Poltrona de Coleta"/>
    <n v="2"/>
    <n v="8295.34"/>
    <n v="16590.68"/>
  </r>
  <r>
    <s v="2026-07-24"/>
    <s v="Clínica Ortopédica Central"/>
    <x v="0"/>
    <x v="3"/>
    <x v="3"/>
    <s v="Bomba de Infusão"/>
    <n v="5"/>
    <n v="33414.370000000003"/>
    <n v="167071.85"/>
  </r>
  <r>
    <s v="2026-07-25"/>
    <s v="Hospital Santa Maria"/>
    <x v="3"/>
    <x v="4"/>
    <x v="3"/>
    <s v="Bomba de Infusão"/>
    <n v="4"/>
    <n v="33318.39"/>
    <n v="133273.56"/>
  </r>
  <r>
    <s v="2026-07-25"/>
    <s v="Hospital Metropolitano"/>
    <x v="3"/>
    <x v="4"/>
    <x v="3"/>
    <s v="Desfibrilador Externo"/>
    <n v="1"/>
    <n v="33233.49"/>
    <n v="33233.49"/>
  </r>
  <r>
    <s v="2026-07-25"/>
    <s v="Rede Saúde Total"/>
    <x v="1"/>
    <x v="3"/>
    <x v="2"/>
    <s v="Eletrocardiógrafo"/>
    <n v="8"/>
    <n v="41414.11"/>
    <n v="331312.88"/>
  </r>
  <r>
    <s v="2026-07-25"/>
    <s v="Hospital Regional"/>
    <x v="1"/>
    <x v="2"/>
    <x v="3"/>
    <s v="Monitor Multiparamétrico"/>
    <n v="3"/>
    <n v="29055.14"/>
    <n v="87165.42"/>
  </r>
  <r>
    <s v="2026-07-25"/>
    <s v="Clínica Vida"/>
    <x v="3"/>
    <x v="0"/>
    <x v="0"/>
    <s v="Carro de Emergência (Crash Cart)"/>
    <n v="6"/>
    <n v="8091.21"/>
    <n v="48547.26"/>
  </r>
  <r>
    <s v="2026-07-25"/>
    <s v="Clínica Vida"/>
    <x v="4"/>
    <x v="0"/>
    <x v="0"/>
    <s v="Maca de Transporte"/>
    <n v="4"/>
    <n v="10334.39"/>
    <n v="41337.56"/>
  </r>
  <r>
    <s v="2026-07-26"/>
    <s v="Clínica Ortopédica Central"/>
    <x v="3"/>
    <x v="2"/>
    <x v="0"/>
    <s v="Poltrona de Coleta"/>
    <n v="9"/>
    <n v="7609.38"/>
    <n v="68484.42"/>
  </r>
  <r>
    <s v="2026-07-26"/>
    <s v="Hospital Santa Maria"/>
    <x v="3"/>
    <x v="0"/>
    <x v="3"/>
    <s v="Desfibrilador Externo"/>
    <n v="7"/>
    <n v="36895.040000000001"/>
    <n v="258265.28"/>
  </r>
  <r>
    <s v="2026-07-26"/>
    <s v="Hospital Santa Maria"/>
    <x v="1"/>
    <x v="1"/>
    <x v="1"/>
    <s v="Bisturi Eletrônico"/>
    <n v="9"/>
    <n v="32284.54"/>
    <n v="290560.86"/>
  </r>
  <r>
    <s v="2026-07-26"/>
    <s v="Hospital Metropolitano"/>
    <x v="1"/>
    <x v="3"/>
    <x v="1"/>
    <s v="Mesa Cirúrgica Eletromecânica"/>
    <n v="3"/>
    <n v="32869.43"/>
    <n v="98608.29"/>
  </r>
  <r>
    <s v="2026-07-26"/>
    <s v="Centro Médico Avançado"/>
    <x v="3"/>
    <x v="3"/>
    <x v="0"/>
    <s v="Carro de Emergência (Crash Cart)"/>
    <n v="1"/>
    <n v="10239.49"/>
    <n v="10239.49"/>
  </r>
  <r>
    <s v="2026-07-26"/>
    <s v="Hospital São Lucas"/>
    <x v="3"/>
    <x v="2"/>
    <x v="2"/>
    <s v="Ultrassom Portátil"/>
    <n v="5"/>
    <n v="42984.65"/>
    <n v="214923.25"/>
  </r>
  <r>
    <s v="2026-07-27"/>
    <s v="Hospital Metropolitano"/>
    <x v="3"/>
    <x v="0"/>
    <x v="1"/>
    <s v="Foco Cirúrgico LED"/>
    <n v="3"/>
    <n v="26315.07"/>
    <n v="78945.210000000006"/>
  </r>
  <r>
    <s v="2026-07-27"/>
    <s v="Hospital Regional"/>
    <x v="1"/>
    <x v="4"/>
    <x v="3"/>
    <s v="Ventilador Pulmonar"/>
    <n v="6"/>
    <n v="33158.47"/>
    <n v="198950.82"/>
  </r>
  <r>
    <s v="2026-07-27"/>
    <s v="Rede Saúde Total"/>
    <x v="3"/>
    <x v="4"/>
    <x v="1"/>
    <s v="Foco Cirúrgico LED"/>
    <n v="8"/>
    <n v="26769"/>
    <n v="214152"/>
  </r>
  <r>
    <s v="2026-07-27"/>
    <s v="Clínica Vida"/>
    <x v="3"/>
    <x v="0"/>
    <x v="0"/>
    <s v="Carro de Emergência (Crash Cart)"/>
    <n v="4"/>
    <n v="9721.65"/>
    <n v="38886.6"/>
  </r>
  <r>
    <s v="2026-07-27"/>
    <s v="Hospital Metropolitano"/>
    <x v="2"/>
    <x v="4"/>
    <x v="2"/>
    <s v="Ultrassom Portátil"/>
    <n v="5"/>
    <n v="49696.91"/>
    <n v="248484.55"/>
  </r>
  <r>
    <s v="2026-07-27"/>
    <s v="Hospital São Lucas"/>
    <x v="4"/>
    <x v="2"/>
    <x v="1"/>
    <s v="Mesa Cirúrgica Eletromecânica"/>
    <n v="5"/>
    <n v="33599.86"/>
    <n v="167999.3"/>
  </r>
  <r>
    <s v="2026-07-27"/>
    <s v="Hospital São Lucas"/>
    <x v="0"/>
    <x v="2"/>
    <x v="1"/>
    <s v="Aspirador Cirúrgico de Secreção"/>
    <n v="4"/>
    <n v="24726.67"/>
    <n v="98906.68"/>
  </r>
  <r>
    <s v="2026-07-28"/>
    <s v="Hospital Metropolitano"/>
    <x v="4"/>
    <x v="0"/>
    <x v="0"/>
    <s v="Poltrona de Coleta"/>
    <n v="4"/>
    <n v="10336.280000000001"/>
    <n v="41345.120000000003"/>
  </r>
  <r>
    <s v="2026-07-28"/>
    <s v="Clínica Ortopédica Central"/>
    <x v="2"/>
    <x v="4"/>
    <x v="2"/>
    <s v="Ultrassom Portátil"/>
    <n v="4"/>
    <n v="43530.28"/>
    <n v="174121.12"/>
  </r>
  <r>
    <s v="2026-07-28"/>
    <s v="Clínica Vida"/>
    <x v="0"/>
    <x v="2"/>
    <x v="2"/>
    <s v="Ultrassom Portátil"/>
    <n v="4"/>
    <n v="47082.5"/>
    <n v="188330"/>
  </r>
  <r>
    <s v="2026-07-28"/>
    <s v="Clínica Ortopédica Central"/>
    <x v="3"/>
    <x v="2"/>
    <x v="0"/>
    <s v="Cama Hospitalar Elétrica"/>
    <n v="4"/>
    <n v="8716.2800000000007"/>
    <n v="34865.120000000003"/>
  </r>
  <r>
    <s v="2026-07-28"/>
    <s v="Rede Saúde Total"/>
    <x v="2"/>
    <x v="1"/>
    <x v="3"/>
    <s v="Bomba de Infusão"/>
    <n v="5"/>
    <n v="36931.99"/>
    <n v="184659.95"/>
  </r>
  <r>
    <s v="2026-07-28"/>
    <s v="Hospital São Lucas"/>
    <x v="3"/>
    <x v="1"/>
    <x v="1"/>
    <s v="Aspirador Cirúrgico de Secreção"/>
    <n v="2"/>
    <n v="28507.73"/>
    <n v="57015.46"/>
  </r>
  <r>
    <s v="2026-07-29"/>
    <s v="Hospital São Lucas"/>
    <x v="1"/>
    <x v="2"/>
    <x v="3"/>
    <s v="Ventilador Pulmonar"/>
    <n v="2"/>
    <n v="39277.480000000003"/>
    <n v="78554.960000000006"/>
  </r>
  <r>
    <s v="2026-07-29"/>
    <s v="Hospital Regional"/>
    <x v="2"/>
    <x v="0"/>
    <x v="1"/>
    <s v="Mesa Cirúrgica Eletromecânica"/>
    <n v="9"/>
    <n v="33908.379999999997"/>
    <n v="305175.42"/>
  </r>
  <r>
    <s v="2026-07-29"/>
    <s v="Rede Saúde Total"/>
    <x v="1"/>
    <x v="3"/>
    <x v="1"/>
    <s v="Foco Cirúrgico LED"/>
    <n v="2"/>
    <n v="33568.199999999997"/>
    <n v="67136.399999999994"/>
  </r>
  <r>
    <s v="2026-07-29"/>
    <s v="Hospital São Lucas"/>
    <x v="2"/>
    <x v="3"/>
    <x v="3"/>
    <s v="Desfibrilador Externo"/>
    <n v="6"/>
    <n v="28112.11"/>
    <n v="168672.66"/>
  </r>
  <r>
    <s v="2026-07-29"/>
    <s v="Rede Saúde Total"/>
    <x v="2"/>
    <x v="2"/>
    <x v="0"/>
    <s v="Cama Hospitalar Elétrica"/>
    <n v="2"/>
    <n v="10129.48"/>
    <n v="20258.96"/>
  </r>
  <r>
    <s v="2026-07-29"/>
    <s v="Clínica Vida"/>
    <x v="1"/>
    <x v="2"/>
    <x v="0"/>
    <s v="Poltrona de Coleta"/>
    <n v="5"/>
    <n v="9882.56"/>
    <n v="49412.800000000003"/>
  </r>
  <r>
    <s v="2026-07-30"/>
    <s v="Hospital Santa Maria"/>
    <x v="0"/>
    <x v="2"/>
    <x v="1"/>
    <s v="Foco Cirúrgico LED"/>
    <n v="4"/>
    <n v="24959.35"/>
    <n v="99837.4"/>
  </r>
  <r>
    <s v="2026-07-30"/>
    <s v="Hospital São Lucas"/>
    <x v="4"/>
    <x v="0"/>
    <x v="0"/>
    <s v="Maca de Transporte"/>
    <n v="7"/>
    <n v="7590.21"/>
    <n v="53131.47"/>
  </r>
  <r>
    <s v="2026-07-30"/>
    <s v="Hospital Regional"/>
    <x v="3"/>
    <x v="1"/>
    <x v="1"/>
    <s v="Foco Cirúrgico LED"/>
    <n v="7"/>
    <n v="24933.03"/>
    <n v="174531.21"/>
  </r>
  <r>
    <s v="2026-07-30"/>
    <s v="Clínica Vida"/>
    <x v="2"/>
    <x v="2"/>
    <x v="0"/>
    <s v="Maca de Transporte"/>
    <n v="6"/>
    <n v="7263.53"/>
    <n v="43581.18"/>
  </r>
  <r>
    <s v="2026-07-30"/>
    <s v="Hospital Metropolitano"/>
    <x v="3"/>
    <x v="2"/>
    <x v="1"/>
    <s v="Mesa Cirúrgica Eletromecânica"/>
    <n v="5"/>
    <n v="29944.7"/>
    <n v="149723.5"/>
  </r>
  <r>
    <s v="2026-07-30"/>
    <s v="Rede Saúde Total"/>
    <x v="1"/>
    <x v="4"/>
    <x v="0"/>
    <s v="Cama Hospitalar Elétrica"/>
    <n v="1"/>
    <n v="10534.54"/>
    <n v="10534.54"/>
  </r>
  <r>
    <s v="2026-07-31"/>
    <s v="Hospital Metropolitano"/>
    <x v="3"/>
    <x v="0"/>
    <x v="2"/>
    <s v="Aparelho de Raio-X Móvel"/>
    <n v="3"/>
    <n v="46146.32"/>
    <n v="138438.96"/>
  </r>
  <r>
    <s v="2026-07-31"/>
    <s v="Clínica Ortopédica Central"/>
    <x v="1"/>
    <x v="2"/>
    <x v="3"/>
    <s v="Bomba de Infusão"/>
    <n v="9"/>
    <n v="34121.699999999997"/>
    <n v="307095.3"/>
  </r>
  <r>
    <s v="2026-07-31"/>
    <s v="Clínica Vida"/>
    <x v="3"/>
    <x v="4"/>
    <x v="2"/>
    <s v="Ultrassom Portátil"/>
    <n v="1"/>
    <n v="55673.46"/>
    <n v="55673.46"/>
  </r>
  <r>
    <s v="2026-07-31"/>
    <s v="Hospital Metropolitano"/>
    <x v="4"/>
    <x v="3"/>
    <x v="3"/>
    <s v="Ventilador Pulmonar"/>
    <n v="5"/>
    <n v="30466.33"/>
    <n v="152331.65"/>
  </r>
  <r>
    <s v="2026-07-31"/>
    <s v="Centro Médico Avançado"/>
    <x v="4"/>
    <x v="2"/>
    <x v="3"/>
    <s v="Monitor Multiparamétrico"/>
    <n v="2"/>
    <n v="38188.42"/>
    <n v="76376.84"/>
  </r>
  <r>
    <s v="2026-07-31"/>
    <s v="Centro Médico Avançado"/>
    <x v="4"/>
    <x v="2"/>
    <x v="1"/>
    <s v="Mesa Cirúrgica Eletromecânica"/>
    <n v="4"/>
    <n v="29919.57"/>
    <n v="119678.28"/>
  </r>
  <r>
    <s v="2026-08-01"/>
    <s v="Hospital São Lucas"/>
    <x v="4"/>
    <x v="4"/>
    <x v="3"/>
    <s v="Ventilador Pulmonar"/>
    <n v="1"/>
    <n v="34489.300000000003"/>
    <n v="34489.300000000003"/>
  </r>
  <r>
    <s v="2026-08-01"/>
    <s v="Rede Saúde Total"/>
    <x v="4"/>
    <x v="0"/>
    <x v="2"/>
    <s v="Eletrocardiógrafo"/>
    <n v="3"/>
    <n v="44427.13"/>
    <n v="133281.39000000001"/>
  </r>
  <r>
    <s v="2026-08-01"/>
    <s v="Hospital Santa Maria"/>
    <x v="4"/>
    <x v="2"/>
    <x v="2"/>
    <s v="Aparelho de Raio-X Móvel"/>
    <n v="7"/>
    <n v="48358.52"/>
    <n v="338509.64"/>
  </r>
  <r>
    <s v="2026-08-01"/>
    <s v="Clínica Vida"/>
    <x v="1"/>
    <x v="3"/>
    <x v="0"/>
    <s v="Maca de Transporte"/>
    <n v="3"/>
    <n v="7473.68"/>
    <n v="22421.040000000001"/>
  </r>
  <r>
    <s v="2026-08-01"/>
    <s v="Hospital São Lucas"/>
    <x v="2"/>
    <x v="2"/>
    <x v="2"/>
    <s v="Monitor de Pressão Arterial 24h"/>
    <n v="4"/>
    <n v="52013.58"/>
    <n v="208054.32"/>
  </r>
  <r>
    <s v="2026-08-01"/>
    <s v="Hospital Regional"/>
    <x v="3"/>
    <x v="3"/>
    <x v="0"/>
    <s v="Carro de Emergência (Crash Cart)"/>
    <n v="2"/>
    <n v="8192.94"/>
    <n v="16385.88"/>
  </r>
  <r>
    <s v="2026-08-02"/>
    <s v="Clínica Ortopédica Central"/>
    <x v="4"/>
    <x v="1"/>
    <x v="3"/>
    <s v="Bomba de Infusão"/>
    <n v="3"/>
    <n v="38561.39"/>
    <n v="115684.17"/>
  </r>
  <r>
    <s v="2026-08-02"/>
    <s v="Rede Saúde Total"/>
    <x v="1"/>
    <x v="1"/>
    <x v="2"/>
    <s v="Ultrassom Portátil"/>
    <n v="9"/>
    <n v="44871.31"/>
    <n v="403841.79"/>
  </r>
  <r>
    <s v="2026-08-02"/>
    <s v="Clínica Vida"/>
    <x v="1"/>
    <x v="3"/>
    <x v="3"/>
    <s v="Bomba de Infusão"/>
    <n v="3"/>
    <n v="29028.15"/>
    <n v="87084.45"/>
  </r>
  <r>
    <s v="2026-08-02"/>
    <s v="Centro Médico Avançado"/>
    <x v="1"/>
    <x v="0"/>
    <x v="2"/>
    <s v="Ultrassom Portátil"/>
    <n v="5"/>
    <n v="50775.87"/>
    <n v="253879.35"/>
  </r>
  <r>
    <s v="2026-08-02"/>
    <s v="Clínica Vida"/>
    <x v="2"/>
    <x v="2"/>
    <x v="2"/>
    <s v="Monitor de Pressão Arterial 24h"/>
    <n v="2"/>
    <n v="41212.410000000003"/>
    <n v="82424.820000000007"/>
  </r>
  <r>
    <s v="2026-08-02"/>
    <s v="Hospital Santa Maria"/>
    <x v="3"/>
    <x v="2"/>
    <x v="0"/>
    <s v="Carro de Emergência (Crash Cart)"/>
    <n v="4"/>
    <n v="9787.51"/>
    <n v="39150.04"/>
  </r>
  <r>
    <s v="2026-08-02"/>
    <s v="Centro Médico Avançado"/>
    <x v="2"/>
    <x v="1"/>
    <x v="3"/>
    <s v="Monitor Multiparamétrico"/>
    <n v="7"/>
    <n v="39591.839999999997"/>
    <n v="277142.88"/>
  </r>
  <r>
    <s v="2026-08-03"/>
    <s v="Hospital Santa Maria"/>
    <x v="0"/>
    <x v="3"/>
    <x v="2"/>
    <s v="Monitor de Pressão Arterial 24h"/>
    <n v="7"/>
    <n v="52281.95"/>
    <n v="365973.65"/>
  </r>
  <r>
    <s v="2026-08-03"/>
    <s v="Hospital Regional"/>
    <x v="1"/>
    <x v="2"/>
    <x v="1"/>
    <s v="Foco Cirúrgico LED"/>
    <n v="3"/>
    <n v="24051.43"/>
    <n v="72154.289999999994"/>
  </r>
  <r>
    <s v="2026-08-03"/>
    <s v="Clínica Ortopédica Central"/>
    <x v="0"/>
    <x v="2"/>
    <x v="3"/>
    <s v="Desfibrilador Externo"/>
    <n v="5"/>
    <n v="34878.54"/>
    <n v="174392.7"/>
  </r>
  <r>
    <s v="2026-08-03"/>
    <s v="Hospital Regional"/>
    <x v="4"/>
    <x v="0"/>
    <x v="3"/>
    <s v="Ventilador Pulmonar"/>
    <n v="1"/>
    <n v="36101.26"/>
    <n v="36101.26"/>
  </r>
  <r>
    <s v="2026-08-03"/>
    <s v="Hospital São Lucas"/>
    <x v="4"/>
    <x v="4"/>
    <x v="3"/>
    <s v="Desfibrilador Externo"/>
    <n v="1"/>
    <n v="37765.870000000003"/>
    <n v="37765.870000000003"/>
  </r>
  <r>
    <s v="2026-08-03"/>
    <s v="Hospital São Lucas"/>
    <x v="2"/>
    <x v="1"/>
    <x v="0"/>
    <s v="Cama Hospitalar Elétrica"/>
    <n v="5"/>
    <n v="7415.41"/>
    <n v="37077.050000000003"/>
  </r>
  <r>
    <s v="2026-08-04"/>
    <s v="Hospital Regional"/>
    <x v="3"/>
    <x v="1"/>
    <x v="1"/>
    <s v="Bisturi Eletrônico"/>
    <n v="9"/>
    <n v="29177.21"/>
    <n v="262594.89"/>
  </r>
  <r>
    <s v="2026-08-04"/>
    <s v="Clínica Ortopédica Central"/>
    <x v="0"/>
    <x v="4"/>
    <x v="3"/>
    <s v="Monitor Multiparamétrico"/>
    <n v="1"/>
    <n v="34052.75"/>
    <n v="34052.75"/>
  </r>
  <r>
    <s v="2026-08-04"/>
    <s v="Hospital Regional"/>
    <x v="3"/>
    <x v="2"/>
    <x v="2"/>
    <s v="Ultrassom Portátil"/>
    <n v="1"/>
    <n v="41294.25"/>
    <n v="41294.25"/>
  </r>
  <r>
    <s v="2026-08-04"/>
    <s v="Clínica Ortopédica Central"/>
    <x v="2"/>
    <x v="0"/>
    <x v="2"/>
    <s v="Monitor de Pressão Arterial 24h"/>
    <n v="4"/>
    <n v="44054.1"/>
    <n v="176216.4"/>
  </r>
  <r>
    <s v="2026-08-04"/>
    <s v="Clínica Ortopédica Central"/>
    <x v="4"/>
    <x v="0"/>
    <x v="0"/>
    <s v="Cama Hospitalar Elétrica"/>
    <n v="4"/>
    <n v="8721.75"/>
    <n v="34887"/>
  </r>
  <r>
    <s v="2026-08-04"/>
    <s v="Hospital Metropolitano"/>
    <x v="3"/>
    <x v="1"/>
    <x v="2"/>
    <s v="Ultrassom Portátil"/>
    <n v="2"/>
    <n v="53247.77"/>
    <n v="106495.54"/>
  </r>
  <r>
    <s v="2026-08-05"/>
    <s v="Centro Médico Avançado"/>
    <x v="3"/>
    <x v="0"/>
    <x v="3"/>
    <s v="Ventilador Pulmonar"/>
    <n v="9"/>
    <n v="39096.42"/>
    <n v="351867.78"/>
  </r>
  <r>
    <s v="2026-08-05"/>
    <s v="Rede Saúde Total"/>
    <x v="4"/>
    <x v="4"/>
    <x v="2"/>
    <s v="Monitor de Pressão Arterial 24h"/>
    <n v="9"/>
    <n v="49561.61"/>
    <n v="446054.49"/>
  </r>
  <r>
    <s v="2026-08-05"/>
    <s v="Clínica Ortopédica Central"/>
    <x v="0"/>
    <x v="2"/>
    <x v="3"/>
    <s v="Monitor Multiparamétrico"/>
    <n v="2"/>
    <n v="32255.3"/>
    <n v="64510.6"/>
  </r>
  <r>
    <s v="2026-08-05"/>
    <s v="Hospital Santa Maria"/>
    <x v="4"/>
    <x v="4"/>
    <x v="2"/>
    <s v="Eletrocardiógrafo"/>
    <n v="9"/>
    <n v="42822.559999999998"/>
    <n v="385403.04"/>
  </r>
  <r>
    <s v="2026-08-05"/>
    <s v="Clínica Ortopédica Central"/>
    <x v="3"/>
    <x v="3"/>
    <x v="1"/>
    <s v="Mesa Cirúrgica Eletromecânica"/>
    <n v="6"/>
    <n v="34799.910000000003"/>
    <n v="208799.46"/>
  </r>
  <r>
    <s v="2026-08-05"/>
    <s v="Clínica Ortopédica Central"/>
    <x v="0"/>
    <x v="1"/>
    <x v="0"/>
    <s v="Cama Hospitalar Elétrica"/>
    <n v="8"/>
    <n v="10567.27"/>
    <n v="84538.16"/>
  </r>
  <r>
    <s v="2026-08-06"/>
    <s v="Clínica Ortopédica Central"/>
    <x v="0"/>
    <x v="0"/>
    <x v="0"/>
    <s v="Poltrona de Coleta"/>
    <n v="4"/>
    <n v="10369.92"/>
    <n v="41479.68"/>
  </r>
  <r>
    <s v="2026-08-06"/>
    <s v="Hospital Metropolitano"/>
    <x v="4"/>
    <x v="3"/>
    <x v="1"/>
    <s v="Mesa Cirúrgica Eletromecânica"/>
    <n v="2"/>
    <n v="32599.49"/>
    <n v="65198.98"/>
  </r>
  <r>
    <s v="2026-08-06"/>
    <s v="Centro Médico Avançado"/>
    <x v="3"/>
    <x v="0"/>
    <x v="1"/>
    <s v="Foco Cirúrgico LED"/>
    <n v="2"/>
    <n v="27448.73"/>
    <n v="54897.46"/>
  </r>
  <r>
    <s v="2026-08-06"/>
    <s v="Hospital Metropolitano"/>
    <x v="2"/>
    <x v="2"/>
    <x v="0"/>
    <s v="Carro de Emergência (Crash Cart)"/>
    <n v="9"/>
    <n v="10002.799999999999"/>
    <n v="90025.2"/>
  </r>
  <r>
    <s v="2026-08-06"/>
    <s v="Hospital São Lucas"/>
    <x v="3"/>
    <x v="2"/>
    <x v="1"/>
    <s v="Bisturi Eletrônico"/>
    <n v="1"/>
    <n v="28378.48"/>
    <n v="28378.48"/>
  </r>
  <r>
    <s v="2026-08-06"/>
    <s v="Hospital Metropolitano"/>
    <x v="1"/>
    <x v="2"/>
    <x v="3"/>
    <s v="Bomba de Infusão"/>
    <n v="7"/>
    <n v="31382.7"/>
    <n v="219678.9"/>
  </r>
  <r>
    <s v="2026-08-07"/>
    <s v="Hospital Santa Maria"/>
    <x v="2"/>
    <x v="0"/>
    <x v="2"/>
    <s v="Ultrassom Portátil"/>
    <n v="3"/>
    <n v="51657.58"/>
    <n v="154972.74"/>
  </r>
  <r>
    <s v="2026-08-07"/>
    <s v="Hospital Santa Maria"/>
    <x v="0"/>
    <x v="3"/>
    <x v="0"/>
    <s v="Poltrona de Coleta"/>
    <n v="3"/>
    <n v="7495.82"/>
    <n v="22487.46"/>
  </r>
  <r>
    <s v="2026-08-07"/>
    <s v="Hospital Metropolitano"/>
    <x v="2"/>
    <x v="2"/>
    <x v="1"/>
    <s v="Mesa Cirúrgica Eletromecânica"/>
    <n v="2"/>
    <n v="24343.9"/>
    <n v="48687.8"/>
  </r>
  <r>
    <s v="2026-08-07"/>
    <s v="Centro Médico Avançado"/>
    <x v="0"/>
    <x v="3"/>
    <x v="3"/>
    <s v="Bomba de Infusão"/>
    <n v="6"/>
    <n v="32933.81"/>
    <n v="197602.86"/>
  </r>
  <r>
    <s v="2026-08-07"/>
    <s v="Hospital Regional"/>
    <x v="0"/>
    <x v="0"/>
    <x v="0"/>
    <s v="Cama Hospitalar Elétrica"/>
    <n v="2"/>
    <n v="8740.17"/>
    <n v="17480.34"/>
  </r>
  <r>
    <s v="2026-08-07"/>
    <s v="Rede Saúde Total"/>
    <x v="2"/>
    <x v="3"/>
    <x v="1"/>
    <s v="Foco Cirúrgico LED"/>
    <n v="4"/>
    <n v="33831.21"/>
    <n v="135324.84"/>
  </r>
  <r>
    <s v="2026-08-08"/>
    <s v="Centro Médico Avançado"/>
    <x v="0"/>
    <x v="0"/>
    <x v="0"/>
    <s v="Maca de Transporte"/>
    <n v="9"/>
    <n v="7653.92"/>
    <n v="68885.279999999999"/>
  </r>
  <r>
    <s v="2026-08-08"/>
    <s v="Hospital Metropolitano"/>
    <x v="0"/>
    <x v="0"/>
    <x v="1"/>
    <s v="Bisturi Eletrônico"/>
    <n v="9"/>
    <n v="25180.78"/>
    <n v="226627.02"/>
  </r>
  <r>
    <s v="2026-08-08"/>
    <s v="Clínica Ortopédica Central"/>
    <x v="1"/>
    <x v="1"/>
    <x v="0"/>
    <s v="Cama Hospitalar Elétrica"/>
    <n v="6"/>
    <n v="7726.34"/>
    <n v="46358.04"/>
  </r>
  <r>
    <s v="2026-08-08"/>
    <s v="Clínica Vida"/>
    <x v="3"/>
    <x v="0"/>
    <x v="3"/>
    <s v="Monitor Multiparamétrico"/>
    <n v="4"/>
    <n v="27580.62"/>
    <n v="110322.48"/>
  </r>
  <r>
    <s v="2026-08-08"/>
    <s v="Rede Saúde Total"/>
    <x v="3"/>
    <x v="0"/>
    <x v="3"/>
    <s v="Desfibrilador Externo"/>
    <n v="7"/>
    <n v="28118.17"/>
    <n v="196827.19"/>
  </r>
  <r>
    <s v="2026-08-08"/>
    <s v="Rede Saúde Total"/>
    <x v="1"/>
    <x v="4"/>
    <x v="2"/>
    <s v="Monitor de Pressão Arterial 24h"/>
    <n v="1"/>
    <n v="50127.66"/>
    <n v="50127.66"/>
  </r>
  <r>
    <s v="2026-08-08"/>
    <s v="Hospital Santa Maria"/>
    <x v="2"/>
    <x v="2"/>
    <x v="0"/>
    <s v="Poltrona de Coleta"/>
    <n v="4"/>
    <n v="8692.39"/>
    <n v="34769.56"/>
  </r>
  <r>
    <s v="2026-08-09"/>
    <s v="Rede Saúde Total"/>
    <x v="4"/>
    <x v="1"/>
    <x v="2"/>
    <s v="Eletrocardiógrafo"/>
    <n v="5"/>
    <n v="51994.86"/>
    <n v="259974.3"/>
  </r>
  <r>
    <s v="2026-08-09"/>
    <s v="Hospital Metropolitano"/>
    <x v="4"/>
    <x v="1"/>
    <x v="0"/>
    <s v="Maca de Transporte"/>
    <n v="8"/>
    <n v="10599.83"/>
    <n v="84798.64"/>
  </r>
  <r>
    <s v="2026-08-09"/>
    <s v="Clínica Ortopédica Central"/>
    <x v="4"/>
    <x v="1"/>
    <x v="1"/>
    <s v="Mesa Cirúrgica Eletromecânica"/>
    <n v="2"/>
    <n v="31181.19"/>
    <n v="62362.38"/>
  </r>
  <r>
    <s v="2026-08-09"/>
    <s v="Clínica Ortopédica Central"/>
    <x v="1"/>
    <x v="4"/>
    <x v="1"/>
    <s v="Foco Cirúrgico LED"/>
    <n v="5"/>
    <n v="24365.1"/>
    <n v="121825.5"/>
  </r>
  <r>
    <s v="2026-08-09"/>
    <s v="Hospital São Lucas"/>
    <x v="1"/>
    <x v="0"/>
    <x v="2"/>
    <s v="Ultrassom Portátil"/>
    <n v="6"/>
    <n v="40132.129999999997"/>
    <n v="240792.78"/>
  </r>
  <r>
    <s v="2026-08-09"/>
    <s v="Clínica Ortopédica Central"/>
    <x v="0"/>
    <x v="2"/>
    <x v="0"/>
    <s v="Cama Hospitalar Elétrica"/>
    <n v="5"/>
    <n v="10220.41"/>
    <n v="51102.05"/>
  </r>
  <r>
    <s v="2026-08-10"/>
    <s v="Centro Médico Avançado"/>
    <x v="4"/>
    <x v="3"/>
    <x v="2"/>
    <s v="Aparelho de Raio-X Móvel"/>
    <n v="9"/>
    <n v="47744.93"/>
    <n v="429704.37"/>
  </r>
  <r>
    <s v="2026-08-10"/>
    <s v="Clínica Ortopédica Central"/>
    <x v="2"/>
    <x v="0"/>
    <x v="3"/>
    <s v="Ventilador Pulmonar"/>
    <n v="1"/>
    <n v="37757.919999999998"/>
    <n v="37757.919999999998"/>
  </r>
  <r>
    <s v="2026-08-10"/>
    <s v="Hospital Santa Maria"/>
    <x v="2"/>
    <x v="4"/>
    <x v="2"/>
    <s v="Aparelho de Raio-X Móvel"/>
    <n v="3"/>
    <n v="53669.02"/>
    <n v="161007.06"/>
  </r>
  <r>
    <s v="2026-08-10"/>
    <s v="Clínica Ortopédica Central"/>
    <x v="4"/>
    <x v="0"/>
    <x v="2"/>
    <s v="Aparelho de Raio-X Móvel"/>
    <n v="2"/>
    <n v="54948.14"/>
    <n v="109896.28"/>
  </r>
  <r>
    <s v="2026-08-10"/>
    <s v="Hospital São Lucas"/>
    <x v="4"/>
    <x v="0"/>
    <x v="1"/>
    <s v="Aspirador Cirúrgico de Secreção"/>
    <n v="3"/>
    <n v="34438.089999999997"/>
    <n v="103314.27"/>
  </r>
  <r>
    <s v="2026-08-10"/>
    <s v="Clínica Vida"/>
    <x v="4"/>
    <x v="4"/>
    <x v="2"/>
    <s v="Ultrassom Portátil"/>
    <n v="9"/>
    <n v="48236.86"/>
    <n v="434131.74"/>
  </r>
  <r>
    <s v="2026-08-11"/>
    <s v="Hospital Metropolitano"/>
    <x v="1"/>
    <x v="1"/>
    <x v="0"/>
    <s v="Poltrona de Coleta"/>
    <n v="9"/>
    <n v="8384.4699999999993"/>
    <n v="75460.23"/>
  </r>
  <r>
    <s v="2026-08-11"/>
    <s v="Hospital Santa Maria"/>
    <x v="1"/>
    <x v="1"/>
    <x v="1"/>
    <s v="Bisturi Eletrônico"/>
    <n v="2"/>
    <n v="34572.89"/>
    <n v="69145.78"/>
  </r>
  <r>
    <s v="2026-08-11"/>
    <s v="Centro Médico Avançado"/>
    <x v="1"/>
    <x v="2"/>
    <x v="2"/>
    <s v="Eletrocardiógrafo"/>
    <n v="3"/>
    <n v="48103.32"/>
    <n v="144309.96"/>
  </r>
  <r>
    <s v="2026-08-11"/>
    <s v="Clínica Vida"/>
    <x v="3"/>
    <x v="2"/>
    <x v="3"/>
    <s v="Bomba de Infusão"/>
    <n v="4"/>
    <n v="28022.43"/>
    <n v="112089.72"/>
  </r>
  <r>
    <s v="2026-08-11"/>
    <s v="Hospital Santa Maria"/>
    <x v="2"/>
    <x v="1"/>
    <x v="2"/>
    <s v="Aparelho de Raio-X Móvel"/>
    <n v="9"/>
    <n v="49819.98"/>
    <n v="448379.82"/>
  </r>
  <r>
    <s v="2026-08-11"/>
    <s v="Hospital Regional"/>
    <x v="2"/>
    <x v="3"/>
    <x v="2"/>
    <s v="Aparelho de Raio-X Móvel"/>
    <n v="3"/>
    <n v="48828.33"/>
    <n v="146484.99"/>
  </r>
  <r>
    <s v="2026-08-12"/>
    <s v="Rede Saúde Total"/>
    <x v="0"/>
    <x v="0"/>
    <x v="2"/>
    <s v="Aparelho de Raio-X Móvel"/>
    <n v="7"/>
    <n v="54374.27"/>
    <n v="380619.89"/>
  </r>
  <r>
    <s v="2026-08-12"/>
    <s v="Hospital Regional"/>
    <x v="1"/>
    <x v="3"/>
    <x v="1"/>
    <s v="Foco Cirúrgico LED"/>
    <n v="3"/>
    <n v="31115.7"/>
    <n v="93347.1"/>
  </r>
  <r>
    <s v="2026-08-12"/>
    <s v="Clínica Ortopédica Central"/>
    <x v="3"/>
    <x v="0"/>
    <x v="0"/>
    <s v="Poltrona de Coleta"/>
    <n v="7"/>
    <n v="8411.7800000000007"/>
    <n v="58882.46"/>
  </r>
  <r>
    <s v="2026-08-12"/>
    <s v="Clínica Vida"/>
    <x v="3"/>
    <x v="1"/>
    <x v="3"/>
    <s v="Monitor Multiparamétrico"/>
    <n v="7"/>
    <n v="39567.69"/>
    <n v="276973.83"/>
  </r>
  <r>
    <s v="2026-08-12"/>
    <s v="Clínica Ortopédica Central"/>
    <x v="2"/>
    <x v="2"/>
    <x v="2"/>
    <s v="Monitor de Pressão Arterial 24h"/>
    <n v="9"/>
    <n v="52679.15"/>
    <n v="474112.35"/>
  </r>
  <r>
    <s v="2026-08-12"/>
    <s v="Rede Saúde Total"/>
    <x v="1"/>
    <x v="2"/>
    <x v="0"/>
    <s v="Poltrona de Coleta"/>
    <n v="2"/>
    <n v="9368.42"/>
    <n v="18736.84"/>
  </r>
  <r>
    <s v="2026-08-13"/>
    <s v="Hospital Santa Maria"/>
    <x v="0"/>
    <x v="3"/>
    <x v="0"/>
    <s v="Poltrona de Coleta"/>
    <n v="6"/>
    <n v="8220.9500000000007"/>
    <n v="49325.7"/>
  </r>
  <r>
    <s v="2026-08-13"/>
    <s v="Rede Saúde Total"/>
    <x v="1"/>
    <x v="2"/>
    <x v="1"/>
    <s v="Foco Cirúrgico LED"/>
    <n v="9"/>
    <n v="27983.65"/>
    <n v="251852.85"/>
  </r>
  <r>
    <s v="2026-08-13"/>
    <s v="Hospital São Lucas"/>
    <x v="4"/>
    <x v="1"/>
    <x v="3"/>
    <s v="Ventilador Pulmonar"/>
    <n v="2"/>
    <n v="35775.620000000003"/>
    <n v="71551.240000000005"/>
  </r>
  <r>
    <s v="2026-08-13"/>
    <s v="Rede Saúde Total"/>
    <x v="1"/>
    <x v="3"/>
    <x v="1"/>
    <s v="Bisturi Eletrônico"/>
    <n v="2"/>
    <n v="24606.19"/>
    <n v="49212.38"/>
  </r>
  <r>
    <s v="2026-08-13"/>
    <s v="Hospital São Lucas"/>
    <x v="4"/>
    <x v="0"/>
    <x v="0"/>
    <s v="Carro de Emergência (Crash Cart)"/>
    <n v="5"/>
    <n v="8097.71"/>
    <n v="40488.550000000003"/>
  </r>
  <r>
    <s v="2026-08-13"/>
    <s v="Rede Saúde Total"/>
    <x v="4"/>
    <x v="2"/>
    <x v="0"/>
    <s v="Poltrona de Coleta"/>
    <n v="8"/>
    <n v="9652.26"/>
    <n v="77218.080000000002"/>
  </r>
  <r>
    <s v="2026-08-14"/>
    <s v="Hospital Metropolitano"/>
    <x v="0"/>
    <x v="4"/>
    <x v="0"/>
    <s v="Carro de Emergência (Crash Cart)"/>
    <n v="9"/>
    <n v="8857.06"/>
    <n v="79713.539999999994"/>
  </r>
  <r>
    <s v="2026-08-14"/>
    <s v="Hospital São Lucas"/>
    <x v="2"/>
    <x v="2"/>
    <x v="1"/>
    <s v="Aspirador Cirúrgico de Secreção"/>
    <n v="2"/>
    <n v="28306.81"/>
    <n v="56613.62"/>
  </r>
  <r>
    <s v="2026-08-14"/>
    <s v="Clínica Vida"/>
    <x v="1"/>
    <x v="0"/>
    <x v="3"/>
    <s v="Ventilador Pulmonar"/>
    <n v="5"/>
    <n v="29138.66"/>
    <n v="145693.29999999999"/>
  </r>
  <r>
    <s v="2026-08-14"/>
    <s v="Clínica Ortopédica Central"/>
    <x v="4"/>
    <x v="3"/>
    <x v="2"/>
    <s v="Ultrassom Portátil"/>
    <n v="7"/>
    <n v="46203.28"/>
    <n v="323422.96000000002"/>
  </r>
  <r>
    <s v="2026-08-14"/>
    <s v="Centro Médico Avançado"/>
    <x v="1"/>
    <x v="0"/>
    <x v="1"/>
    <s v="Foco Cirúrgico LED"/>
    <n v="6"/>
    <n v="32431.75"/>
    <n v="194590.5"/>
  </r>
  <r>
    <s v="2026-08-14"/>
    <s v="Clínica Ortopédica Central"/>
    <x v="2"/>
    <x v="4"/>
    <x v="0"/>
    <s v="Maca de Transporte"/>
    <n v="6"/>
    <n v="8122.64"/>
    <n v="48735.839999999997"/>
  </r>
  <r>
    <s v="2026-08-14"/>
    <s v="Hospital Regional"/>
    <x v="2"/>
    <x v="1"/>
    <x v="1"/>
    <s v="Aspirador Cirúrgico de Secreção"/>
    <n v="7"/>
    <n v="23860.46"/>
    <n v="167023.22"/>
  </r>
  <r>
    <s v="2026-08-15"/>
    <s v="Clínica Ortopédica Central"/>
    <x v="3"/>
    <x v="2"/>
    <x v="0"/>
    <s v="Cama Hospitalar Elétrica"/>
    <n v="3"/>
    <n v="9497.92"/>
    <n v="28493.759999999998"/>
  </r>
  <r>
    <s v="2026-08-15"/>
    <s v="Hospital Santa Maria"/>
    <x v="2"/>
    <x v="3"/>
    <x v="2"/>
    <s v="Monitor de Pressão Arterial 24h"/>
    <n v="3"/>
    <n v="55757.279999999999"/>
    <n v="167271.84"/>
  </r>
  <r>
    <s v="2026-08-15"/>
    <s v="Hospital Metropolitano"/>
    <x v="0"/>
    <x v="1"/>
    <x v="2"/>
    <s v="Eletrocardiógrafo"/>
    <n v="9"/>
    <n v="49172.88"/>
    <n v="442555.92"/>
  </r>
  <r>
    <s v="2026-08-15"/>
    <s v="Rede Saúde Total"/>
    <x v="4"/>
    <x v="0"/>
    <x v="3"/>
    <s v="Bomba de Infusão"/>
    <n v="8"/>
    <n v="28735"/>
    <n v="229880"/>
  </r>
  <r>
    <s v="2026-08-15"/>
    <s v="Hospital Regional"/>
    <x v="3"/>
    <x v="3"/>
    <x v="0"/>
    <s v="Cama Hospitalar Elétrica"/>
    <n v="5"/>
    <n v="8315.49"/>
    <n v="41577.449999999997"/>
  </r>
  <r>
    <s v="2026-08-15"/>
    <s v="Hospital Santa Maria"/>
    <x v="0"/>
    <x v="1"/>
    <x v="3"/>
    <s v="Desfibrilador Externo"/>
    <n v="6"/>
    <n v="38305.81"/>
    <n v="229834.86"/>
  </r>
  <r>
    <s v="2026-08-16"/>
    <s v="Hospital Santa Maria"/>
    <x v="1"/>
    <x v="3"/>
    <x v="3"/>
    <s v="Ventilador Pulmonar"/>
    <n v="1"/>
    <n v="30176.87"/>
    <n v="30176.87"/>
  </r>
  <r>
    <s v="2026-08-16"/>
    <s v="Hospital São Lucas"/>
    <x v="4"/>
    <x v="4"/>
    <x v="2"/>
    <s v="Eletrocardiógrafo"/>
    <n v="1"/>
    <n v="49188.53"/>
    <n v="49188.53"/>
  </r>
  <r>
    <s v="2026-08-16"/>
    <s v="Clínica Ortopédica Central"/>
    <x v="2"/>
    <x v="4"/>
    <x v="1"/>
    <s v="Foco Cirúrgico LED"/>
    <n v="4"/>
    <n v="28309.919999999998"/>
    <n v="113239.67999999999"/>
  </r>
  <r>
    <s v="2026-08-16"/>
    <s v="Clínica Vida"/>
    <x v="4"/>
    <x v="2"/>
    <x v="1"/>
    <s v="Aspirador Cirúrgico de Secreção"/>
    <n v="2"/>
    <n v="26127.85"/>
    <n v="52255.7"/>
  </r>
  <r>
    <s v="2026-08-16"/>
    <s v="Centro Médico Avançado"/>
    <x v="1"/>
    <x v="2"/>
    <x v="3"/>
    <s v="Bomba de Infusão"/>
    <n v="7"/>
    <n v="37611.61"/>
    <n v="263281.27"/>
  </r>
  <r>
    <s v="2026-08-16"/>
    <s v="Clínica Vida"/>
    <x v="3"/>
    <x v="4"/>
    <x v="2"/>
    <s v="Aparelho de Raio-X Móvel"/>
    <n v="2"/>
    <n v="51620.959999999999"/>
    <n v="103241.92"/>
  </r>
  <r>
    <s v="2026-08-17"/>
    <s v="Hospital Regional"/>
    <x v="3"/>
    <x v="3"/>
    <x v="0"/>
    <s v="Carro de Emergência (Crash Cart)"/>
    <n v="2"/>
    <n v="9474.41"/>
    <n v="18948.82"/>
  </r>
  <r>
    <s v="2026-08-17"/>
    <s v="Hospital Metropolitano"/>
    <x v="3"/>
    <x v="4"/>
    <x v="1"/>
    <s v="Mesa Cirúrgica Eletromecânica"/>
    <n v="5"/>
    <n v="26446.97"/>
    <n v="132234.85"/>
  </r>
  <r>
    <s v="2026-08-17"/>
    <s v="Clínica Vida"/>
    <x v="2"/>
    <x v="2"/>
    <x v="3"/>
    <s v="Ventilador Pulmonar"/>
    <n v="4"/>
    <n v="28452.57"/>
    <n v="113810.28"/>
  </r>
  <r>
    <s v="2026-08-17"/>
    <s v="Rede Saúde Total"/>
    <x v="0"/>
    <x v="4"/>
    <x v="1"/>
    <s v="Foco Cirúrgico LED"/>
    <n v="8"/>
    <n v="30252.98"/>
    <n v="242023.84"/>
  </r>
  <r>
    <s v="2026-08-17"/>
    <s v="Clínica Vida"/>
    <x v="0"/>
    <x v="4"/>
    <x v="1"/>
    <s v="Aspirador Cirúrgico de Secreção"/>
    <n v="4"/>
    <n v="30001.19"/>
    <n v="120004.76"/>
  </r>
  <r>
    <s v="2026-08-17"/>
    <s v="Hospital Regional"/>
    <x v="4"/>
    <x v="3"/>
    <x v="0"/>
    <s v="Maca de Transporte"/>
    <n v="6"/>
    <n v="7865.51"/>
    <n v="47193.06"/>
  </r>
  <r>
    <s v="2026-08-18"/>
    <s v="Centro Médico Avançado"/>
    <x v="2"/>
    <x v="1"/>
    <x v="2"/>
    <s v="Ultrassom Portátil"/>
    <n v="5"/>
    <n v="39262.44"/>
    <n v="196312.2"/>
  </r>
  <r>
    <s v="2026-08-18"/>
    <s v="Clínica Vida"/>
    <x v="3"/>
    <x v="2"/>
    <x v="0"/>
    <s v="Maca de Transporte"/>
    <n v="2"/>
    <n v="7499.41"/>
    <n v="14998.82"/>
  </r>
  <r>
    <s v="2026-08-18"/>
    <s v="Rede Saúde Total"/>
    <x v="3"/>
    <x v="3"/>
    <x v="2"/>
    <s v="Ultrassom Portátil"/>
    <n v="8"/>
    <n v="56119.88"/>
    <n v="448959.04"/>
  </r>
  <r>
    <s v="2026-08-18"/>
    <s v="Hospital São Lucas"/>
    <x v="1"/>
    <x v="4"/>
    <x v="1"/>
    <s v="Bisturi Eletrônico"/>
    <n v="2"/>
    <n v="32576.14"/>
    <n v="65152.28"/>
  </r>
  <r>
    <s v="2026-08-18"/>
    <s v="Hospital Metropolitano"/>
    <x v="1"/>
    <x v="4"/>
    <x v="3"/>
    <s v="Ventilador Pulmonar"/>
    <n v="9"/>
    <n v="39001.440000000002"/>
    <n v="351012.96"/>
  </r>
  <r>
    <s v="2026-08-18"/>
    <s v="Hospital Regional"/>
    <x v="3"/>
    <x v="1"/>
    <x v="0"/>
    <s v="Poltrona de Coleta"/>
    <n v="9"/>
    <n v="7888.19"/>
    <n v="70993.710000000006"/>
  </r>
  <r>
    <s v="2026-08-19"/>
    <s v="Hospital São Lucas"/>
    <x v="3"/>
    <x v="2"/>
    <x v="2"/>
    <s v="Eletrocardiógrafo"/>
    <n v="3"/>
    <n v="55540.23"/>
    <n v="166620.69"/>
  </r>
  <r>
    <s v="2026-08-19"/>
    <s v="Hospital São Lucas"/>
    <x v="2"/>
    <x v="2"/>
    <x v="1"/>
    <s v="Aspirador Cirúrgico de Secreção"/>
    <n v="4"/>
    <n v="25397.73"/>
    <n v="101590.92"/>
  </r>
  <r>
    <s v="2026-08-19"/>
    <s v="Hospital São Lucas"/>
    <x v="0"/>
    <x v="0"/>
    <x v="2"/>
    <s v="Eletrocardiógrafo"/>
    <n v="8"/>
    <n v="47413.47"/>
    <n v="379307.76"/>
  </r>
  <r>
    <s v="2026-08-19"/>
    <s v="Hospital Santa Maria"/>
    <x v="1"/>
    <x v="2"/>
    <x v="2"/>
    <s v="Aparelho de Raio-X Móvel"/>
    <n v="9"/>
    <n v="53184.52"/>
    <n v="478660.68"/>
  </r>
  <r>
    <s v="2026-08-19"/>
    <s v="Hospital Metropolitano"/>
    <x v="0"/>
    <x v="1"/>
    <x v="2"/>
    <s v="Monitor de Pressão Arterial 24h"/>
    <n v="3"/>
    <n v="44546.46"/>
    <n v="133639.38"/>
  </r>
  <r>
    <s v="2026-08-19"/>
    <s v="Centro Médico Avançado"/>
    <x v="2"/>
    <x v="0"/>
    <x v="1"/>
    <s v="Foco Cirúrgico LED"/>
    <n v="5"/>
    <n v="28558.080000000002"/>
    <n v="142790.39999999999"/>
  </r>
  <r>
    <s v="2026-08-20"/>
    <s v="Clínica Ortopédica Central"/>
    <x v="3"/>
    <x v="0"/>
    <x v="3"/>
    <s v="Monitor Multiparamétrico"/>
    <n v="8"/>
    <n v="28840.77"/>
    <n v="230726.16"/>
  </r>
  <r>
    <s v="2026-08-20"/>
    <s v="Hospital Metropolitano"/>
    <x v="0"/>
    <x v="4"/>
    <x v="3"/>
    <s v="Ventilador Pulmonar"/>
    <n v="3"/>
    <n v="28773.4"/>
    <n v="86320.2"/>
  </r>
  <r>
    <s v="2026-08-20"/>
    <s v="Hospital Santa Maria"/>
    <x v="3"/>
    <x v="4"/>
    <x v="3"/>
    <s v="Bomba de Infusão"/>
    <n v="7"/>
    <n v="35130.47"/>
    <n v="245913.29"/>
  </r>
  <r>
    <s v="2026-08-20"/>
    <s v="Clínica Ortopédica Central"/>
    <x v="3"/>
    <x v="2"/>
    <x v="2"/>
    <s v="Eletrocardiógrafo"/>
    <n v="8"/>
    <n v="50409.58"/>
    <n v="403276.64"/>
  </r>
  <r>
    <s v="2026-08-20"/>
    <s v="Hospital Metropolitano"/>
    <x v="4"/>
    <x v="0"/>
    <x v="1"/>
    <s v="Foco Cirúrgico LED"/>
    <n v="3"/>
    <n v="32506.12"/>
    <n v="97518.36"/>
  </r>
  <r>
    <s v="2026-08-20"/>
    <s v="Hospital São Lucas"/>
    <x v="0"/>
    <x v="4"/>
    <x v="2"/>
    <s v="Ultrassom Portátil"/>
    <n v="2"/>
    <n v="48270.28"/>
    <n v="96540.56"/>
  </r>
  <r>
    <s v="2026-08-20"/>
    <s v="Hospital Regional"/>
    <x v="0"/>
    <x v="1"/>
    <x v="3"/>
    <s v="Monitor Multiparamétrico"/>
    <n v="7"/>
    <n v="35465.72"/>
    <n v="248260.04"/>
  </r>
  <r>
    <s v="2026-08-21"/>
    <s v="Clínica Ortopédica Central"/>
    <x v="3"/>
    <x v="4"/>
    <x v="3"/>
    <s v="Ventilador Pulmonar"/>
    <n v="9"/>
    <n v="27373.02"/>
    <n v="246357.18"/>
  </r>
  <r>
    <s v="2026-08-21"/>
    <s v="Rede Saúde Total"/>
    <x v="2"/>
    <x v="4"/>
    <x v="1"/>
    <s v="Aspirador Cirúrgico de Secreção"/>
    <n v="1"/>
    <n v="25616.31"/>
    <n v="25616.31"/>
  </r>
  <r>
    <s v="2026-08-21"/>
    <s v="Rede Saúde Total"/>
    <x v="4"/>
    <x v="0"/>
    <x v="2"/>
    <s v="Monitor de Pressão Arterial 24h"/>
    <n v="3"/>
    <n v="55978.47"/>
    <n v="167935.41"/>
  </r>
  <r>
    <s v="2026-08-21"/>
    <s v="Clínica Vida"/>
    <x v="3"/>
    <x v="0"/>
    <x v="0"/>
    <s v="Cama Hospitalar Elétrica"/>
    <n v="5"/>
    <n v="7483.38"/>
    <n v="37416.9"/>
  </r>
  <r>
    <s v="2026-08-21"/>
    <s v="Clínica Ortopédica Central"/>
    <x v="1"/>
    <x v="3"/>
    <x v="0"/>
    <s v="Poltrona de Coleta"/>
    <n v="3"/>
    <n v="9532.8799999999992"/>
    <n v="28598.639999999999"/>
  </r>
  <r>
    <s v="2026-08-21"/>
    <s v="Hospital Regional"/>
    <x v="1"/>
    <x v="1"/>
    <x v="3"/>
    <s v="Ventilador Pulmonar"/>
    <n v="1"/>
    <n v="29453.86"/>
    <n v="29453.86"/>
  </r>
  <r>
    <s v="2026-08-22"/>
    <s v="Centro Médico Avançado"/>
    <x v="4"/>
    <x v="0"/>
    <x v="1"/>
    <s v="Mesa Cirúrgica Eletromecânica"/>
    <n v="7"/>
    <n v="31827.25"/>
    <n v="222790.75"/>
  </r>
  <r>
    <s v="2026-08-22"/>
    <s v="Hospital Santa Maria"/>
    <x v="2"/>
    <x v="2"/>
    <x v="2"/>
    <s v="Monitor de Pressão Arterial 24h"/>
    <n v="7"/>
    <n v="50957.83"/>
    <n v="356704.81"/>
  </r>
  <r>
    <s v="2026-08-22"/>
    <s v="Hospital São Lucas"/>
    <x v="3"/>
    <x v="1"/>
    <x v="2"/>
    <s v="Monitor de Pressão Arterial 24h"/>
    <n v="8"/>
    <n v="42465.58"/>
    <n v="339724.64"/>
  </r>
  <r>
    <s v="2026-08-22"/>
    <s v="Clínica Vida"/>
    <x v="0"/>
    <x v="1"/>
    <x v="3"/>
    <s v="Ventilador Pulmonar"/>
    <n v="5"/>
    <n v="30651.32"/>
    <n v="153256.6"/>
  </r>
  <r>
    <s v="2026-08-22"/>
    <s v="Rede Saúde Total"/>
    <x v="4"/>
    <x v="0"/>
    <x v="3"/>
    <s v="Desfibrilador Externo"/>
    <n v="5"/>
    <n v="35581.07"/>
    <n v="177905.35"/>
  </r>
  <r>
    <s v="2026-08-22"/>
    <s v="Hospital Santa Maria"/>
    <x v="2"/>
    <x v="1"/>
    <x v="2"/>
    <s v="Eletrocardiógrafo"/>
    <n v="5"/>
    <n v="45271.55"/>
    <n v="226357.75"/>
  </r>
  <r>
    <s v="2026-08-23"/>
    <s v="Hospital Santa Maria"/>
    <x v="0"/>
    <x v="0"/>
    <x v="2"/>
    <s v="Aparelho de Raio-X Móvel"/>
    <n v="1"/>
    <n v="41751.86"/>
    <n v="41751.86"/>
  </r>
  <r>
    <s v="2026-08-23"/>
    <s v="Hospital São Lucas"/>
    <x v="1"/>
    <x v="4"/>
    <x v="3"/>
    <s v="Monitor Multiparamétrico"/>
    <n v="5"/>
    <n v="36565.5"/>
    <n v="182827.5"/>
  </r>
  <r>
    <s v="2026-08-23"/>
    <s v="Centro Médico Avançado"/>
    <x v="1"/>
    <x v="3"/>
    <x v="2"/>
    <s v="Monitor de Pressão Arterial 24h"/>
    <n v="6"/>
    <n v="41024.660000000003"/>
    <n v="246147.96"/>
  </r>
  <r>
    <s v="2026-08-23"/>
    <s v="Centro Médico Avançado"/>
    <x v="0"/>
    <x v="4"/>
    <x v="0"/>
    <s v="Poltrona de Coleta"/>
    <n v="1"/>
    <n v="10134.19"/>
    <n v="10134.19"/>
  </r>
  <r>
    <s v="2026-08-23"/>
    <s v="Clínica Ortopédica Central"/>
    <x v="4"/>
    <x v="0"/>
    <x v="3"/>
    <s v="Bomba de Infusão"/>
    <n v="7"/>
    <n v="33787.769999999997"/>
    <n v="236514.39"/>
  </r>
  <r>
    <s v="2026-08-23"/>
    <s v="Rede Saúde Total"/>
    <x v="1"/>
    <x v="0"/>
    <x v="2"/>
    <s v="Eletrocardiógrafo"/>
    <n v="1"/>
    <n v="40152.61"/>
    <n v="40152.61"/>
  </r>
  <r>
    <s v="2026-08-24"/>
    <s v="Centro Médico Avançado"/>
    <x v="3"/>
    <x v="4"/>
    <x v="3"/>
    <s v="Desfibrilador Externo"/>
    <n v="2"/>
    <n v="36084.129999999997"/>
    <n v="72168.259999999995"/>
  </r>
  <r>
    <s v="2026-08-24"/>
    <s v="Hospital Regional"/>
    <x v="0"/>
    <x v="2"/>
    <x v="1"/>
    <s v="Aspirador Cirúrgico de Secreção"/>
    <n v="2"/>
    <n v="29614.63"/>
    <n v="59229.26"/>
  </r>
  <r>
    <s v="2026-08-24"/>
    <s v="Centro Médico Avançado"/>
    <x v="0"/>
    <x v="2"/>
    <x v="3"/>
    <s v="Bomba de Infusão"/>
    <n v="5"/>
    <n v="31015.14"/>
    <n v="155075.70000000001"/>
  </r>
  <r>
    <s v="2026-08-24"/>
    <s v="Hospital Santa Maria"/>
    <x v="1"/>
    <x v="2"/>
    <x v="3"/>
    <s v="Ventilador Pulmonar"/>
    <n v="7"/>
    <n v="32608.5"/>
    <n v="228259.5"/>
  </r>
  <r>
    <s v="2026-08-24"/>
    <s v="Hospital São Lucas"/>
    <x v="4"/>
    <x v="0"/>
    <x v="1"/>
    <s v="Bisturi Eletrônico"/>
    <n v="1"/>
    <n v="27141.38"/>
    <n v="27141.38"/>
  </r>
  <r>
    <s v="2026-08-24"/>
    <s v="Hospital Regional"/>
    <x v="3"/>
    <x v="1"/>
    <x v="0"/>
    <s v="Cama Hospitalar Elétrica"/>
    <n v="1"/>
    <n v="8119.29"/>
    <n v="8119.29"/>
  </r>
  <r>
    <s v="2026-08-25"/>
    <s v="Clínica Ortopédica Central"/>
    <x v="4"/>
    <x v="0"/>
    <x v="2"/>
    <s v="Aparelho de Raio-X Móvel"/>
    <n v="1"/>
    <n v="41194.949999999997"/>
    <n v="41194.949999999997"/>
  </r>
  <r>
    <s v="2026-08-25"/>
    <s v="Rede Saúde Total"/>
    <x v="2"/>
    <x v="1"/>
    <x v="1"/>
    <s v="Mesa Cirúrgica Eletromecânica"/>
    <n v="6"/>
    <n v="27862.99"/>
    <n v="167177.94"/>
  </r>
  <r>
    <s v="2026-08-25"/>
    <s v="Clínica Ortopédica Central"/>
    <x v="2"/>
    <x v="4"/>
    <x v="3"/>
    <s v="Bomba de Infusão"/>
    <n v="2"/>
    <n v="30412.639999999999"/>
    <n v="60825.279999999999"/>
  </r>
  <r>
    <s v="2026-08-25"/>
    <s v="Hospital Santa Maria"/>
    <x v="1"/>
    <x v="3"/>
    <x v="2"/>
    <s v="Ultrassom Portátil"/>
    <n v="1"/>
    <n v="50551.82"/>
    <n v="50551.82"/>
  </r>
  <r>
    <s v="2026-08-25"/>
    <s v="Hospital Regional"/>
    <x v="1"/>
    <x v="1"/>
    <x v="1"/>
    <s v="Bisturi Eletrônico"/>
    <n v="6"/>
    <n v="31459.42"/>
    <n v="188756.52"/>
  </r>
  <r>
    <s v="2026-08-25"/>
    <s v="Hospital Regional"/>
    <x v="1"/>
    <x v="2"/>
    <x v="2"/>
    <s v="Eletrocardiógrafo"/>
    <n v="2"/>
    <n v="47283.12"/>
    <n v="94566.24"/>
  </r>
  <r>
    <s v="2026-08-26"/>
    <s v="Hospital Regional"/>
    <x v="2"/>
    <x v="0"/>
    <x v="2"/>
    <s v="Ultrassom Portátil"/>
    <n v="6"/>
    <n v="52253"/>
    <n v="313518"/>
  </r>
  <r>
    <s v="2026-08-26"/>
    <s v="Hospital Santa Maria"/>
    <x v="4"/>
    <x v="4"/>
    <x v="1"/>
    <s v="Bisturi Eletrônico"/>
    <n v="8"/>
    <n v="33223"/>
    <n v="265784"/>
  </r>
  <r>
    <s v="2026-08-26"/>
    <s v="Hospital Santa Maria"/>
    <x v="4"/>
    <x v="2"/>
    <x v="2"/>
    <s v="Aparelho de Raio-X Móvel"/>
    <n v="2"/>
    <n v="48685.8"/>
    <n v="97371.6"/>
  </r>
  <r>
    <s v="2026-08-26"/>
    <s v="Clínica Ortopédica Central"/>
    <x v="1"/>
    <x v="4"/>
    <x v="0"/>
    <s v="Poltrona de Coleta"/>
    <n v="9"/>
    <n v="9329.3799999999992"/>
    <n v="83964.42"/>
  </r>
  <r>
    <s v="2026-08-26"/>
    <s v="Clínica Vida"/>
    <x v="3"/>
    <x v="3"/>
    <x v="1"/>
    <s v="Aspirador Cirúrgico de Secreção"/>
    <n v="8"/>
    <n v="26968.32"/>
    <n v="215746.56"/>
  </r>
  <r>
    <s v="2026-08-26"/>
    <s v="Clínica Ortopédica Central"/>
    <x v="4"/>
    <x v="0"/>
    <x v="0"/>
    <s v="Carro de Emergência (Crash Cart)"/>
    <n v="1"/>
    <n v="10267.56"/>
    <n v="10267.56"/>
  </r>
  <r>
    <s v="2026-08-26"/>
    <s v="Rede Saúde Total"/>
    <x v="2"/>
    <x v="0"/>
    <x v="3"/>
    <s v="Ventilador Pulmonar"/>
    <n v="7"/>
    <n v="27509.84"/>
    <n v="192568.88"/>
  </r>
  <r>
    <s v="2026-08-27"/>
    <s v="Hospital São Lucas"/>
    <x v="0"/>
    <x v="3"/>
    <x v="2"/>
    <s v="Ultrassom Portátil"/>
    <n v="6"/>
    <n v="44524.84"/>
    <n v="267149.03999999998"/>
  </r>
  <r>
    <s v="2026-08-27"/>
    <s v="Hospital Regional"/>
    <x v="0"/>
    <x v="0"/>
    <x v="3"/>
    <s v="Monitor Multiparamétrico"/>
    <n v="6"/>
    <n v="36439.050000000003"/>
    <n v="218634.3"/>
  </r>
  <r>
    <s v="2026-08-27"/>
    <s v="Clínica Vida"/>
    <x v="0"/>
    <x v="1"/>
    <x v="3"/>
    <s v="Ventilador Pulmonar"/>
    <n v="6"/>
    <n v="28225.15"/>
    <n v="169350.9"/>
  </r>
  <r>
    <s v="2026-08-27"/>
    <s v="Hospital São Lucas"/>
    <x v="3"/>
    <x v="4"/>
    <x v="2"/>
    <s v="Ultrassom Portátil"/>
    <n v="6"/>
    <n v="41547.050000000003"/>
    <n v="249282.3"/>
  </r>
  <r>
    <s v="2026-08-27"/>
    <s v="Clínica Vida"/>
    <x v="1"/>
    <x v="2"/>
    <x v="1"/>
    <s v="Mesa Cirúrgica Eletromecânica"/>
    <n v="7"/>
    <n v="30400"/>
    <n v="212800"/>
  </r>
  <r>
    <s v="2026-08-27"/>
    <s v="Centro Médico Avançado"/>
    <x v="2"/>
    <x v="3"/>
    <x v="2"/>
    <s v="Eletrocardiógrafo"/>
    <n v="3"/>
    <n v="48329.89"/>
    <n v="144989.67000000001"/>
  </r>
  <r>
    <s v="2026-08-28"/>
    <s v="Centro Médico Avançado"/>
    <x v="3"/>
    <x v="1"/>
    <x v="3"/>
    <s v="Desfibrilador Externo"/>
    <n v="6"/>
    <n v="36658.28"/>
    <n v="219949.68"/>
  </r>
  <r>
    <s v="2026-08-28"/>
    <s v="Hospital Metropolitano"/>
    <x v="2"/>
    <x v="2"/>
    <x v="3"/>
    <s v="Monitor Multiparamétrico"/>
    <n v="3"/>
    <n v="37601.440000000002"/>
    <n v="112804.32"/>
  </r>
  <r>
    <s v="2026-08-28"/>
    <s v="Centro Médico Avançado"/>
    <x v="2"/>
    <x v="2"/>
    <x v="1"/>
    <s v="Bisturi Eletrônico"/>
    <n v="7"/>
    <n v="25240.09"/>
    <n v="176680.63"/>
  </r>
  <r>
    <s v="2026-08-28"/>
    <s v="Clínica Ortopédica Central"/>
    <x v="1"/>
    <x v="3"/>
    <x v="2"/>
    <s v="Aparelho de Raio-X Móvel"/>
    <n v="7"/>
    <n v="38580.86"/>
    <n v="270066.02"/>
  </r>
  <r>
    <s v="2026-08-28"/>
    <s v="Centro Médico Avançado"/>
    <x v="0"/>
    <x v="1"/>
    <x v="3"/>
    <s v="Bomba de Infusão"/>
    <n v="8"/>
    <n v="36027.370000000003"/>
    <n v="288218.96000000002"/>
  </r>
  <r>
    <s v="2026-08-28"/>
    <s v="Hospital Santa Maria"/>
    <x v="1"/>
    <x v="2"/>
    <x v="0"/>
    <s v="Maca de Transporte"/>
    <n v="2"/>
    <n v="8249.73"/>
    <n v="16499.46"/>
  </r>
  <r>
    <s v="2026-08-29"/>
    <s v="Hospital Regional"/>
    <x v="3"/>
    <x v="2"/>
    <x v="3"/>
    <s v="Bomba de Infusão"/>
    <n v="9"/>
    <n v="35212.589999999997"/>
    <n v="316913.31"/>
  </r>
  <r>
    <s v="2026-08-29"/>
    <s v="Clínica Ortopédica Central"/>
    <x v="3"/>
    <x v="1"/>
    <x v="3"/>
    <s v="Monitor Multiparamétrico"/>
    <n v="5"/>
    <n v="29126.97"/>
    <n v="145634.85"/>
  </r>
  <r>
    <s v="2026-08-29"/>
    <s v="Hospital São Lucas"/>
    <x v="3"/>
    <x v="0"/>
    <x v="1"/>
    <s v="Bisturi Eletrônico"/>
    <n v="9"/>
    <n v="29053.25"/>
    <n v="261479.25"/>
  </r>
  <r>
    <s v="2026-08-29"/>
    <s v="Hospital Metropolitano"/>
    <x v="1"/>
    <x v="2"/>
    <x v="0"/>
    <s v="Maca de Transporte"/>
    <n v="5"/>
    <n v="8940.0400000000009"/>
    <n v="44700.2"/>
  </r>
  <r>
    <s v="2026-08-29"/>
    <s v="Hospital Metropolitano"/>
    <x v="2"/>
    <x v="4"/>
    <x v="3"/>
    <s v="Desfibrilador Externo"/>
    <n v="7"/>
    <n v="34689"/>
    <n v="242823"/>
  </r>
  <r>
    <s v="2026-08-29"/>
    <s v="Hospital Metropolitano"/>
    <x v="2"/>
    <x v="1"/>
    <x v="3"/>
    <s v="Desfibrilador Externo"/>
    <n v="9"/>
    <n v="33768.58"/>
    <n v="303917.21999999997"/>
  </r>
  <r>
    <s v="2026-08-30"/>
    <s v="Hospital São Lucas"/>
    <x v="4"/>
    <x v="2"/>
    <x v="0"/>
    <s v="Cama Hospitalar Elétrica"/>
    <n v="4"/>
    <n v="8910.35"/>
    <n v="35641.4"/>
  </r>
  <r>
    <s v="2026-08-30"/>
    <s v="Hospital São Lucas"/>
    <x v="3"/>
    <x v="3"/>
    <x v="2"/>
    <s v="Eletrocardiógrafo"/>
    <n v="2"/>
    <n v="44239.21"/>
    <n v="88478.42"/>
  </r>
  <r>
    <s v="2026-08-30"/>
    <s v="Hospital São Lucas"/>
    <x v="2"/>
    <x v="4"/>
    <x v="2"/>
    <s v="Aparelho de Raio-X Móvel"/>
    <n v="9"/>
    <n v="39531.24"/>
    <n v="355781.16"/>
  </r>
  <r>
    <s v="2026-08-30"/>
    <s v="Hospital São Lucas"/>
    <x v="4"/>
    <x v="2"/>
    <x v="3"/>
    <s v="Bomba de Infusão"/>
    <n v="2"/>
    <n v="28345.86"/>
    <n v="56691.72"/>
  </r>
  <r>
    <s v="2026-08-30"/>
    <s v="Hospital Metropolitano"/>
    <x v="2"/>
    <x v="4"/>
    <x v="3"/>
    <s v="Desfibrilador Externo"/>
    <n v="3"/>
    <n v="32752.36"/>
    <n v="98257.08"/>
  </r>
  <r>
    <s v="2026-08-30"/>
    <s v="Hospital Metropolitano"/>
    <x v="3"/>
    <x v="4"/>
    <x v="2"/>
    <s v="Eletrocardiógrafo"/>
    <n v="2"/>
    <n v="44654.28"/>
    <n v="89308.56"/>
  </r>
  <r>
    <s v="2026-08-31"/>
    <s v="Clínica Vida"/>
    <x v="0"/>
    <x v="0"/>
    <x v="1"/>
    <s v="Mesa Cirúrgica Eletromecânica"/>
    <n v="3"/>
    <n v="29580.71"/>
    <n v="88742.13"/>
  </r>
  <r>
    <s v="2026-08-31"/>
    <s v="Clínica Ortopédica Central"/>
    <x v="3"/>
    <x v="4"/>
    <x v="0"/>
    <s v="Carro de Emergência (Crash Cart)"/>
    <n v="6"/>
    <n v="8261.4500000000007"/>
    <n v="49568.7"/>
  </r>
  <r>
    <s v="2026-08-31"/>
    <s v="Hospital Regional"/>
    <x v="1"/>
    <x v="0"/>
    <x v="0"/>
    <s v="Maca de Transporte"/>
    <n v="3"/>
    <n v="9563.89"/>
    <n v="28691.67"/>
  </r>
  <r>
    <s v="2026-08-31"/>
    <s v="Centro Médico Avançado"/>
    <x v="2"/>
    <x v="1"/>
    <x v="1"/>
    <s v="Aspirador Cirúrgico de Secreção"/>
    <n v="8"/>
    <n v="33476.29"/>
    <n v="267810.32"/>
  </r>
  <r>
    <s v="2026-08-31"/>
    <s v="Centro Médico Avançado"/>
    <x v="2"/>
    <x v="0"/>
    <x v="1"/>
    <s v="Aspirador Cirúrgico de Secreção"/>
    <n v="6"/>
    <n v="27147.27"/>
    <n v="162883.62"/>
  </r>
  <r>
    <s v="2026-08-31"/>
    <s v="Hospital Santa Maria"/>
    <x v="1"/>
    <x v="3"/>
    <x v="1"/>
    <s v="Aspirador Cirúrgico de Secreção"/>
    <n v="7"/>
    <n v="25961.42"/>
    <n v="181729.94"/>
  </r>
  <r>
    <s v="2026-09-01"/>
    <s v="Hospital Metropolitano"/>
    <x v="1"/>
    <x v="2"/>
    <x v="1"/>
    <s v="Foco Cirúrgico LED"/>
    <n v="1"/>
    <n v="25101.22"/>
    <n v="25101.22"/>
  </r>
  <r>
    <s v="2026-01-01"/>
    <s v="Hospital Metropolitano"/>
    <x v="0"/>
    <x v="0"/>
    <x v="0"/>
    <s v="Carro de Emergência (Crash Cart)"/>
    <n v="4"/>
    <n v="9655.65"/>
    <n v="38622.6"/>
  </r>
  <r>
    <s v="2026-01-01"/>
    <s v="Rede Saúde Total"/>
    <x v="0"/>
    <x v="1"/>
    <x v="1"/>
    <s v="Bisturi Eletrônico"/>
    <n v="9"/>
    <n v="28614.26"/>
    <n v="257528.34"/>
  </r>
  <r>
    <s v="2026-01-01"/>
    <s v="Hospital Regional"/>
    <x v="0"/>
    <x v="1"/>
    <x v="1"/>
    <s v="Aspirador Cirúrgico de Secreção"/>
    <n v="7"/>
    <n v="27232.15"/>
    <n v="190625.05"/>
  </r>
  <r>
    <s v="2026-01-01"/>
    <s v="Hospital Metropolitano"/>
    <x v="1"/>
    <x v="0"/>
    <x v="0"/>
    <s v="Carro de Emergência (Crash Cart)"/>
    <n v="3"/>
    <n v="10496.52"/>
    <n v="31489.56"/>
  </r>
  <r>
    <s v="2026-01-01"/>
    <s v="Hospital Santa Maria"/>
    <x v="2"/>
    <x v="2"/>
    <x v="2"/>
    <s v="Ultrassom Portátil"/>
    <n v="7"/>
    <n v="55610.79"/>
    <n v="389275.53"/>
  </r>
  <r>
    <s v="2026-01-01"/>
    <s v="Centro Médico Avançado"/>
    <x v="3"/>
    <x v="0"/>
    <x v="1"/>
    <s v="Bisturi Eletrônico"/>
    <n v="1"/>
    <n v="27041.69"/>
    <n v="27041.69"/>
  </r>
  <r>
    <s v="2026-01-01"/>
    <s v="Hospital Regional"/>
    <x v="4"/>
    <x v="3"/>
    <x v="2"/>
    <s v="Eletrocardiógrafo"/>
    <n v="3"/>
    <n v="46883.25"/>
    <n v="140649.75"/>
  </r>
  <r>
    <s v="2026-01-02"/>
    <s v="Hospital Regional"/>
    <x v="2"/>
    <x v="1"/>
    <x v="1"/>
    <s v="Aspirador Cirúrgico de Secreção"/>
    <n v="6"/>
    <n v="34695.85"/>
    <n v="208175.1"/>
  </r>
  <r>
    <s v="2026-01-02"/>
    <s v="Hospital Metropolitano"/>
    <x v="0"/>
    <x v="4"/>
    <x v="3"/>
    <s v="Desfibrilador Externo"/>
    <n v="4"/>
    <n v="27262.32"/>
    <n v="109049.28"/>
  </r>
  <r>
    <s v="2026-01-02"/>
    <s v="Clínica Vida"/>
    <x v="2"/>
    <x v="3"/>
    <x v="1"/>
    <s v="Bisturi Eletrônico"/>
    <n v="7"/>
    <n v="28422"/>
    <n v="198954"/>
  </r>
  <r>
    <s v="2026-01-02"/>
    <s v="Hospital Santa Maria"/>
    <x v="3"/>
    <x v="1"/>
    <x v="0"/>
    <s v="Poltrona de Coleta"/>
    <n v="3"/>
    <n v="7566.56"/>
    <n v="22699.68"/>
  </r>
  <r>
    <s v="2026-01-02"/>
    <s v="Hospital Metropolitano"/>
    <x v="4"/>
    <x v="0"/>
    <x v="0"/>
    <s v="Maca de Transporte"/>
    <n v="1"/>
    <n v="8956.14"/>
    <n v="8956.14"/>
  </r>
  <r>
    <s v="2026-01-02"/>
    <s v="Hospital Santa Maria"/>
    <x v="4"/>
    <x v="3"/>
    <x v="2"/>
    <s v="Monitor de Pressão Arterial 24h"/>
    <n v="9"/>
    <n v="38694.06"/>
    <n v="348246.54"/>
  </r>
  <r>
    <s v="2026-01-03"/>
    <s v="Hospital Santa Maria"/>
    <x v="3"/>
    <x v="1"/>
    <x v="1"/>
    <s v="Aspirador Cirúrgico de Secreção"/>
    <n v="6"/>
    <n v="28357.26"/>
    <n v="170143.56"/>
  </r>
  <r>
    <s v="2026-01-03"/>
    <s v="Centro Médico Avançado"/>
    <x v="3"/>
    <x v="2"/>
    <x v="2"/>
    <s v="Monitor de Pressão Arterial 24h"/>
    <n v="8"/>
    <n v="42222.58"/>
    <n v="337780.64"/>
  </r>
  <r>
    <s v="2026-01-03"/>
    <s v="Hospital Regional"/>
    <x v="0"/>
    <x v="2"/>
    <x v="2"/>
    <s v="Monitor de Pressão Arterial 24h"/>
    <n v="3"/>
    <n v="47849.55"/>
    <n v="143548.65"/>
  </r>
  <r>
    <s v="2026-01-03"/>
    <s v="Rede Saúde Total"/>
    <x v="4"/>
    <x v="4"/>
    <x v="3"/>
    <s v="Ventilador Pulmonar"/>
    <n v="8"/>
    <n v="39948.720000000001"/>
    <n v="319589.76000000001"/>
  </r>
  <r>
    <s v="2026-01-03"/>
    <s v="Centro Médico Avançado"/>
    <x v="2"/>
    <x v="1"/>
    <x v="3"/>
    <s v="Ventilador Pulmonar"/>
    <n v="2"/>
    <n v="37446.86"/>
    <n v="74893.72"/>
  </r>
  <r>
    <s v="2026-01-03"/>
    <s v="Centro Médico Avançado"/>
    <x v="1"/>
    <x v="2"/>
    <x v="0"/>
    <s v="Cama Hospitalar Elétrica"/>
    <n v="4"/>
    <n v="10100.18"/>
    <n v="40400.720000000001"/>
  </r>
  <r>
    <s v="2026-01-04"/>
    <s v="Hospital Santa Maria"/>
    <x v="1"/>
    <x v="0"/>
    <x v="2"/>
    <s v="Eletrocardiógrafo"/>
    <n v="3"/>
    <n v="49684.77"/>
    <n v="149054.31"/>
  </r>
  <r>
    <s v="2026-01-04"/>
    <s v="Clínica Ortopédica Central"/>
    <x v="3"/>
    <x v="1"/>
    <x v="0"/>
    <s v="Carro de Emergência (Crash Cart)"/>
    <n v="1"/>
    <n v="7366.3"/>
    <n v="7366.3"/>
  </r>
  <r>
    <s v="2026-01-04"/>
    <s v="Hospital Regional"/>
    <x v="0"/>
    <x v="0"/>
    <x v="1"/>
    <s v="Mesa Cirúrgica Eletromecânica"/>
    <n v="7"/>
    <n v="26116.13"/>
    <n v="182812.91"/>
  </r>
  <r>
    <s v="2026-01-04"/>
    <s v="Clínica Vida"/>
    <x v="1"/>
    <x v="0"/>
    <x v="2"/>
    <s v="Ultrassom Portátil"/>
    <n v="2"/>
    <n v="54901.16"/>
    <n v="109802.32"/>
  </r>
  <r>
    <s v="2026-01-04"/>
    <s v="Centro Médico Avançado"/>
    <x v="4"/>
    <x v="2"/>
    <x v="2"/>
    <s v="Eletrocardiógrafo"/>
    <n v="4"/>
    <n v="44840.04"/>
    <n v="179360.16"/>
  </r>
  <r>
    <s v="2026-01-04"/>
    <s v="Rede Saúde Total"/>
    <x v="3"/>
    <x v="1"/>
    <x v="1"/>
    <s v="Aspirador Cirúrgico de Secreção"/>
    <n v="9"/>
    <n v="24960.73"/>
    <n v="224646.57"/>
  </r>
  <r>
    <s v="2026-01-05"/>
    <s v="Clínica Ortopédica Central"/>
    <x v="2"/>
    <x v="3"/>
    <x v="1"/>
    <s v="Aspirador Cirúrgico de Secreção"/>
    <n v="6"/>
    <n v="31666.94"/>
    <n v="190001.64"/>
  </r>
  <r>
    <s v="2026-01-05"/>
    <s v="Clínica Ortopédica Central"/>
    <x v="3"/>
    <x v="2"/>
    <x v="0"/>
    <s v="Cama Hospitalar Elétrica"/>
    <n v="8"/>
    <n v="8243.16"/>
    <n v="65945.279999999999"/>
  </r>
  <r>
    <s v="2026-01-05"/>
    <s v="Clínica Vida"/>
    <x v="2"/>
    <x v="2"/>
    <x v="0"/>
    <s v="Maca de Transporte"/>
    <n v="2"/>
    <n v="8139.11"/>
    <n v="16278.22"/>
  </r>
  <r>
    <s v="2026-01-05"/>
    <s v="Centro Médico Avançado"/>
    <x v="3"/>
    <x v="1"/>
    <x v="1"/>
    <s v="Mesa Cirúrgica Eletromecânica"/>
    <n v="7"/>
    <n v="34977.35"/>
    <n v="244841.45"/>
  </r>
  <r>
    <s v="2026-01-05"/>
    <s v="Rede Saúde Total"/>
    <x v="3"/>
    <x v="1"/>
    <x v="0"/>
    <s v="Poltrona de Coleta"/>
    <n v="6"/>
    <n v="10142.67"/>
    <n v="60856.02"/>
  </r>
  <r>
    <s v="2026-01-05"/>
    <s v="Hospital Regional"/>
    <x v="3"/>
    <x v="0"/>
    <x v="1"/>
    <s v="Mesa Cirúrgica Eletromecânica"/>
    <n v="9"/>
    <n v="28368.9"/>
    <n v="255320.1"/>
  </r>
  <r>
    <s v="2026-01-06"/>
    <s v="Hospital São Lucas"/>
    <x v="2"/>
    <x v="1"/>
    <x v="2"/>
    <s v="Ultrassom Portátil"/>
    <n v="7"/>
    <n v="55894.7"/>
    <n v="391262.9"/>
  </r>
  <r>
    <s v="2026-01-06"/>
    <s v="Rede Saúde Total"/>
    <x v="2"/>
    <x v="0"/>
    <x v="2"/>
    <s v="Monitor de Pressão Arterial 24h"/>
    <n v="1"/>
    <n v="49952.04"/>
    <n v="49952.04"/>
  </r>
  <r>
    <s v="2026-01-06"/>
    <s v="Clínica Vida"/>
    <x v="3"/>
    <x v="2"/>
    <x v="3"/>
    <s v="Bomba de Infusão"/>
    <n v="8"/>
    <n v="36697.89"/>
    <n v="293583.12"/>
  </r>
  <r>
    <s v="2026-01-06"/>
    <s v="Clínica Ortopédica Central"/>
    <x v="1"/>
    <x v="4"/>
    <x v="2"/>
    <s v="Eletrocardiógrafo"/>
    <n v="3"/>
    <n v="38817.230000000003"/>
    <n v="116451.69"/>
  </r>
  <r>
    <s v="2026-01-06"/>
    <s v="Hospital Regional"/>
    <x v="0"/>
    <x v="3"/>
    <x v="1"/>
    <s v="Mesa Cirúrgica Eletromecânica"/>
    <n v="2"/>
    <n v="25161.98"/>
    <n v="50323.96"/>
  </r>
  <r>
    <s v="2026-01-06"/>
    <s v="Rede Saúde Total"/>
    <x v="0"/>
    <x v="2"/>
    <x v="0"/>
    <s v="Poltrona de Coleta"/>
    <n v="3"/>
    <n v="9377.49"/>
    <n v="28132.47"/>
  </r>
  <r>
    <s v="2026-01-06"/>
    <s v="Hospital São Lucas"/>
    <x v="0"/>
    <x v="1"/>
    <x v="3"/>
    <s v="Desfibrilador Externo"/>
    <n v="6"/>
    <n v="38707.51"/>
    <n v="232245.06"/>
  </r>
  <r>
    <s v="2026-01-07"/>
    <s v="Hospital São Lucas"/>
    <x v="2"/>
    <x v="3"/>
    <x v="0"/>
    <s v="Carro de Emergência (Crash Cart)"/>
    <n v="3"/>
    <n v="9345.73"/>
    <n v="28037.19"/>
  </r>
  <r>
    <s v="2026-01-07"/>
    <s v="Hospital Santa Maria"/>
    <x v="2"/>
    <x v="4"/>
    <x v="1"/>
    <s v="Aspirador Cirúrgico de Secreção"/>
    <n v="5"/>
    <n v="25301.08"/>
    <n v="126505.4"/>
  </r>
  <r>
    <s v="2026-01-07"/>
    <s v="Hospital Santa Maria"/>
    <x v="1"/>
    <x v="4"/>
    <x v="2"/>
    <s v="Monitor de Pressão Arterial 24h"/>
    <n v="6"/>
    <n v="40333.68"/>
    <n v="242002.08"/>
  </r>
  <r>
    <s v="2026-01-07"/>
    <s v="Hospital Metropolitano"/>
    <x v="0"/>
    <x v="0"/>
    <x v="3"/>
    <s v="Desfibrilador Externo"/>
    <n v="8"/>
    <n v="38005.58"/>
    <n v="304044.64"/>
  </r>
  <r>
    <s v="2026-01-07"/>
    <s v="Clínica Vida"/>
    <x v="0"/>
    <x v="3"/>
    <x v="1"/>
    <s v="Mesa Cirúrgica Eletromecânica"/>
    <n v="7"/>
    <n v="25360.19"/>
    <n v="177521.33"/>
  </r>
  <r>
    <s v="2026-01-07"/>
    <s v="Centro Médico Avançado"/>
    <x v="3"/>
    <x v="0"/>
    <x v="3"/>
    <s v="Desfibrilador Externo"/>
    <n v="8"/>
    <n v="33858.97"/>
    <n v="270871.76"/>
  </r>
  <r>
    <s v="2026-01-08"/>
    <s v="Rede Saúde Total"/>
    <x v="2"/>
    <x v="2"/>
    <x v="3"/>
    <s v="Ventilador Pulmonar"/>
    <n v="3"/>
    <n v="27675.05"/>
    <n v="83025.149999999994"/>
  </r>
  <r>
    <s v="2026-01-08"/>
    <s v="Rede Saúde Total"/>
    <x v="0"/>
    <x v="3"/>
    <x v="2"/>
    <s v="Aparelho de Raio-X Móvel"/>
    <n v="4"/>
    <n v="39702.06"/>
    <n v="158808.24"/>
  </r>
  <r>
    <s v="2026-01-08"/>
    <s v="Centro Médico Avançado"/>
    <x v="1"/>
    <x v="2"/>
    <x v="1"/>
    <s v="Aspirador Cirúrgico de Secreção"/>
    <n v="6"/>
    <n v="31330.3"/>
    <n v="187981.8"/>
  </r>
  <r>
    <s v="2026-01-08"/>
    <s v="Hospital Metropolitano"/>
    <x v="1"/>
    <x v="0"/>
    <x v="0"/>
    <s v="Poltrona de Coleta"/>
    <n v="7"/>
    <n v="9568.2199999999993"/>
    <n v="66977.539999999994"/>
  </r>
  <r>
    <s v="2026-01-08"/>
    <s v="Clínica Ortopédica Central"/>
    <x v="0"/>
    <x v="3"/>
    <x v="3"/>
    <s v="Ventilador Pulmonar"/>
    <n v="9"/>
    <n v="31570.81"/>
    <n v="284137.28999999998"/>
  </r>
  <r>
    <s v="2026-01-08"/>
    <s v="Clínica Ortopédica Central"/>
    <x v="2"/>
    <x v="0"/>
    <x v="3"/>
    <s v="Monitor Multiparamétrico"/>
    <n v="1"/>
    <n v="29959.8"/>
    <n v="29959.8"/>
  </r>
  <r>
    <s v="2026-01-09"/>
    <s v="Hospital Metropolitano"/>
    <x v="1"/>
    <x v="3"/>
    <x v="0"/>
    <s v="Carro de Emergência (Crash Cart)"/>
    <n v="8"/>
    <n v="9991.61"/>
    <n v="79932.88"/>
  </r>
  <r>
    <s v="2026-01-09"/>
    <s v="Clínica Ortopédica Central"/>
    <x v="3"/>
    <x v="0"/>
    <x v="1"/>
    <s v="Bisturi Eletrônico"/>
    <n v="8"/>
    <n v="26231.56"/>
    <n v="209852.48"/>
  </r>
  <r>
    <s v="2026-01-09"/>
    <s v="Hospital Santa Maria"/>
    <x v="1"/>
    <x v="4"/>
    <x v="3"/>
    <s v="Monitor Multiparamétrico"/>
    <n v="6"/>
    <n v="34137.949999999997"/>
    <n v="204827.7"/>
  </r>
  <r>
    <s v="2026-01-09"/>
    <s v="Rede Saúde Total"/>
    <x v="4"/>
    <x v="0"/>
    <x v="3"/>
    <s v="Desfibrilador Externo"/>
    <n v="4"/>
    <n v="39593.07"/>
    <n v="158372.28"/>
  </r>
  <r>
    <s v="2026-01-09"/>
    <s v="Hospital Metropolitano"/>
    <x v="4"/>
    <x v="4"/>
    <x v="3"/>
    <s v="Desfibrilador Externo"/>
    <n v="3"/>
    <n v="29092.51"/>
    <n v="87277.53"/>
  </r>
  <r>
    <s v="2026-01-09"/>
    <s v="Rede Saúde Total"/>
    <x v="2"/>
    <x v="0"/>
    <x v="1"/>
    <s v="Bisturi Eletrônico"/>
    <n v="3"/>
    <n v="34337.81"/>
    <n v="103013.43"/>
  </r>
  <r>
    <s v="2026-01-10"/>
    <s v="Centro Médico Avançado"/>
    <x v="0"/>
    <x v="3"/>
    <x v="1"/>
    <s v="Bisturi Eletrônico"/>
    <n v="6"/>
    <n v="25848.400000000001"/>
    <n v="155090.4"/>
  </r>
  <r>
    <s v="2026-01-10"/>
    <s v="Hospital São Lucas"/>
    <x v="2"/>
    <x v="3"/>
    <x v="0"/>
    <s v="Carro de Emergência (Crash Cart)"/>
    <n v="8"/>
    <n v="9154.31"/>
    <n v="73234.48"/>
  </r>
  <r>
    <s v="2026-01-10"/>
    <s v="Hospital Santa Maria"/>
    <x v="2"/>
    <x v="3"/>
    <x v="1"/>
    <s v="Foco Cirúrgico LED"/>
    <n v="7"/>
    <n v="28022.49"/>
    <n v="196157.43"/>
  </r>
  <r>
    <s v="2026-01-10"/>
    <s v="Hospital Regional"/>
    <x v="2"/>
    <x v="1"/>
    <x v="1"/>
    <s v="Bisturi Eletrônico"/>
    <n v="1"/>
    <n v="34607.199999999997"/>
    <n v="34607.199999999997"/>
  </r>
  <r>
    <s v="2026-01-10"/>
    <s v="Hospital Santa Maria"/>
    <x v="2"/>
    <x v="2"/>
    <x v="2"/>
    <s v="Ultrassom Portátil"/>
    <n v="6"/>
    <n v="43173.760000000002"/>
    <n v="259042.56"/>
  </r>
  <r>
    <s v="2026-01-10"/>
    <s v="Hospital Metropolitano"/>
    <x v="3"/>
    <x v="3"/>
    <x v="0"/>
    <s v="Maca de Transporte"/>
    <n v="7"/>
    <n v="8583.84"/>
    <n v="60086.879999999997"/>
  </r>
  <r>
    <s v="2026-01-11"/>
    <s v="Hospital Regional"/>
    <x v="3"/>
    <x v="4"/>
    <x v="3"/>
    <s v="Desfibrilador Externo"/>
    <n v="7"/>
    <n v="39780.61"/>
    <n v="278464.27"/>
  </r>
  <r>
    <s v="2026-01-11"/>
    <s v="Hospital São Lucas"/>
    <x v="1"/>
    <x v="3"/>
    <x v="1"/>
    <s v="Bisturi Eletrônico"/>
    <n v="9"/>
    <n v="29808.47"/>
    <n v="268276.23"/>
  </r>
  <r>
    <s v="2026-01-11"/>
    <s v="Hospital Metropolitano"/>
    <x v="4"/>
    <x v="1"/>
    <x v="3"/>
    <s v="Desfibrilador Externo"/>
    <n v="5"/>
    <n v="33633.67"/>
    <n v="168168.35"/>
  </r>
  <r>
    <s v="2026-01-11"/>
    <s v="Clínica Vida"/>
    <x v="2"/>
    <x v="4"/>
    <x v="3"/>
    <s v="Desfibrilador Externo"/>
    <n v="1"/>
    <n v="30499.56"/>
    <n v="30499.56"/>
  </r>
  <r>
    <s v="2026-01-11"/>
    <s v="Rede Saúde Total"/>
    <x v="1"/>
    <x v="1"/>
    <x v="2"/>
    <s v="Eletrocardiógrafo"/>
    <n v="2"/>
    <n v="50874.54"/>
    <n v="101749.08"/>
  </r>
  <r>
    <s v="2026-01-11"/>
    <s v="Hospital São Lucas"/>
    <x v="4"/>
    <x v="4"/>
    <x v="1"/>
    <s v="Bisturi Eletrônico"/>
    <n v="4"/>
    <n v="23960.98"/>
    <n v="95843.92"/>
  </r>
  <r>
    <s v="2026-01-12"/>
    <s v="Rede Saúde Total"/>
    <x v="0"/>
    <x v="0"/>
    <x v="0"/>
    <s v="Maca de Transporte"/>
    <n v="5"/>
    <n v="7393.34"/>
    <n v="36966.699999999997"/>
  </r>
  <r>
    <s v="2026-01-12"/>
    <s v="Clínica Ortopédica Central"/>
    <x v="3"/>
    <x v="2"/>
    <x v="1"/>
    <s v="Foco Cirúrgico LED"/>
    <n v="9"/>
    <n v="30512.82"/>
    <n v="274615.38"/>
  </r>
  <r>
    <s v="2026-01-12"/>
    <s v="Clínica Vida"/>
    <x v="4"/>
    <x v="2"/>
    <x v="3"/>
    <s v="Ventilador Pulmonar"/>
    <n v="1"/>
    <n v="31573.43"/>
    <n v="31573.43"/>
  </r>
  <r>
    <s v="2026-01-12"/>
    <s v="Clínica Vida"/>
    <x v="0"/>
    <x v="1"/>
    <x v="0"/>
    <s v="Poltrona de Coleta"/>
    <n v="3"/>
    <n v="10466.280000000001"/>
    <n v="31398.84"/>
  </r>
  <r>
    <s v="2026-01-12"/>
    <s v="Hospital São Lucas"/>
    <x v="4"/>
    <x v="2"/>
    <x v="1"/>
    <s v="Bisturi Eletrônico"/>
    <n v="5"/>
    <n v="33915.74"/>
    <n v="169578.7"/>
  </r>
  <r>
    <s v="2026-01-12"/>
    <s v="Clínica Vida"/>
    <x v="3"/>
    <x v="1"/>
    <x v="3"/>
    <s v="Monitor Multiparamétrico"/>
    <n v="3"/>
    <n v="36335.440000000002"/>
    <n v="109006.32"/>
  </r>
  <r>
    <s v="2026-01-12"/>
    <s v="Hospital Regional"/>
    <x v="3"/>
    <x v="1"/>
    <x v="3"/>
    <s v="Monitor Multiparamétrico"/>
    <n v="4"/>
    <n v="37672.26"/>
    <n v="150689.04"/>
  </r>
  <r>
    <s v="2026-01-13"/>
    <s v="Clínica Vida"/>
    <x v="1"/>
    <x v="1"/>
    <x v="2"/>
    <s v="Aparelho de Raio-X Móvel"/>
    <n v="3"/>
    <n v="50261.97"/>
    <n v="150785.91"/>
  </r>
  <r>
    <s v="2026-01-13"/>
    <s v="Rede Saúde Total"/>
    <x v="2"/>
    <x v="2"/>
    <x v="2"/>
    <s v="Aparelho de Raio-X Móvel"/>
    <n v="4"/>
    <n v="40510.480000000003"/>
    <n v="162041.92000000001"/>
  </r>
  <r>
    <s v="2026-01-13"/>
    <s v="Rede Saúde Total"/>
    <x v="4"/>
    <x v="1"/>
    <x v="2"/>
    <s v="Aparelho de Raio-X Móvel"/>
    <n v="1"/>
    <n v="52029.78"/>
    <n v="52029.78"/>
  </r>
  <r>
    <s v="2026-01-13"/>
    <s v="Hospital Metropolitano"/>
    <x v="4"/>
    <x v="2"/>
    <x v="3"/>
    <s v="Ventilador Pulmonar"/>
    <n v="8"/>
    <n v="29890.46"/>
    <n v="239123.68"/>
  </r>
  <r>
    <s v="2026-01-13"/>
    <s v="Rede Saúde Total"/>
    <x v="0"/>
    <x v="1"/>
    <x v="1"/>
    <s v="Foco Cirúrgico LED"/>
    <n v="4"/>
    <n v="27422.560000000001"/>
    <n v="109690.24000000001"/>
  </r>
  <r>
    <s v="2026-01-13"/>
    <s v="Hospital Metropolitano"/>
    <x v="3"/>
    <x v="3"/>
    <x v="2"/>
    <s v="Ultrassom Portátil"/>
    <n v="7"/>
    <n v="52996.22"/>
    <n v="370973.54"/>
  </r>
  <r>
    <s v="2026-01-14"/>
    <s v="Rede Saúde Total"/>
    <x v="4"/>
    <x v="1"/>
    <x v="1"/>
    <s v="Bisturi Eletrônico"/>
    <n v="2"/>
    <n v="29809.09"/>
    <n v="59618.18"/>
  </r>
  <r>
    <s v="2026-01-14"/>
    <s v="Hospital Regional"/>
    <x v="3"/>
    <x v="4"/>
    <x v="2"/>
    <s v="Monitor de Pressão Arterial 24h"/>
    <n v="2"/>
    <n v="53728.93"/>
    <n v="107457.86"/>
  </r>
  <r>
    <s v="2026-01-14"/>
    <s v="Centro Médico Avançado"/>
    <x v="4"/>
    <x v="1"/>
    <x v="0"/>
    <s v="Maca de Transporte"/>
    <n v="6"/>
    <n v="7949.32"/>
    <n v="47695.92"/>
  </r>
  <r>
    <s v="2026-01-14"/>
    <s v="Hospital Metropolitano"/>
    <x v="1"/>
    <x v="0"/>
    <x v="0"/>
    <s v="Carro de Emergência (Crash Cart)"/>
    <n v="2"/>
    <n v="9291.4500000000007"/>
    <n v="18582.900000000001"/>
  </r>
  <r>
    <s v="2026-01-14"/>
    <s v="Hospital Santa Maria"/>
    <x v="2"/>
    <x v="1"/>
    <x v="2"/>
    <s v="Aparelho de Raio-X Móvel"/>
    <n v="6"/>
    <n v="39758.239999999998"/>
    <n v="238549.44"/>
  </r>
  <r>
    <s v="2026-01-14"/>
    <s v="Clínica Ortopédica Central"/>
    <x v="4"/>
    <x v="4"/>
    <x v="3"/>
    <s v="Ventilador Pulmonar"/>
    <n v="2"/>
    <n v="35431.18"/>
    <n v="70862.36"/>
  </r>
  <r>
    <s v="2026-01-15"/>
    <s v="Hospital São Lucas"/>
    <x v="3"/>
    <x v="4"/>
    <x v="2"/>
    <s v="Eletrocardiógrafo"/>
    <n v="4"/>
    <n v="51975.61"/>
    <n v="207902.44"/>
  </r>
  <r>
    <s v="2026-01-15"/>
    <s v="Rede Saúde Total"/>
    <x v="1"/>
    <x v="2"/>
    <x v="2"/>
    <s v="Ultrassom Portátil"/>
    <n v="7"/>
    <n v="48778.76"/>
    <n v="341451.32"/>
  </r>
  <r>
    <s v="2026-01-15"/>
    <s v="Clínica Vida"/>
    <x v="4"/>
    <x v="3"/>
    <x v="3"/>
    <s v="Monitor Multiparamétrico"/>
    <n v="8"/>
    <n v="30607.759999999998"/>
    <n v="244862.07999999999"/>
  </r>
  <r>
    <s v="2026-01-15"/>
    <s v="Centro Médico Avançado"/>
    <x v="0"/>
    <x v="1"/>
    <x v="0"/>
    <s v="Maca de Transporte"/>
    <n v="3"/>
    <n v="7331.57"/>
    <n v="21994.71"/>
  </r>
  <r>
    <s v="2026-01-15"/>
    <s v="Rede Saúde Total"/>
    <x v="2"/>
    <x v="2"/>
    <x v="1"/>
    <s v="Aspirador Cirúrgico de Secreção"/>
    <n v="9"/>
    <n v="25137.83"/>
    <n v="226240.47"/>
  </r>
  <r>
    <s v="2026-01-15"/>
    <s v="Clínica Vida"/>
    <x v="4"/>
    <x v="3"/>
    <x v="2"/>
    <s v="Aparelho de Raio-X Móvel"/>
    <n v="2"/>
    <n v="49451.45"/>
    <n v="98902.9"/>
  </r>
  <r>
    <s v="2026-01-16"/>
    <s v="Clínica Ortopédica Central"/>
    <x v="1"/>
    <x v="1"/>
    <x v="3"/>
    <s v="Ventilador Pulmonar"/>
    <n v="8"/>
    <n v="39160.58"/>
    <n v="313284.64"/>
  </r>
  <r>
    <s v="2026-01-16"/>
    <s v="Clínica Ortopédica Central"/>
    <x v="0"/>
    <x v="0"/>
    <x v="2"/>
    <s v="Aparelho de Raio-X Móvel"/>
    <n v="8"/>
    <n v="41967.62"/>
    <n v="335740.96"/>
  </r>
  <r>
    <s v="2026-01-16"/>
    <s v="Clínica Ortopédica Central"/>
    <x v="1"/>
    <x v="1"/>
    <x v="3"/>
    <s v="Desfibrilador Externo"/>
    <n v="4"/>
    <n v="36608.33"/>
    <n v="146433.32"/>
  </r>
  <r>
    <s v="2026-01-16"/>
    <s v="Clínica Vida"/>
    <x v="1"/>
    <x v="4"/>
    <x v="1"/>
    <s v="Aspirador Cirúrgico de Secreção"/>
    <n v="1"/>
    <n v="33504.25"/>
    <n v="33504.25"/>
  </r>
  <r>
    <s v="2026-01-16"/>
    <s v="Rede Saúde Total"/>
    <x v="0"/>
    <x v="4"/>
    <x v="1"/>
    <s v="Foco Cirúrgico LED"/>
    <n v="1"/>
    <n v="29633.88"/>
    <n v="29633.88"/>
  </r>
  <r>
    <s v="2026-01-16"/>
    <s v="Clínica Ortopédica Central"/>
    <x v="1"/>
    <x v="0"/>
    <x v="0"/>
    <s v="Carro de Emergência (Crash Cart)"/>
    <n v="2"/>
    <n v="9500.5"/>
    <n v="19001"/>
  </r>
  <r>
    <s v="2026-01-17"/>
    <s v="Hospital Regional"/>
    <x v="0"/>
    <x v="2"/>
    <x v="3"/>
    <s v="Monitor Multiparamétrico"/>
    <n v="9"/>
    <n v="37632.199999999997"/>
    <n v="338689.8"/>
  </r>
  <r>
    <s v="2026-01-17"/>
    <s v="Hospital Metropolitano"/>
    <x v="4"/>
    <x v="3"/>
    <x v="3"/>
    <s v="Desfibrilador Externo"/>
    <n v="2"/>
    <n v="30536.639999999999"/>
    <n v="61073.279999999999"/>
  </r>
  <r>
    <s v="2026-01-17"/>
    <s v="Clínica Vida"/>
    <x v="0"/>
    <x v="1"/>
    <x v="0"/>
    <s v="Maca de Transporte"/>
    <n v="2"/>
    <n v="8234.4500000000007"/>
    <n v="16468.900000000001"/>
  </r>
  <r>
    <s v="2026-01-17"/>
    <s v="Clínica Vida"/>
    <x v="0"/>
    <x v="4"/>
    <x v="0"/>
    <s v="Maca de Transporte"/>
    <n v="6"/>
    <n v="7227.13"/>
    <n v="43362.78"/>
  </r>
  <r>
    <s v="2026-01-17"/>
    <s v="Rede Saúde Total"/>
    <x v="2"/>
    <x v="2"/>
    <x v="3"/>
    <s v="Bomba de Infusão"/>
    <n v="7"/>
    <n v="39527.599999999999"/>
    <n v="276693.2"/>
  </r>
  <r>
    <s v="2026-01-17"/>
    <s v="Clínica Vida"/>
    <x v="0"/>
    <x v="0"/>
    <x v="0"/>
    <s v="Poltrona de Coleta"/>
    <n v="7"/>
    <n v="10344.65"/>
    <n v="72412.55"/>
  </r>
  <r>
    <s v="2026-01-18"/>
    <s v="Clínica Vida"/>
    <x v="0"/>
    <x v="4"/>
    <x v="1"/>
    <s v="Mesa Cirúrgica Eletromecânica"/>
    <n v="9"/>
    <n v="32363.16"/>
    <n v="291268.44"/>
  </r>
  <r>
    <s v="2026-01-18"/>
    <s v="Clínica Ortopédica Central"/>
    <x v="4"/>
    <x v="0"/>
    <x v="2"/>
    <s v="Monitor de Pressão Arterial 24h"/>
    <n v="6"/>
    <n v="39673.370000000003"/>
    <n v="238040.22"/>
  </r>
  <r>
    <s v="2026-01-18"/>
    <s v="Rede Saúde Total"/>
    <x v="2"/>
    <x v="1"/>
    <x v="1"/>
    <s v="Foco Cirúrgico LED"/>
    <n v="8"/>
    <n v="28812.03"/>
    <n v="230496.24"/>
  </r>
  <r>
    <s v="2026-01-18"/>
    <s v="Clínica Ortopédica Central"/>
    <x v="3"/>
    <x v="3"/>
    <x v="0"/>
    <s v="Cama Hospitalar Elétrica"/>
    <n v="6"/>
    <n v="7571.43"/>
    <n v="45428.58"/>
  </r>
  <r>
    <s v="2026-01-18"/>
    <s v="Hospital Metropolitano"/>
    <x v="4"/>
    <x v="4"/>
    <x v="3"/>
    <s v="Monitor Multiparamétrico"/>
    <n v="2"/>
    <n v="27403.78"/>
    <n v="54807.56"/>
  </r>
  <r>
    <s v="2026-01-18"/>
    <s v="Centro Médico Avançado"/>
    <x v="4"/>
    <x v="4"/>
    <x v="3"/>
    <s v="Desfibrilador Externo"/>
    <n v="1"/>
    <n v="35087.14"/>
    <n v="35087.14"/>
  </r>
  <r>
    <s v="2026-01-18"/>
    <s v="Hospital Metropolitano"/>
    <x v="3"/>
    <x v="1"/>
    <x v="1"/>
    <s v="Mesa Cirúrgica Eletromecânica"/>
    <n v="5"/>
    <n v="34561.29"/>
    <n v="172806.45"/>
  </r>
  <r>
    <s v="2026-01-19"/>
    <s v="Centro Médico Avançado"/>
    <x v="0"/>
    <x v="2"/>
    <x v="3"/>
    <s v="Desfibrilador Externo"/>
    <n v="9"/>
    <n v="38756.71"/>
    <n v="348810.39"/>
  </r>
  <r>
    <s v="2026-01-19"/>
    <s v="Clínica Ortopédica Central"/>
    <x v="1"/>
    <x v="3"/>
    <x v="0"/>
    <s v="Poltrona de Coleta"/>
    <n v="8"/>
    <n v="9593.9699999999993"/>
    <n v="76751.759999999995"/>
  </r>
  <r>
    <s v="2026-01-19"/>
    <s v="Hospital Metropolitano"/>
    <x v="2"/>
    <x v="4"/>
    <x v="1"/>
    <s v="Bisturi Eletrônico"/>
    <n v="4"/>
    <n v="24882.37"/>
    <n v="99529.48"/>
  </r>
  <r>
    <s v="2026-01-19"/>
    <s v="Rede Saúde Total"/>
    <x v="1"/>
    <x v="3"/>
    <x v="3"/>
    <s v="Bomba de Infusão"/>
    <n v="5"/>
    <n v="30709.3"/>
    <n v="153546.5"/>
  </r>
  <r>
    <s v="2026-01-19"/>
    <s v="Hospital São Lucas"/>
    <x v="3"/>
    <x v="4"/>
    <x v="2"/>
    <s v="Eletrocardiógrafo"/>
    <n v="5"/>
    <n v="44011.02"/>
    <n v="220055.1"/>
  </r>
  <r>
    <s v="2026-01-19"/>
    <s v="Clínica Ortopédica Central"/>
    <x v="4"/>
    <x v="3"/>
    <x v="2"/>
    <s v="Aparelho de Raio-X Móvel"/>
    <n v="6"/>
    <n v="51986.7"/>
    <n v="311920.2"/>
  </r>
  <r>
    <s v="2026-01-20"/>
    <s v="Centro Médico Avançado"/>
    <x v="4"/>
    <x v="0"/>
    <x v="0"/>
    <s v="Carro de Emergência (Crash Cart)"/>
    <n v="3"/>
    <n v="9952.65"/>
    <n v="29857.95"/>
  </r>
  <r>
    <s v="2026-01-20"/>
    <s v="Hospital Regional"/>
    <x v="2"/>
    <x v="4"/>
    <x v="3"/>
    <s v="Bomba de Infusão"/>
    <n v="5"/>
    <n v="32129.360000000001"/>
    <n v="160646.79999999999"/>
  </r>
  <r>
    <s v="2026-01-20"/>
    <s v="Centro Médico Avançado"/>
    <x v="4"/>
    <x v="3"/>
    <x v="0"/>
    <s v="Cama Hospitalar Elétrica"/>
    <n v="2"/>
    <n v="8645.81"/>
    <n v="17291.62"/>
  </r>
  <r>
    <s v="2026-01-20"/>
    <s v="Hospital Regional"/>
    <x v="4"/>
    <x v="2"/>
    <x v="1"/>
    <s v="Aspirador Cirúrgico de Secreção"/>
    <n v="1"/>
    <n v="24298.5"/>
    <n v="24298.5"/>
  </r>
  <r>
    <s v="2026-01-20"/>
    <s v="Clínica Vida"/>
    <x v="2"/>
    <x v="0"/>
    <x v="2"/>
    <s v="Monitor de Pressão Arterial 24h"/>
    <n v="1"/>
    <n v="43454.46"/>
    <n v="43454.46"/>
  </r>
  <r>
    <s v="2026-01-20"/>
    <s v="Hospital Metropolitano"/>
    <x v="2"/>
    <x v="0"/>
    <x v="1"/>
    <s v="Bisturi Eletrônico"/>
    <n v="7"/>
    <n v="28854.39"/>
    <n v="201980.73"/>
  </r>
  <r>
    <s v="2026-01-21"/>
    <s v="Hospital Regional"/>
    <x v="3"/>
    <x v="2"/>
    <x v="3"/>
    <s v="Desfibrilador Externo"/>
    <n v="2"/>
    <n v="28697.38"/>
    <n v="57394.76"/>
  </r>
  <r>
    <s v="2026-01-21"/>
    <s v="Centro Médico Avançado"/>
    <x v="4"/>
    <x v="3"/>
    <x v="0"/>
    <s v="Cama Hospitalar Elétrica"/>
    <n v="4"/>
    <n v="8766.11"/>
    <n v="35064.44"/>
  </r>
  <r>
    <s v="2026-01-21"/>
    <s v="Clínica Vida"/>
    <x v="4"/>
    <x v="1"/>
    <x v="0"/>
    <s v="Cama Hospitalar Elétrica"/>
    <n v="5"/>
    <n v="10125.799999999999"/>
    <n v="50629"/>
  </r>
  <r>
    <s v="2026-01-21"/>
    <s v="Hospital São Lucas"/>
    <x v="3"/>
    <x v="2"/>
    <x v="0"/>
    <s v="Carro de Emergência (Crash Cart)"/>
    <n v="7"/>
    <n v="9201.49"/>
    <n v="64410.43"/>
  </r>
  <r>
    <s v="2026-01-21"/>
    <s v="Rede Saúde Total"/>
    <x v="0"/>
    <x v="3"/>
    <x v="1"/>
    <s v="Foco Cirúrgico LED"/>
    <n v="2"/>
    <n v="24684.01"/>
    <n v="49368.02"/>
  </r>
  <r>
    <s v="2026-01-21"/>
    <s v="Rede Saúde Total"/>
    <x v="0"/>
    <x v="2"/>
    <x v="2"/>
    <s v="Monitor de Pressão Arterial 24h"/>
    <n v="6"/>
    <n v="41700.080000000002"/>
    <n v="250200.48"/>
  </r>
  <r>
    <s v="2026-01-22"/>
    <s v="Rede Saúde Total"/>
    <x v="0"/>
    <x v="2"/>
    <x v="1"/>
    <s v="Mesa Cirúrgica Eletromecânica"/>
    <n v="1"/>
    <n v="29114.9"/>
    <n v="29114.9"/>
  </r>
  <r>
    <s v="2026-01-22"/>
    <s v="Hospital Regional"/>
    <x v="3"/>
    <x v="4"/>
    <x v="1"/>
    <s v="Aspirador Cirúrgico de Secreção"/>
    <n v="7"/>
    <n v="27848.66"/>
    <n v="194940.62"/>
  </r>
  <r>
    <s v="2026-01-22"/>
    <s v="Hospital São Lucas"/>
    <x v="4"/>
    <x v="3"/>
    <x v="3"/>
    <s v="Monitor Multiparamétrico"/>
    <n v="9"/>
    <n v="31791.71"/>
    <n v="286125.39"/>
  </r>
  <r>
    <s v="2026-01-22"/>
    <s v="Hospital Regional"/>
    <x v="3"/>
    <x v="1"/>
    <x v="3"/>
    <s v="Bomba de Infusão"/>
    <n v="5"/>
    <n v="33974.620000000003"/>
    <n v="169873.1"/>
  </r>
  <r>
    <s v="2026-01-22"/>
    <s v="Hospital Metropolitano"/>
    <x v="3"/>
    <x v="4"/>
    <x v="3"/>
    <s v="Monitor Multiparamétrico"/>
    <n v="5"/>
    <n v="34680.269999999997"/>
    <n v="173401.35"/>
  </r>
  <r>
    <s v="2026-01-22"/>
    <s v="Hospital Regional"/>
    <x v="0"/>
    <x v="2"/>
    <x v="2"/>
    <s v="Ultrassom Portátil"/>
    <n v="4"/>
    <n v="52593.51"/>
    <n v="210374.04"/>
  </r>
  <r>
    <s v="2026-01-23"/>
    <s v="Hospital São Lucas"/>
    <x v="1"/>
    <x v="2"/>
    <x v="2"/>
    <s v="Monitor de Pressão Arterial 24h"/>
    <n v="3"/>
    <n v="44387.4"/>
    <n v="133162.20000000001"/>
  </r>
  <r>
    <s v="2026-01-23"/>
    <s v="Hospital São Lucas"/>
    <x v="4"/>
    <x v="2"/>
    <x v="3"/>
    <s v="Monitor Multiparamétrico"/>
    <n v="9"/>
    <n v="37509.97"/>
    <n v="337589.73"/>
  </r>
  <r>
    <s v="2026-01-23"/>
    <s v="Hospital Metropolitano"/>
    <x v="0"/>
    <x v="3"/>
    <x v="3"/>
    <s v="Desfibrilador Externo"/>
    <n v="5"/>
    <n v="31534.22"/>
    <n v="157671.1"/>
  </r>
  <r>
    <s v="2026-01-23"/>
    <s v="Hospital São Lucas"/>
    <x v="1"/>
    <x v="3"/>
    <x v="2"/>
    <s v="Eletrocardiógrafo"/>
    <n v="8"/>
    <n v="39247.79"/>
    <n v="313982.32"/>
  </r>
  <r>
    <s v="2026-01-23"/>
    <s v="Centro Médico Avançado"/>
    <x v="1"/>
    <x v="4"/>
    <x v="0"/>
    <s v="Carro de Emergência (Crash Cart)"/>
    <n v="9"/>
    <n v="9109.24"/>
    <n v="81983.16"/>
  </r>
  <r>
    <s v="2026-01-23"/>
    <s v="Hospital São Lucas"/>
    <x v="2"/>
    <x v="1"/>
    <x v="2"/>
    <s v="Ultrassom Portátil"/>
    <n v="5"/>
    <n v="48832.24"/>
    <n v="244161.2"/>
  </r>
  <r>
    <s v="2026-01-24"/>
    <s v="Rede Saúde Total"/>
    <x v="4"/>
    <x v="4"/>
    <x v="2"/>
    <s v="Eletrocardiógrafo"/>
    <n v="9"/>
    <n v="55071.72"/>
    <n v="495645.48"/>
  </r>
  <r>
    <s v="2026-01-24"/>
    <s v="Centro Médico Avançado"/>
    <x v="1"/>
    <x v="0"/>
    <x v="2"/>
    <s v="Aparelho de Raio-X Móvel"/>
    <n v="2"/>
    <n v="51319.1"/>
    <n v="102638.2"/>
  </r>
  <r>
    <s v="2026-01-24"/>
    <s v="Centro Médico Avançado"/>
    <x v="0"/>
    <x v="2"/>
    <x v="3"/>
    <s v="Bomba de Infusão"/>
    <n v="9"/>
    <n v="38947.49"/>
    <n v="350527.41"/>
  </r>
  <r>
    <s v="2026-01-24"/>
    <s v="Hospital Metropolitano"/>
    <x v="2"/>
    <x v="2"/>
    <x v="0"/>
    <s v="Cama Hospitalar Elétrica"/>
    <n v="4"/>
    <n v="10313.379999999999"/>
    <n v="41253.519999999997"/>
  </r>
  <r>
    <s v="2026-01-24"/>
    <s v="Hospital Santa Maria"/>
    <x v="4"/>
    <x v="2"/>
    <x v="2"/>
    <s v="Monitor de Pressão Arterial 24h"/>
    <n v="6"/>
    <n v="49132.33"/>
    <n v="294793.98"/>
  </r>
  <r>
    <s v="2026-01-24"/>
    <s v="Hospital Santa Maria"/>
    <x v="3"/>
    <x v="4"/>
    <x v="3"/>
    <s v="Desfibrilador Externo"/>
    <n v="6"/>
    <n v="33955.35"/>
    <n v="203732.1"/>
  </r>
  <r>
    <s v="2026-01-24"/>
    <s v="Hospital São Lucas"/>
    <x v="0"/>
    <x v="4"/>
    <x v="1"/>
    <s v="Bisturi Eletrônico"/>
    <n v="6"/>
    <n v="30043.34"/>
    <n v="180260.04"/>
  </r>
  <r>
    <s v="2026-01-25"/>
    <s v="Centro Médico Avançado"/>
    <x v="1"/>
    <x v="2"/>
    <x v="1"/>
    <s v="Mesa Cirúrgica Eletromecânica"/>
    <n v="2"/>
    <n v="34757.31"/>
    <n v="69514.62"/>
  </r>
  <r>
    <s v="2026-01-25"/>
    <s v="Hospital Santa Maria"/>
    <x v="1"/>
    <x v="4"/>
    <x v="2"/>
    <s v="Ultrassom Portátil"/>
    <n v="7"/>
    <n v="52167.02"/>
    <n v="365169.14"/>
  </r>
  <r>
    <s v="2026-01-25"/>
    <s v="Hospital Santa Maria"/>
    <x v="0"/>
    <x v="3"/>
    <x v="1"/>
    <s v="Mesa Cirúrgica Eletromecânica"/>
    <n v="6"/>
    <n v="24990.18"/>
    <n v="149941.07999999999"/>
  </r>
  <r>
    <s v="2026-01-25"/>
    <s v="Hospital São Lucas"/>
    <x v="1"/>
    <x v="3"/>
    <x v="0"/>
    <s v="Cama Hospitalar Elétrica"/>
    <n v="1"/>
    <n v="9871.66"/>
    <n v="9871.66"/>
  </r>
  <r>
    <s v="2026-01-25"/>
    <s v="Hospital Santa Maria"/>
    <x v="2"/>
    <x v="4"/>
    <x v="1"/>
    <s v="Bisturi Eletrônico"/>
    <n v="2"/>
    <n v="25710.03"/>
    <n v="51420.06"/>
  </r>
  <r>
    <s v="2026-01-25"/>
    <s v="Hospital Regional"/>
    <x v="4"/>
    <x v="2"/>
    <x v="1"/>
    <s v="Foco Cirúrgico LED"/>
    <n v="7"/>
    <n v="28810.33"/>
    <n v="201672.31"/>
  </r>
  <r>
    <s v="2026-01-26"/>
    <s v="Clínica Vida"/>
    <x v="2"/>
    <x v="4"/>
    <x v="0"/>
    <s v="Cama Hospitalar Elétrica"/>
    <n v="1"/>
    <n v="7940.56"/>
    <n v="7940.56"/>
  </r>
  <r>
    <s v="2026-01-26"/>
    <s v="Hospital Metropolitano"/>
    <x v="1"/>
    <x v="4"/>
    <x v="2"/>
    <s v="Eletrocardiógrafo"/>
    <n v="1"/>
    <n v="50662.5"/>
    <n v="50662.5"/>
  </r>
  <r>
    <s v="2026-01-26"/>
    <s v="Clínica Vida"/>
    <x v="3"/>
    <x v="4"/>
    <x v="2"/>
    <s v="Aparelho de Raio-X Móvel"/>
    <n v="1"/>
    <n v="54041.58"/>
    <n v="54041.58"/>
  </r>
  <r>
    <s v="2026-01-26"/>
    <s v="Hospital São Lucas"/>
    <x v="4"/>
    <x v="0"/>
    <x v="0"/>
    <s v="Carro de Emergência (Crash Cart)"/>
    <n v="8"/>
    <n v="8212.23"/>
    <n v="65697.84"/>
  </r>
  <r>
    <s v="2026-01-26"/>
    <s v="Rede Saúde Total"/>
    <x v="4"/>
    <x v="3"/>
    <x v="0"/>
    <s v="Cama Hospitalar Elétrica"/>
    <n v="4"/>
    <n v="7503.84"/>
    <n v="30015.360000000001"/>
  </r>
  <r>
    <s v="2026-01-26"/>
    <s v="Hospital Metropolitano"/>
    <x v="0"/>
    <x v="1"/>
    <x v="0"/>
    <s v="Carro de Emergência (Crash Cart)"/>
    <n v="4"/>
    <n v="8239.8799999999992"/>
    <n v="32959.519999999997"/>
  </r>
  <r>
    <s v="2026-01-27"/>
    <s v="Hospital São Lucas"/>
    <x v="0"/>
    <x v="1"/>
    <x v="1"/>
    <s v="Foco Cirúrgico LED"/>
    <n v="2"/>
    <n v="31330.45"/>
    <n v="62660.9"/>
  </r>
  <r>
    <s v="2026-01-27"/>
    <s v="Centro Médico Avançado"/>
    <x v="3"/>
    <x v="0"/>
    <x v="0"/>
    <s v="Carro de Emergência (Crash Cart)"/>
    <n v="1"/>
    <n v="8342.7800000000007"/>
    <n v="8342.7800000000007"/>
  </r>
  <r>
    <s v="2026-01-27"/>
    <s v="Rede Saúde Total"/>
    <x v="4"/>
    <x v="4"/>
    <x v="3"/>
    <s v="Desfibrilador Externo"/>
    <n v="9"/>
    <n v="30759.84"/>
    <n v="276838.56"/>
  </r>
  <r>
    <s v="2026-01-27"/>
    <s v="Clínica Vida"/>
    <x v="3"/>
    <x v="0"/>
    <x v="1"/>
    <s v="Aspirador Cirúrgico de Secreção"/>
    <n v="7"/>
    <n v="25865.67"/>
    <n v="181059.69"/>
  </r>
  <r>
    <s v="2026-01-27"/>
    <s v="Hospital São Lucas"/>
    <x v="0"/>
    <x v="0"/>
    <x v="2"/>
    <s v="Eletrocardiógrafo"/>
    <n v="4"/>
    <n v="47205.3"/>
    <n v="188821.2"/>
  </r>
  <r>
    <s v="2026-01-27"/>
    <s v="Centro Médico Avançado"/>
    <x v="0"/>
    <x v="2"/>
    <x v="2"/>
    <s v="Aparelho de Raio-X Móvel"/>
    <n v="6"/>
    <n v="43217.08"/>
    <n v="259302.48"/>
  </r>
  <r>
    <s v="2026-01-28"/>
    <s v="Hospital Metropolitano"/>
    <x v="4"/>
    <x v="3"/>
    <x v="2"/>
    <s v="Ultrassom Portátil"/>
    <n v="2"/>
    <n v="51408.19"/>
    <n v="102816.38"/>
  </r>
  <r>
    <s v="2026-01-28"/>
    <s v="Hospital Metropolitano"/>
    <x v="2"/>
    <x v="1"/>
    <x v="1"/>
    <s v="Aspirador Cirúrgico de Secreção"/>
    <n v="7"/>
    <n v="24658.17"/>
    <n v="172607.19"/>
  </r>
  <r>
    <s v="2026-01-28"/>
    <s v="Clínica Ortopédica Central"/>
    <x v="1"/>
    <x v="4"/>
    <x v="3"/>
    <s v="Monitor Multiparamétrico"/>
    <n v="2"/>
    <n v="35699.620000000003"/>
    <n v="71399.240000000005"/>
  </r>
  <r>
    <s v="2026-01-28"/>
    <s v="Centro Médico Avançado"/>
    <x v="0"/>
    <x v="1"/>
    <x v="0"/>
    <s v="Cama Hospitalar Elétrica"/>
    <n v="8"/>
    <n v="8032.7"/>
    <n v="64261.599999999999"/>
  </r>
  <r>
    <s v="2026-01-28"/>
    <s v="Hospital Regional"/>
    <x v="0"/>
    <x v="1"/>
    <x v="0"/>
    <s v="Poltrona de Coleta"/>
    <n v="8"/>
    <n v="8888.5499999999993"/>
    <n v="71108.399999999994"/>
  </r>
  <r>
    <s v="2026-01-28"/>
    <s v="Hospital Santa Maria"/>
    <x v="2"/>
    <x v="3"/>
    <x v="2"/>
    <s v="Monitor de Pressão Arterial 24h"/>
    <n v="1"/>
    <n v="43399.62"/>
    <n v="43399.62"/>
  </r>
  <r>
    <s v="2026-01-29"/>
    <s v="Rede Saúde Total"/>
    <x v="2"/>
    <x v="1"/>
    <x v="2"/>
    <s v="Eletrocardiógrafo"/>
    <n v="8"/>
    <n v="51259.839999999997"/>
    <n v="410078.71999999997"/>
  </r>
  <r>
    <s v="2026-01-29"/>
    <s v="Centro Médico Avançado"/>
    <x v="3"/>
    <x v="1"/>
    <x v="1"/>
    <s v="Foco Cirúrgico LED"/>
    <n v="2"/>
    <n v="34387.440000000002"/>
    <n v="68774.880000000005"/>
  </r>
  <r>
    <s v="2026-01-29"/>
    <s v="Clínica Ortopédica Central"/>
    <x v="3"/>
    <x v="0"/>
    <x v="3"/>
    <s v="Monitor Multiparamétrico"/>
    <n v="6"/>
    <n v="38938.58"/>
    <n v="233631.48"/>
  </r>
  <r>
    <s v="2026-01-29"/>
    <s v="Hospital Santa Maria"/>
    <x v="1"/>
    <x v="3"/>
    <x v="0"/>
    <s v="Maca de Transporte"/>
    <n v="1"/>
    <n v="9208.65"/>
    <n v="9208.65"/>
  </r>
  <r>
    <s v="2026-01-29"/>
    <s v="Hospital Santa Maria"/>
    <x v="1"/>
    <x v="2"/>
    <x v="1"/>
    <s v="Mesa Cirúrgica Eletromecânica"/>
    <n v="5"/>
    <n v="28981.24"/>
    <n v="144906.20000000001"/>
  </r>
  <r>
    <s v="2026-01-29"/>
    <s v="Hospital São Lucas"/>
    <x v="4"/>
    <x v="4"/>
    <x v="0"/>
    <s v="Cama Hospitalar Elétrica"/>
    <n v="7"/>
    <n v="10007.219999999999"/>
    <n v="70050.539999999994"/>
  </r>
  <r>
    <s v="2026-01-30"/>
    <s v="Hospital Santa Maria"/>
    <x v="3"/>
    <x v="1"/>
    <x v="2"/>
    <s v="Aparelho de Raio-X Móvel"/>
    <n v="1"/>
    <n v="50549.87"/>
    <n v="50549.87"/>
  </r>
  <r>
    <s v="2026-01-30"/>
    <s v="Hospital Regional"/>
    <x v="0"/>
    <x v="4"/>
    <x v="0"/>
    <s v="Maca de Transporte"/>
    <n v="2"/>
    <n v="7849.12"/>
    <n v="15698.24"/>
  </r>
  <r>
    <s v="2026-01-30"/>
    <s v="Hospital Metropolitano"/>
    <x v="3"/>
    <x v="2"/>
    <x v="3"/>
    <s v="Monitor Multiparamétrico"/>
    <n v="7"/>
    <n v="37707.769999999997"/>
    <n v="263954.39"/>
  </r>
  <r>
    <s v="2026-01-30"/>
    <s v="Clínica Ortopédica Central"/>
    <x v="0"/>
    <x v="4"/>
    <x v="3"/>
    <s v="Bomba de Infusão"/>
    <n v="6"/>
    <n v="32689.72"/>
    <n v="196138.32"/>
  </r>
  <r>
    <s v="2026-01-30"/>
    <s v="Hospital Santa Maria"/>
    <x v="2"/>
    <x v="2"/>
    <x v="2"/>
    <s v="Eletrocardiógrafo"/>
    <n v="3"/>
    <n v="41651.74"/>
    <n v="124955.22"/>
  </r>
  <r>
    <s v="2026-01-30"/>
    <s v="Hospital São Lucas"/>
    <x v="3"/>
    <x v="0"/>
    <x v="3"/>
    <s v="Ventilador Pulmonar"/>
    <n v="2"/>
    <n v="30807.01"/>
    <n v="61614.02"/>
  </r>
  <r>
    <s v="2026-01-30"/>
    <s v="Hospital Regional"/>
    <x v="2"/>
    <x v="1"/>
    <x v="3"/>
    <s v="Ventilador Pulmonar"/>
    <n v="4"/>
    <n v="30624.35"/>
    <n v="122497.4"/>
  </r>
  <r>
    <s v="2026-01-31"/>
    <s v="Clínica Vida"/>
    <x v="1"/>
    <x v="2"/>
    <x v="1"/>
    <s v="Mesa Cirúrgica Eletromecânica"/>
    <n v="3"/>
    <n v="29615.119999999999"/>
    <n v="88845.36"/>
  </r>
  <r>
    <s v="2026-01-31"/>
    <s v="Hospital Metropolitano"/>
    <x v="1"/>
    <x v="4"/>
    <x v="0"/>
    <s v="Carro de Emergência (Crash Cart)"/>
    <n v="7"/>
    <n v="8021.86"/>
    <n v="56153.02"/>
  </r>
  <r>
    <s v="2026-01-31"/>
    <s v="Hospital Metropolitano"/>
    <x v="4"/>
    <x v="1"/>
    <x v="2"/>
    <s v="Monitor de Pressão Arterial 24h"/>
    <n v="8"/>
    <n v="40474.199999999997"/>
    <n v="323793.59999999998"/>
  </r>
  <r>
    <s v="2026-01-31"/>
    <s v="Clínica Ortopédica Central"/>
    <x v="3"/>
    <x v="0"/>
    <x v="2"/>
    <s v="Monitor de Pressão Arterial 24h"/>
    <n v="2"/>
    <n v="40476.44"/>
    <n v="80952.88"/>
  </r>
  <r>
    <s v="2026-01-31"/>
    <s v="Hospital Metropolitano"/>
    <x v="2"/>
    <x v="1"/>
    <x v="2"/>
    <s v="Aparelho de Raio-X Móvel"/>
    <n v="7"/>
    <n v="48748.97"/>
    <n v="341242.79"/>
  </r>
  <r>
    <s v="2026-01-31"/>
    <s v="Hospital Santa Maria"/>
    <x v="0"/>
    <x v="2"/>
    <x v="2"/>
    <s v="Aparelho de Raio-X Móvel"/>
    <n v="8"/>
    <n v="51475.67"/>
    <n v="411805.36"/>
  </r>
  <r>
    <s v="2026-02-01"/>
    <s v="Hospital São Lucas"/>
    <x v="1"/>
    <x v="0"/>
    <x v="2"/>
    <s v="Eletrocardiógrafo"/>
    <n v="6"/>
    <n v="44037.59"/>
    <n v="264225.53999999998"/>
  </r>
  <r>
    <s v="2026-02-01"/>
    <s v="Hospital Metropolitano"/>
    <x v="1"/>
    <x v="4"/>
    <x v="3"/>
    <s v="Bomba de Infusão"/>
    <n v="6"/>
    <n v="27643.53"/>
    <n v="165861.18"/>
  </r>
  <r>
    <s v="2026-02-01"/>
    <s v="Hospital Metropolitano"/>
    <x v="0"/>
    <x v="0"/>
    <x v="1"/>
    <s v="Bisturi Eletrônico"/>
    <n v="1"/>
    <n v="25224.92"/>
    <n v="25224.92"/>
  </r>
  <r>
    <s v="2026-02-01"/>
    <s v="Clínica Vida"/>
    <x v="2"/>
    <x v="0"/>
    <x v="2"/>
    <s v="Ultrassom Portátil"/>
    <n v="4"/>
    <n v="54714.5"/>
    <n v="218858"/>
  </r>
  <r>
    <s v="2026-02-01"/>
    <s v="Clínica Vida"/>
    <x v="2"/>
    <x v="3"/>
    <x v="1"/>
    <s v="Foco Cirúrgico LED"/>
    <n v="1"/>
    <n v="29327.69"/>
    <n v="29327.69"/>
  </r>
  <r>
    <s v="2026-02-01"/>
    <s v="Rede Saúde Total"/>
    <x v="3"/>
    <x v="0"/>
    <x v="1"/>
    <s v="Mesa Cirúrgica Eletromecânica"/>
    <n v="4"/>
    <n v="28880.02"/>
    <n v="115520.08"/>
  </r>
  <r>
    <s v="2026-02-02"/>
    <s v="Hospital Regional"/>
    <x v="3"/>
    <x v="0"/>
    <x v="3"/>
    <s v="Ventilador Pulmonar"/>
    <n v="2"/>
    <n v="27687.03"/>
    <n v="55374.06"/>
  </r>
  <r>
    <s v="2026-02-02"/>
    <s v="Hospital Santa Maria"/>
    <x v="4"/>
    <x v="1"/>
    <x v="2"/>
    <s v="Eletrocardiógrafo"/>
    <n v="5"/>
    <n v="51365.47"/>
    <n v="256827.35"/>
  </r>
  <r>
    <s v="2026-02-02"/>
    <s v="Hospital Metropolitano"/>
    <x v="1"/>
    <x v="4"/>
    <x v="3"/>
    <s v="Bomba de Infusão"/>
    <n v="9"/>
    <n v="33959.269999999997"/>
    <n v="305633.43"/>
  </r>
  <r>
    <s v="2026-02-02"/>
    <s v="Centro Médico Avançado"/>
    <x v="3"/>
    <x v="1"/>
    <x v="2"/>
    <s v="Ultrassom Portátil"/>
    <n v="3"/>
    <n v="41887.46"/>
    <n v="125662.38"/>
  </r>
  <r>
    <s v="2026-02-02"/>
    <s v="Hospital Metropolitano"/>
    <x v="2"/>
    <x v="1"/>
    <x v="3"/>
    <s v="Desfibrilador Externo"/>
    <n v="8"/>
    <n v="28608.94"/>
    <n v="228871.52"/>
  </r>
  <r>
    <s v="2026-02-02"/>
    <s v="Hospital São Lucas"/>
    <x v="0"/>
    <x v="2"/>
    <x v="1"/>
    <s v="Mesa Cirúrgica Eletromecânica"/>
    <n v="3"/>
    <n v="28093.94"/>
    <n v="84281.82"/>
  </r>
  <r>
    <s v="2026-02-03"/>
    <s v="Rede Saúde Total"/>
    <x v="2"/>
    <x v="1"/>
    <x v="2"/>
    <s v="Monitor de Pressão Arterial 24h"/>
    <n v="6"/>
    <n v="53318.92"/>
    <n v="319913.52"/>
  </r>
  <r>
    <s v="2026-02-03"/>
    <s v="Hospital Regional"/>
    <x v="1"/>
    <x v="3"/>
    <x v="0"/>
    <s v="Maca de Transporte"/>
    <n v="4"/>
    <n v="10167"/>
    <n v="40668"/>
  </r>
  <r>
    <s v="2026-02-03"/>
    <s v="Centro Médico Avançado"/>
    <x v="2"/>
    <x v="3"/>
    <x v="1"/>
    <s v="Aspirador Cirúrgico de Secreção"/>
    <n v="8"/>
    <n v="30551.88"/>
    <n v="244415.04"/>
  </r>
  <r>
    <s v="2026-02-03"/>
    <s v="Rede Saúde Total"/>
    <x v="4"/>
    <x v="2"/>
    <x v="0"/>
    <s v="Cama Hospitalar Elétrica"/>
    <n v="6"/>
    <n v="9698.6200000000008"/>
    <n v="58191.72"/>
  </r>
  <r>
    <s v="2026-02-03"/>
    <s v="Clínica Ortopédica Central"/>
    <x v="1"/>
    <x v="4"/>
    <x v="1"/>
    <s v="Mesa Cirúrgica Eletromecânica"/>
    <n v="8"/>
    <n v="25089.74"/>
    <n v="200717.92"/>
  </r>
  <r>
    <s v="2026-02-03"/>
    <s v="Hospital Regional"/>
    <x v="0"/>
    <x v="4"/>
    <x v="3"/>
    <s v="Monitor Multiparamétrico"/>
    <n v="1"/>
    <n v="34728.01"/>
    <n v="34728.01"/>
  </r>
  <r>
    <s v="2026-02-04"/>
    <s v="Hospital Metropolitano"/>
    <x v="4"/>
    <x v="1"/>
    <x v="2"/>
    <s v="Aparelho de Raio-X Móvel"/>
    <n v="6"/>
    <n v="50255.38"/>
    <n v="301532.28000000003"/>
  </r>
  <r>
    <s v="2026-02-04"/>
    <s v="Hospital Metropolitano"/>
    <x v="1"/>
    <x v="1"/>
    <x v="1"/>
    <s v="Bisturi Eletrônico"/>
    <n v="1"/>
    <n v="26047.98"/>
    <n v="26047.98"/>
  </r>
  <r>
    <s v="2026-02-04"/>
    <s v="Hospital Regional"/>
    <x v="0"/>
    <x v="1"/>
    <x v="3"/>
    <s v="Bomba de Infusão"/>
    <n v="1"/>
    <n v="38465.980000000003"/>
    <n v="38465.980000000003"/>
  </r>
  <r>
    <s v="2026-02-04"/>
    <s v="Hospital Metropolitano"/>
    <x v="4"/>
    <x v="4"/>
    <x v="2"/>
    <s v="Monitor de Pressão Arterial 24h"/>
    <n v="8"/>
    <n v="41759.94"/>
    <n v="334079.52"/>
  </r>
  <r>
    <s v="2026-02-04"/>
    <s v="Hospital Santa Maria"/>
    <x v="4"/>
    <x v="0"/>
    <x v="2"/>
    <s v="Ultrassom Portátil"/>
    <n v="7"/>
    <n v="43892.59"/>
    <n v="307248.13"/>
  </r>
  <r>
    <s v="2026-02-04"/>
    <s v="Hospital Regional"/>
    <x v="1"/>
    <x v="3"/>
    <x v="1"/>
    <s v="Bisturi Eletrônico"/>
    <n v="3"/>
    <n v="30750.240000000002"/>
    <n v="92250.72"/>
  </r>
  <r>
    <s v="2026-02-05"/>
    <s v="Rede Saúde Total"/>
    <x v="3"/>
    <x v="0"/>
    <x v="2"/>
    <s v="Aparelho de Raio-X Móvel"/>
    <n v="6"/>
    <n v="49740.3"/>
    <n v="298441.8"/>
  </r>
  <r>
    <s v="2026-02-05"/>
    <s v="Hospital Regional"/>
    <x v="4"/>
    <x v="0"/>
    <x v="1"/>
    <s v="Bisturi Eletrônico"/>
    <n v="9"/>
    <n v="31633.11"/>
    <n v="284697.99"/>
  </r>
  <r>
    <s v="2026-02-05"/>
    <s v="Centro Médico Avançado"/>
    <x v="4"/>
    <x v="4"/>
    <x v="2"/>
    <s v="Ultrassom Portátil"/>
    <n v="7"/>
    <n v="40266.21"/>
    <n v="281863.46999999997"/>
  </r>
  <r>
    <s v="2026-02-05"/>
    <s v="Hospital Metropolitano"/>
    <x v="0"/>
    <x v="0"/>
    <x v="0"/>
    <s v="Carro de Emergência (Crash Cart)"/>
    <n v="3"/>
    <n v="10113.18"/>
    <n v="30339.54"/>
  </r>
  <r>
    <s v="2026-02-05"/>
    <s v="Hospital Santa Maria"/>
    <x v="2"/>
    <x v="2"/>
    <x v="3"/>
    <s v="Monitor Multiparamétrico"/>
    <n v="6"/>
    <n v="34020.44"/>
    <n v="204122.64"/>
  </r>
  <r>
    <s v="2026-02-05"/>
    <s v="Hospital Santa Maria"/>
    <x v="1"/>
    <x v="1"/>
    <x v="0"/>
    <s v="Poltrona de Coleta"/>
    <n v="4"/>
    <n v="8827.49"/>
    <n v="35309.96"/>
  </r>
  <r>
    <s v="2026-02-05"/>
    <s v="Clínica Ortopédica Central"/>
    <x v="1"/>
    <x v="2"/>
    <x v="1"/>
    <s v="Mesa Cirúrgica Eletromecânica"/>
    <n v="3"/>
    <n v="34788.29"/>
    <n v="104364.87"/>
  </r>
  <r>
    <s v="2026-02-06"/>
    <s v="Rede Saúde Total"/>
    <x v="3"/>
    <x v="3"/>
    <x v="0"/>
    <s v="Cama Hospitalar Elétrica"/>
    <n v="9"/>
    <n v="9742.2900000000009"/>
    <n v="87680.61"/>
  </r>
  <r>
    <s v="2026-02-06"/>
    <s v="Clínica Vida"/>
    <x v="3"/>
    <x v="1"/>
    <x v="1"/>
    <s v="Aspirador Cirúrgico de Secreção"/>
    <n v="2"/>
    <n v="25121.67"/>
    <n v="50243.34"/>
  </r>
  <r>
    <s v="2026-02-06"/>
    <s v="Clínica Vida"/>
    <x v="1"/>
    <x v="0"/>
    <x v="2"/>
    <s v="Eletrocardiógrafo"/>
    <n v="1"/>
    <n v="51867.71"/>
    <n v="51867.71"/>
  </r>
  <r>
    <s v="2026-02-06"/>
    <s v="Hospital Regional"/>
    <x v="3"/>
    <x v="3"/>
    <x v="2"/>
    <s v="Eletrocardiógrafo"/>
    <n v="2"/>
    <n v="39964.480000000003"/>
    <n v="79928.960000000006"/>
  </r>
  <r>
    <s v="2026-02-06"/>
    <s v="Clínica Ortopédica Central"/>
    <x v="0"/>
    <x v="1"/>
    <x v="1"/>
    <s v="Bisturi Eletrônico"/>
    <n v="7"/>
    <n v="24107.67"/>
    <n v="168753.69"/>
  </r>
  <r>
    <s v="2026-02-06"/>
    <s v="Hospital São Lucas"/>
    <x v="1"/>
    <x v="0"/>
    <x v="0"/>
    <s v="Poltrona de Coleta"/>
    <n v="1"/>
    <n v="8597.33"/>
    <n v="8597.33"/>
  </r>
  <r>
    <s v="2026-02-07"/>
    <s v="Hospital Regional"/>
    <x v="3"/>
    <x v="2"/>
    <x v="2"/>
    <s v="Aparelho de Raio-X Móvel"/>
    <n v="6"/>
    <n v="56134.41"/>
    <n v="336806.46"/>
  </r>
  <r>
    <s v="2026-02-07"/>
    <s v="Clínica Ortopédica Central"/>
    <x v="1"/>
    <x v="1"/>
    <x v="3"/>
    <s v="Desfibrilador Externo"/>
    <n v="7"/>
    <n v="29438.51"/>
    <n v="206069.57"/>
  </r>
  <r>
    <s v="2026-02-07"/>
    <s v="Rede Saúde Total"/>
    <x v="2"/>
    <x v="0"/>
    <x v="2"/>
    <s v="Monitor de Pressão Arterial 24h"/>
    <n v="9"/>
    <n v="50357.599999999999"/>
    <n v="453218.4"/>
  </r>
  <r>
    <s v="2026-02-07"/>
    <s v="Rede Saúde Total"/>
    <x v="4"/>
    <x v="2"/>
    <x v="3"/>
    <s v="Ventilador Pulmonar"/>
    <n v="8"/>
    <n v="29419.47"/>
    <n v="235355.76"/>
  </r>
  <r>
    <s v="2026-02-07"/>
    <s v="Rede Saúde Total"/>
    <x v="1"/>
    <x v="3"/>
    <x v="0"/>
    <s v="Poltrona de Coleta"/>
    <n v="6"/>
    <n v="9689.2800000000007"/>
    <n v="58135.68"/>
  </r>
  <r>
    <s v="2026-02-07"/>
    <s v="Rede Saúde Total"/>
    <x v="4"/>
    <x v="3"/>
    <x v="3"/>
    <s v="Bomba de Infusão"/>
    <n v="3"/>
    <n v="33668.53"/>
    <n v="101005.59"/>
  </r>
  <r>
    <s v="2026-02-08"/>
    <s v="Rede Saúde Total"/>
    <x v="3"/>
    <x v="3"/>
    <x v="3"/>
    <s v="Monitor Multiparamétrico"/>
    <n v="8"/>
    <n v="35903.64"/>
    <n v="287229.12"/>
  </r>
  <r>
    <s v="2026-02-08"/>
    <s v="Clínica Ortopédica Central"/>
    <x v="4"/>
    <x v="3"/>
    <x v="3"/>
    <s v="Monitor Multiparamétrico"/>
    <n v="7"/>
    <n v="29796.78"/>
    <n v="208577.46"/>
  </r>
  <r>
    <s v="2026-02-08"/>
    <s v="Clínica Ortopédica Central"/>
    <x v="1"/>
    <x v="4"/>
    <x v="3"/>
    <s v="Monitor Multiparamétrico"/>
    <n v="3"/>
    <n v="36744.04"/>
    <n v="110232.12"/>
  </r>
  <r>
    <s v="2026-02-08"/>
    <s v="Hospital Santa Maria"/>
    <x v="2"/>
    <x v="1"/>
    <x v="2"/>
    <s v="Eletrocardiógrafo"/>
    <n v="9"/>
    <n v="56171.14"/>
    <n v="505540.26"/>
  </r>
  <r>
    <s v="2026-02-08"/>
    <s v="Centro Médico Avançado"/>
    <x v="3"/>
    <x v="1"/>
    <x v="3"/>
    <s v="Bomba de Infusão"/>
    <n v="2"/>
    <n v="35720.33"/>
    <n v="71440.66"/>
  </r>
  <r>
    <s v="2026-02-08"/>
    <s v="Clínica Vida"/>
    <x v="1"/>
    <x v="4"/>
    <x v="2"/>
    <s v="Eletrocardiógrafo"/>
    <n v="3"/>
    <n v="47132.639999999999"/>
    <n v="141397.92000000001"/>
  </r>
  <r>
    <s v="2026-02-09"/>
    <s v="Hospital Metropolitano"/>
    <x v="3"/>
    <x v="0"/>
    <x v="3"/>
    <s v="Bomba de Infusão"/>
    <n v="2"/>
    <n v="39016.629999999997"/>
    <n v="78033.259999999995"/>
  </r>
  <r>
    <s v="2026-02-09"/>
    <s v="Rede Saúde Total"/>
    <x v="0"/>
    <x v="0"/>
    <x v="1"/>
    <s v="Bisturi Eletrônico"/>
    <n v="1"/>
    <n v="23977.54"/>
    <n v="23977.54"/>
  </r>
  <r>
    <s v="2026-02-09"/>
    <s v="Hospital São Lucas"/>
    <x v="4"/>
    <x v="3"/>
    <x v="0"/>
    <s v="Poltrona de Coleta"/>
    <n v="4"/>
    <n v="9706.74"/>
    <n v="38826.959999999999"/>
  </r>
  <r>
    <s v="2026-02-09"/>
    <s v="Hospital Metropolitano"/>
    <x v="0"/>
    <x v="2"/>
    <x v="3"/>
    <s v="Bomba de Infusão"/>
    <n v="5"/>
    <n v="38575.96"/>
    <n v="192879.8"/>
  </r>
  <r>
    <s v="2026-02-09"/>
    <s v="Clínica Ortopédica Central"/>
    <x v="1"/>
    <x v="0"/>
    <x v="1"/>
    <s v="Bisturi Eletrônico"/>
    <n v="6"/>
    <n v="24490.76"/>
    <n v="146944.56"/>
  </r>
  <r>
    <s v="2026-02-09"/>
    <s v="Hospital São Lucas"/>
    <x v="2"/>
    <x v="2"/>
    <x v="3"/>
    <s v="Bomba de Infusão"/>
    <n v="5"/>
    <n v="32960.82"/>
    <n v="164804.1"/>
  </r>
  <r>
    <s v="2026-02-10"/>
    <s v="Hospital São Lucas"/>
    <x v="3"/>
    <x v="1"/>
    <x v="3"/>
    <s v="Bomba de Infusão"/>
    <n v="1"/>
    <n v="29820.41"/>
    <n v="29820.41"/>
  </r>
  <r>
    <s v="2026-02-10"/>
    <s v="Hospital São Lucas"/>
    <x v="4"/>
    <x v="2"/>
    <x v="3"/>
    <s v="Monitor Multiparamétrico"/>
    <n v="3"/>
    <n v="34451.43"/>
    <n v="103354.29"/>
  </r>
  <r>
    <s v="2026-02-10"/>
    <s v="Hospital Santa Maria"/>
    <x v="3"/>
    <x v="1"/>
    <x v="1"/>
    <s v="Bisturi Eletrônico"/>
    <n v="1"/>
    <n v="31074.880000000001"/>
    <n v="31074.880000000001"/>
  </r>
  <r>
    <s v="2026-02-10"/>
    <s v="Clínica Ortopédica Central"/>
    <x v="1"/>
    <x v="4"/>
    <x v="0"/>
    <s v="Poltrona de Coleta"/>
    <n v="5"/>
    <n v="8253.92"/>
    <n v="41269.599999999999"/>
  </r>
  <r>
    <s v="2026-02-10"/>
    <s v="Hospital São Lucas"/>
    <x v="3"/>
    <x v="4"/>
    <x v="1"/>
    <s v="Aspirador Cirúrgico de Secreção"/>
    <n v="5"/>
    <n v="28951.79"/>
    <n v="144758.95000000001"/>
  </r>
  <r>
    <s v="2026-02-10"/>
    <s v="Rede Saúde Total"/>
    <x v="4"/>
    <x v="3"/>
    <x v="0"/>
    <s v="Poltrona de Coleta"/>
    <n v="6"/>
    <n v="8174.75"/>
    <n v="49048.5"/>
  </r>
  <r>
    <s v="2026-02-11"/>
    <s v="Hospital Regional"/>
    <x v="1"/>
    <x v="0"/>
    <x v="3"/>
    <s v="Ventilador Pulmonar"/>
    <n v="8"/>
    <n v="31928.21"/>
    <n v="255425.68"/>
  </r>
  <r>
    <s v="2026-02-11"/>
    <s v="Hospital São Lucas"/>
    <x v="3"/>
    <x v="3"/>
    <x v="2"/>
    <s v="Aparelho de Raio-X Móvel"/>
    <n v="1"/>
    <n v="41121.72"/>
    <n v="41121.72"/>
  </r>
  <r>
    <s v="2026-02-11"/>
    <s v="Hospital Santa Maria"/>
    <x v="2"/>
    <x v="1"/>
    <x v="3"/>
    <s v="Bomba de Infusão"/>
    <n v="4"/>
    <n v="38535.160000000003"/>
    <n v="154140.64000000001"/>
  </r>
  <r>
    <s v="2026-02-11"/>
    <s v="Hospital Metropolitano"/>
    <x v="1"/>
    <x v="3"/>
    <x v="0"/>
    <s v="Cama Hospitalar Elétrica"/>
    <n v="1"/>
    <n v="7259.04"/>
    <n v="7259.04"/>
  </r>
  <r>
    <s v="2026-02-11"/>
    <s v="Clínica Ortopédica Central"/>
    <x v="1"/>
    <x v="2"/>
    <x v="1"/>
    <s v="Bisturi Eletrônico"/>
    <n v="9"/>
    <n v="33682.980000000003"/>
    <n v="303146.82"/>
  </r>
  <r>
    <s v="2026-02-11"/>
    <s v="Centro Médico Avançado"/>
    <x v="2"/>
    <x v="1"/>
    <x v="3"/>
    <s v="Ventilador Pulmonar"/>
    <n v="7"/>
    <n v="34517.49"/>
    <n v="241622.43"/>
  </r>
  <r>
    <s v="2026-02-11"/>
    <s v="Hospital Santa Maria"/>
    <x v="0"/>
    <x v="4"/>
    <x v="1"/>
    <s v="Foco Cirúrgico LED"/>
    <n v="7"/>
    <n v="27514.57"/>
    <n v="192601.99"/>
  </r>
  <r>
    <s v="2026-02-12"/>
    <s v="Hospital São Lucas"/>
    <x v="4"/>
    <x v="0"/>
    <x v="1"/>
    <s v="Aspirador Cirúrgico de Secreção"/>
    <n v="5"/>
    <n v="31898.240000000002"/>
    <n v="159491.20000000001"/>
  </r>
  <r>
    <s v="2026-02-12"/>
    <s v="Clínica Ortopédica Central"/>
    <x v="0"/>
    <x v="1"/>
    <x v="1"/>
    <s v="Aspirador Cirúrgico de Secreção"/>
    <n v="7"/>
    <n v="29486.82"/>
    <n v="206407.74"/>
  </r>
  <r>
    <s v="2026-02-12"/>
    <s v="Hospital Regional"/>
    <x v="3"/>
    <x v="1"/>
    <x v="3"/>
    <s v="Ventilador Pulmonar"/>
    <n v="2"/>
    <n v="33588.589999999997"/>
    <n v="67177.179999999993"/>
  </r>
  <r>
    <s v="2026-02-12"/>
    <s v="Hospital São Lucas"/>
    <x v="2"/>
    <x v="2"/>
    <x v="1"/>
    <s v="Aspirador Cirúrgico de Secreção"/>
    <n v="4"/>
    <n v="25033.59"/>
    <n v="100134.36"/>
  </r>
  <r>
    <s v="2026-02-12"/>
    <s v="Hospital Santa Maria"/>
    <x v="0"/>
    <x v="0"/>
    <x v="1"/>
    <s v="Foco Cirúrgico LED"/>
    <n v="7"/>
    <n v="28162.58"/>
    <n v="197138.06"/>
  </r>
  <r>
    <s v="2026-02-12"/>
    <s v="Clínica Vida"/>
    <x v="1"/>
    <x v="4"/>
    <x v="3"/>
    <s v="Monitor Multiparamétrico"/>
    <n v="3"/>
    <n v="30285.62"/>
    <n v="90856.86"/>
  </r>
  <r>
    <s v="2026-02-13"/>
    <s v="Rede Saúde Total"/>
    <x v="3"/>
    <x v="1"/>
    <x v="1"/>
    <s v="Aspirador Cirúrgico de Secreção"/>
    <n v="2"/>
    <n v="23975.79"/>
    <n v="47951.58"/>
  </r>
  <r>
    <s v="2026-02-13"/>
    <s v="Centro Médico Avançado"/>
    <x v="3"/>
    <x v="1"/>
    <x v="3"/>
    <s v="Desfibrilador Externo"/>
    <n v="2"/>
    <n v="31809.279999999999"/>
    <n v="63618.559999999998"/>
  </r>
  <r>
    <s v="2026-02-13"/>
    <s v="Hospital Metropolitano"/>
    <x v="0"/>
    <x v="2"/>
    <x v="0"/>
    <s v="Poltrona de Coleta"/>
    <n v="1"/>
    <n v="7530.4"/>
    <n v="7530.4"/>
  </r>
  <r>
    <s v="2026-02-13"/>
    <s v="Hospital Santa Maria"/>
    <x v="0"/>
    <x v="3"/>
    <x v="0"/>
    <s v="Maca de Transporte"/>
    <n v="5"/>
    <n v="8098.22"/>
    <n v="40491.1"/>
  </r>
  <r>
    <s v="2026-02-13"/>
    <s v="Clínica Ortopédica Central"/>
    <x v="2"/>
    <x v="4"/>
    <x v="0"/>
    <s v="Cama Hospitalar Elétrica"/>
    <n v="6"/>
    <n v="7539.56"/>
    <n v="45237.36"/>
  </r>
  <r>
    <s v="2026-02-13"/>
    <s v="Centro Médico Avançado"/>
    <x v="4"/>
    <x v="0"/>
    <x v="1"/>
    <s v="Bisturi Eletrônico"/>
    <n v="6"/>
    <n v="24930.55"/>
    <n v="149583.29999999999"/>
  </r>
  <r>
    <s v="2026-02-14"/>
    <s v="Centro Médico Avançado"/>
    <x v="0"/>
    <x v="1"/>
    <x v="2"/>
    <s v="Monitor de Pressão Arterial 24h"/>
    <n v="9"/>
    <n v="41832.199999999997"/>
    <n v="376489.8"/>
  </r>
  <r>
    <s v="2026-02-14"/>
    <s v="Centro Médico Avançado"/>
    <x v="0"/>
    <x v="1"/>
    <x v="2"/>
    <s v="Ultrassom Portátil"/>
    <n v="4"/>
    <n v="56247.29"/>
    <n v="224989.16"/>
  </r>
  <r>
    <s v="2026-02-14"/>
    <s v="Hospital São Lucas"/>
    <x v="1"/>
    <x v="4"/>
    <x v="1"/>
    <s v="Mesa Cirúrgica Eletromecânica"/>
    <n v="1"/>
    <n v="23824.46"/>
    <n v="23824.46"/>
  </r>
  <r>
    <s v="2026-02-14"/>
    <s v="Rede Saúde Total"/>
    <x v="3"/>
    <x v="3"/>
    <x v="2"/>
    <s v="Eletrocardiógrafo"/>
    <n v="6"/>
    <n v="49746.11"/>
    <n v="298476.65999999997"/>
  </r>
  <r>
    <s v="2026-02-14"/>
    <s v="Hospital São Lucas"/>
    <x v="4"/>
    <x v="1"/>
    <x v="3"/>
    <s v="Desfibrilador Externo"/>
    <n v="5"/>
    <n v="29007.919999999998"/>
    <n v="145039.6"/>
  </r>
  <r>
    <s v="2026-02-14"/>
    <s v="Clínica Ortopédica Central"/>
    <x v="1"/>
    <x v="4"/>
    <x v="2"/>
    <s v="Aparelho de Raio-X Móvel"/>
    <n v="6"/>
    <n v="54821.31"/>
    <n v="328927.86"/>
  </r>
  <r>
    <s v="2026-02-15"/>
    <s v="Hospital São Lucas"/>
    <x v="2"/>
    <x v="2"/>
    <x v="1"/>
    <s v="Mesa Cirúrgica Eletromecânica"/>
    <n v="3"/>
    <n v="24848.69"/>
    <n v="74546.070000000007"/>
  </r>
  <r>
    <s v="2026-02-15"/>
    <s v="Clínica Vida"/>
    <x v="2"/>
    <x v="3"/>
    <x v="1"/>
    <s v="Bisturi Eletrônico"/>
    <n v="2"/>
    <n v="34496.71"/>
    <n v="68993.42"/>
  </r>
  <r>
    <s v="2026-02-15"/>
    <s v="Rede Saúde Total"/>
    <x v="0"/>
    <x v="0"/>
    <x v="3"/>
    <s v="Ventilador Pulmonar"/>
    <n v="6"/>
    <n v="35019.86"/>
    <n v="210119.16"/>
  </r>
  <r>
    <s v="2026-02-15"/>
    <s v="Rede Saúde Total"/>
    <x v="0"/>
    <x v="1"/>
    <x v="0"/>
    <s v="Poltrona de Coleta"/>
    <n v="1"/>
    <n v="7229.31"/>
    <n v="7229.31"/>
  </r>
  <r>
    <s v="2026-02-15"/>
    <s v="Clínica Ortopédica Central"/>
    <x v="2"/>
    <x v="4"/>
    <x v="1"/>
    <s v="Aspirador Cirúrgico de Secreção"/>
    <n v="7"/>
    <n v="33812.879999999997"/>
    <n v="236690.16"/>
  </r>
  <r>
    <s v="2026-02-15"/>
    <s v="Hospital Metropolitano"/>
    <x v="0"/>
    <x v="2"/>
    <x v="3"/>
    <s v="Ventilador Pulmonar"/>
    <n v="7"/>
    <n v="33877.910000000003"/>
    <n v="237145.37"/>
  </r>
  <r>
    <s v="2026-02-16"/>
    <s v="Clínica Vida"/>
    <x v="4"/>
    <x v="0"/>
    <x v="2"/>
    <s v="Ultrassom Portátil"/>
    <n v="7"/>
    <n v="42978.06"/>
    <n v="300846.42"/>
  </r>
  <r>
    <s v="2026-02-16"/>
    <s v="Hospital Santa Maria"/>
    <x v="0"/>
    <x v="4"/>
    <x v="2"/>
    <s v="Ultrassom Portátil"/>
    <n v="1"/>
    <n v="52061.03"/>
    <n v="52061.03"/>
  </r>
  <r>
    <s v="2026-02-16"/>
    <s v="Hospital São Lucas"/>
    <x v="3"/>
    <x v="4"/>
    <x v="3"/>
    <s v="Bomba de Infusão"/>
    <n v="4"/>
    <n v="39061.32"/>
    <n v="156245.28"/>
  </r>
  <r>
    <s v="2026-02-16"/>
    <s v="Hospital Regional"/>
    <x v="0"/>
    <x v="0"/>
    <x v="3"/>
    <s v="Bomba de Infusão"/>
    <n v="7"/>
    <n v="33391.24"/>
    <n v="233738.68"/>
  </r>
  <r>
    <s v="2026-02-16"/>
    <s v="Hospital São Lucas"/>
    <x v="1"/>
    <x v="2"/>
    <x v="1"/>
    <s v="Aspirador Cirúrgico de Secreção"/>
    <n v="9"/>
    <n v="27334.2"/>
    <n v="246007.8"/>
  </r>
  <r>
    <s v="2026-02-16"/>
    <s v="Centro Médico Avançado"/>
    <x v="4"/>
    <x v="2"/>
    <x v="2"/>
    <s v="Eletrocardiógrafo"/>
    <n v="5"/>
    <n v="52451.01"/>
    <n v="262255.05"/>
  </r>
  <r>
    <s v="2026-02-17"/>
    <s v="Hospital São Lucas"/>
    <x v="1"/>
    <x v="3"/>
    <x v="3"/>
    <s v="Monitor Multiparamétrico"/>
    <n v="2"/>
    <n v="35926.85"/>
    <n v="71853.7"/>
  </r>
  <r>
    <s v="2026-02-17"/>
    <s v="Hospital Santa Maria"/>
    <x v="1"/>
    <x v="1"/>
    <x v="2"/>
    <s v="Monitor de Pressão Arterial 24h"/>
    <n v="7"/>
    <n v="54247.54"/>
    <n v="379732.78"/>
  </r>
  <r>
    <s v="2026-02-17"/>
    <s v="Hospital São Lucas"/>
    <x v="3"/>
    <x v="0"/>
    <x v="3"/>
    <s v="Bomba de Infusão"/>
    <n v="1"/>
    <n v="36064.18"/>
    <n v="36064.18"/>
  </r>
  <r>
    <s v="2026-02-17"/>
    <s v="Clínica Vida"/>
    <x v="4"/>
    <x v="0"/>
    <x v="2"/>
    <s v="Ultrassom Portátil"/>
    <n v="7"/>
    <n v="42633.51"/>
    <n v="298434.57"/>
  </r>
  <r>
    <s v="2026-02-17"/>
    <s v="Clínica Vida"/>
    <x v="4"/>
    <x v="0"/>
    <x v="0"/>
    <s v="Maca de Transporte"/>
    <n v="6"/>
    <n v="10392.64"/>
    <n v="62355.839999999997"/>
  </r>
  <r>
    <s v="2026-02-17"/>
    <s v="Rede Saúde Total"/>
    <x v="4"/>
    <x v="2"/>
    <x v="1"/>
    <s v="Foco Cirúrgico LED"/>
    <n v="7"/>
    <n v="24974.16"/>
    <n v="174819.12"/>
  </r>
  <r>
    <s v="2026-02-17"/>
    <s v="Clínica Ortopédica Central"/>
    <x v="4"/>
    <x v="1"/>
    <x v="2"/>
    <s v="Monitor de Pressão Arterial 24h"/>
    <n v="3"/>
    <n v="43072.97"/>
    <n v="129218.91"/>
  </r>
  <r>
    <s v="2026-02-18"/>
    <s v="Hospital Metropolitano"/>
    <x v="4"/>
    <x v="3"/>
    <x v="0"/>
    <s v="Cama Hospitalar Elétrica"/>
    <n v="3"/>
    <n v="8993.66"/>
    <n v="26980.98"/>
  </r>
  <r>
    <s v="2026-02-18"/>
    <s v="Hospital Regional"/>
    <x v="3"/>
    <x v="4"/>
    <x v="2"/>
    <s v="Eletrocardiógrafo"/>
    <n v="7"/>
    <n v="48433.36"/>
    <n v="339033.52"/>
  </r>
  <r>
    <s v="2026-02-18"/>
    <s v="Centro Médico Avançado"/>
    <x v="0"/>
    <x v="4"/>
    <x v="2"/>
    <s v="Eletrocardiógrafo"/>
    <n v="2"/>
    <n v="38525.589999999997"/>
    <n v="77051.179999999993"/>
  </r>
  <r>
    <s v="2026-02-18"/>
    <s v="Hospital São Lucas"/>
    <x v="1"/>
    <x v="0"/>
    <x v="0"/>
    <s v="Poltrona de Coleta"/>
    <n v="1"/>
    <n v="9878.9500000000007"/>
    <n v="9878.9500000000007"/>
  </r>
  <r>
    <s v="2026-02-18"/>
    <s v="Hospital São Lucas"/>
    <x v="4"/>
    <x v="1"/>
    <x v="2"/>
    <s v="Ultrassom Portátil"/>
    <n v="9"/>
    <n v="44758.93"/>
    <n v="402830.37"/>
  </r>
  <r>
    <s v="2026-02-18"/>
    <s v="Hospital Santa Maria"/>
    <x v="0"/>
    <x v="2"/>
    <x v="2"/>
    <s v="Monitor de Pressão Arterial 24h"/>
    <n v="9"/>
    <n v="45565.53"/>
    <n v="410089.77"/>
  </r>
  <r>
    <s v="2026-02-19"/>
    <s v="Clínica Ortopédica Central"/>
    <x v="0"/>
    <x v="1"/>
    <x v="1"/>
    <s v="Foco Cirúrgico LED"/>
    <n v="7"/>
    <n v="32864.94"/>
    <n v="230054.58"/>
  </r>
  <r>
    <s v="2026-02-19"/>
    <s v="Clínica Vida"/>
    <x v="1"/>
    <x v="1"/>
    <x v="0"/>
    <s v="Maca de Transporte"/>
    <n v="7"/>
    <n v="8514.56"/>
    <n v="59601.919999999998"/>
  </r>
  <r>
    <s v="2026-02-19"/>
    <s v="Hospital Regional"/>
    <x v="3"/>
    <x v="2"/>
    <x v="0"/>
    <s v="Carro de Emergência (Crash Cart)"/>
    <n v="3"/>
    <n v="7385.56"/>
    <n v="22156.68"/>
  </r>
  <r>
    <s v="2026-02-19"/>
    <s v="Rede Saúde Total"/>
    <x v="2"/>
    <x v="0"/>
    <x v="3"/>
    <s v="Desfibrilador Externo"/>
    <n v="2"/>
    <n v="29458.43"/>
    <n v="58916.86"/>
  </r>
  <r>
    <s v="2026-02-19"/>
    <s v="Clínica Vida"/>
    <x v="2"/>
    <x v="1"/>
    <x v="2"/>
    <s v="Aparelho de Raio-X Móvel"/>
    <n v="7"/>
    <n v="55456.26"/>
    <n v="388193.82"/>
  </r>
  <r>
    <s v="2026-02-19"/>
    <s v="Centro Médico Avançado"/>
    <x v="0"/>
    <x v="4"/>
    <x v="1"/>
    <s v="Mesa Cirúrgica Eletromecânica"/>
    <n v="9"/>
    <n v="24588.54"/>
    <n v="221296.86"/>
  </r>
  <r>
    <s v="2026-02-20"/>
    <s v="Clínica Ortopédica Central"/>
    <x v="1"/>
    <x v="2"/>
    <x v="2"/>
    <s v="Monitor de Pressão Arterial 24h"/>
    <n v="1"/>
    <n v="44638.76"/>
    <n v="44638.76"/>
  </r>
  <r>
    <s v="2026-02-20"/>
    <s v="Centro Médico Avançado"/>
    <x v="2"/>
    <x v="3"/>
    <x v="2"/>
    <s v="Monitor de Pressão Arterial 24h"/>
    <n v="4"/>
    <n v="47307.23"/>
    <n v="189228.92"/>
  </r>
  <r>
    <s v="2026-02-20"/>
    <s v="Hospital Metropolitano"/>
    <x v="0"/>
    <x v="0"/>
    <x v="3"/>
    <s v="Monitor Multiparamétrico"/>
    <n v="6"/>
    <n v="33513.99"/>
    <n v="201083.94"/>
  </r>
  <r>
    <s v="2026-02-20"/>
    <s v="Rede Saúde Total"/>
    <x v="3"/>
    <x v="2"/>
    <x v="2"/>
    <s v="Ultrassom Portátil"/>
    <n v="7"/>
    <n v="38321.279999999999"/>
    <n v="268248.96000000002"/>
  </r>
  <r>
    <s v="2026-02-20"/>
    <s v="Hospital Metropolitano"/>
    <x v="2"/>
    <x v="3"/>
    <x v="1"/>
    <s v="Mesa Cirúrgica Eletromecânica"/>
    <n v="7"/>
    <n v="29413.02"/>
    <n v="205891.14"/>
  </r>
  <r>
    <s v="2026-02-20"/>
    <s v="Hospital Santa Maria"/>
    <x v="0"/>
    <x v="3"/>
    <x v="1"/>
    <s v="Aspirador Cirúrgico de Secreção"/>
    <n v="2"/>
    <n v="28098.25"/>
    <n v="56196.5"/>
  </r>
  <r>
    <s v="2026-02-21"/>
    <s v="Centro Médico Avançado"/>
    <x v="0"/>
    <x v="1"/>
    <x v="3"/>
    <s v="Monitor Multiparamétrico"/>
    <n v="4"/>
    <n v="39642.620000000003"/>
    <n v="158570.48000000001"/>
  </r>
  <r>
    <s v="2026-02-21"/>
    <s v="Hospital Santa Maria"/>
    <x v="4"/>
    <x v="1"/>
    <x v="2"/>
    <s v="Ultrassom Portátil"/>
    <n v="5"/>
    <n v="41114.86"/>
    <n v="205574.3"/>
  </r>
  <r>
    <s v="2026-02-21"/>
    <s v="Hospital São Lucas"/>
    <x v="3"/>
    <x v="1"/>
    <x v="1"/>
    <s v="Bisturi Eletrônico"/>
    <n v="1"/>
    <n v="27766.53"/>
    <n v="27766.53"/>
  </r>
  <r>
    <s v="2026-02-21"/>
    <s v="Hospital Metropolitano"/>
    <x v="4"/>
    <x v="2"/>
    <x v="2"/>
    <s v="Eletrocardiógrafo"/>
    <n v="1"/>
    <n v="45800.67"/>
    <n v="45800.67"/>
  </r>
  <r>
    <s v="2026-02-21"/>
    <s v="Clínica Ortopédica Central"/>
    <x v="1"/>
    <x v="2"/>
    <x v="2"/>
    <s v="Aparelho de Raio-X Móvel"/>
    <n v="3"/>
    <n v="45282.48"/>
    <n v="135847.44"/>
  </r>
  <r>
    <s v="2026-02-21"/>
    <s v="Centro Médico Avançado"/>
    <x v="4"/>
    <x v="0"/>
    <x v="2"/>
    <s v="Ultrassom Portátil"/>
    <n v="3"/>
    <n v="50234.95"/>
    <n v="150704.85"/>
  </r>
  <r>
    <s v="2026-02-22"/>
    <s v="Hospital Regional"/>
    <x v="4"/>
    <x v="1"/>
    <x v="3"/>
    <s v="Bomba de Infusão"/>
    <n v="8"/>
    <n v="29958.560000000001"/>
    <n v="239668.48000000001"/>
  </r>
  <r>
    <s v="2026-02-22"/>
    <s v="Rede Saúde Total"/>
    <x v="2"/>
    <x v="3"/>
    <x v="2"/>
    <s v="Aparelho de Raio-X Móvel"/>
    <n v="9"/>
    <n v="42229.29"/>
    <n v="380063.61"/>
  </r>
  <r>
    <s v="2026-02-22"/>
    <s v="Clínica Vida"/>
    <x v="0"/>
    <x v="4"/>
    <x v="1"/>
    <s v="Mesa Cirúrgica Eletromecânica"/>
    <n v="1"/>
    <n v="31967.16"/>
    <n v="31967.16"/>
  </r>
  <r>
    <s v="2026-02-22"/>
    <s v="Clínica Ortopédica Central"/>
    <x v="3"/>
    <x v="0"/>
    <x v="2"/>
    <s v="Ultrassom Portátil"/>
    <n v="2"/>
    <n v="47255.23"/>
    <n v="94510.46"/>
  </r>
  <r>
    <s v="2026-02-22"/>
    <s v="Clínica Ortopédica Central"/>
    <x v="4"/>
    <x v="2"/>
    <x v="1"/>
    <s v="Aspirador Cirúrgico de Secreção"/>
    <n v="2"/>
    <n v="28449.74"/>
    <n v="56899.48"/>
  </r>
  <r>
    <s v="2026-02-22"/>
    <s v="Hospital Santa Maria"/>
    <x v="3"/>
    <x v="0"/>
    <x v="2"/>
    <s v="Aparelho de Raio-X Móvel"/>
    <n v="4"/>
    <n v="41295.65"/>
    <n v="165182.6"/>
  </r>
  <r>
    <s v="2026-02-23"/>
    <s v="Hospital Metropolitano"/>
    <x v="4"/>
    <x v="0"/>
    <x v="1"/>
    <s v="Aspirador Cirúrgico de Secreção"/>
    <n v="2"/>
    <n v="25900.3"/>
    <n v="51800.6"/>
  </r>
  <r>
    <s v="2026-02-23"/>
    <s v="Centro Médico Avançado"/>
    <x v="1"/>
    <x v="0"/>
    <x v="1"/>
    <s v="Aspirador Cirúrgico de Secreção"/>
    <n v="7"/>
    <n v="23918.18"/>
    <n v="167427.26"/>
  </r>
  <r>
    <s v="2026-02-23"/>
    <s v="Centro Médico Avançado"/>
    <x v="4"/>
    <x v="0"/>
    <x v="2"/>
    <s v="Eletrocardiógrafo"/>
    <n v="9"/>
    <n v="39895.67"/>
    <n v="359061.03"/>
  </r>
  <r>
    <s v="2026-02-23"/>
    <s v="Hospital São Lucas"/>
    <x v="2"/>
    <x v="4"/>
    <x v="2"/>
    <s v="Monitor de Pressão Arterial 24h"/>
    <n v="7"/>
    <n v="48273.1"/>
    <n v="337911.7"/>
  </r>
  <r>
    <s v="2026-02-23"/>
    <s v="Hospital São Lucas"/>
    <x v="0"/>
    <x v="1"/>
    <x v="1"/>
    <s v="Foco Cirúrgico LED"/>
    <n v="6"/>
    <n v="33788.980000000003"/>
    <n v="202733.88"/>
  </r>
  <r>
    <s v="2026-02-23"/>
    <s v="Rede Saúde Total"/>
    <x v="1"/>
    <x v="3"/>
    <x v="0"/>
    <s v="Carro de Emergência (Crash Cart)"/>
    <n v="1"/>
    <n v="8201.36"/>
    <n v="8201.36"/>
  </r>
  <r>
    <s v="2026-02-23"/>
    <s v="Hospital Santa Maria"/>
    <x v="4"/>
    <x v="0"/>
    <x v="3"/>
    <s v="Bomba de Infusão"/>
    <n v="9"/>
    <n v="31395.16"/>
    <n v="282556.44"/>
  </r>
  <r>
    <s v="2026-02-24"/>
    <s v="Clínica Ortopédica Central"/>
    <x v="3"/>
    <x v="0"/>
    <x v="0"/>
    <s v="Carro de Emergência (Crash Cart)"/>
    <n v="5"/>
    <n v="7618.06"/>
    <n v="38090.300000000003"/>
  </r>
  <r>
    <s v="2026-02-24"/>
    <s v="Centro Médico Avançado"/>
    <x v="1"/>
    <x v="0"/>
    <x v="0"/>
    <s v="Maca de Transporte"/>
    <n v="5"/>
    <n v="8546.35"/>
    <n v="42731.75"/>
  </r>
  <r>
    <s v="2026-02-24"/>
    <s v="Hospital Regional"/>
    <x v="1"/>
    <x v="1"/>
    <x v="2"/>
    <s v="Aparelho de Raio-X Móvel"/>
    <n v="6"/>
    <n v="38919.99"/>
    <n v="233519.94"/>
  </r>
  <r>
    <s v="2026-02-24"/>
    <s v="Hospital Santa Maria"/>
    <x v="4"/>
    <x v="2"/>
    <x v="3"/>
    <s v="Desfibrilador Externo"/>
    <n v="9"/>
    <n v="38945.29"/>
    <n v="350507.61"/>
  </r>
  <r>
    <s v="2026-02-24"/>
    <s v="Rede Saúde Total"/>
    <x v="1"/>
    <x v="2"/>
    <x v="0"/>
    <s v="Carro de Emergência (Crash Cart)"/>
    <n v="8"/>
    <n v="9513.58"/>
    <n v="76108.639999999999"/>
  </r>
  <r>
    <s v="2026-02-24"/>
    <s v="Rede Saúde Total"/>
    <x v="3"/>
    <x v="4"/>
    <x v="2"/>
    <s v="Eletrocardiógrafo"/>
    <n v="8"/>
    <n v="56083.48"/>
    <n v="448667.84"/>
  </r>
  <r>
    <s v="2026-02-25"/>
    <s v="Hospital Santa Maria"/>
    <x v="1"/>
    <x v="2"/>
    <x v="0"/>
    <s v="Cama Hospitalar Elétrica"/>
    <n v="8"/>
    <n v="10226.6"/>
    <n v="81812.800000000003"/>
  </r>
  <r>
    <s v="2026-02-25"/>
    <s v="Rede Saúde Total"/>
    <x v="3"/>
    <x v="0"/>
    <x v="0"/>
    <s v="Poltrona de Coleta"/>
    <n v="1"/>
    <n v="8833.17"/>
    <n v="8833.17"/>
  </r>
  <r>
    <s v="2026-02-25"/>
    <s v="Hospital Santa Maria"/>
    <x v="4"/>
    <x v="0"/>
    <x v="2"/>
    <s v="Ultrassom Portátil"/>
    <n v="1"/>
    <n v="47604.33"/>
    <n v="47604.33"/>
  </r>
  <r>
    <s v="2026-02-25"/>
    <s v="Clínica Vida"/>
    <x v="0"/>
    <x v="0"/>
    <x v="2"/>
    <s v="Monitor de Pressão Arterial 24h"/>
    <n v="8"/>
    <n v="41680.370000000003"/>
    <n v="333442.96000000002"/>
  </r>
  <r>
    <s v="2026-02-25"/>
    <s v="Hospital Santa Maria"/>
    <x v="1"/>
    <x v="4"/>
    <x v="2"/>
    <s v="Monitor de Pressão Arterial 24h"/>
    <n v="5"/>
    <n v="46566.71"/>
    <n v="232833.55"/>
  </r>
  <r>
    <s v="2026-02-25"/>
    <s v="Hospital Metropolitano"/>
    <x v="0"/>
    <x v="0"/>
    <x v="3"/>
    <s v="Monitor Multiparamétrico"/>
    <n v="9"/>
    <n v="38758.76"/>
    <n v="348828.84"/>
  </r>
  <r>
    <s v="2026-02-26"/>
    <s v="Hospital Santa Maria"/>
    <x v="3"/>
    <x v="2"/>
    <x v="0"/>
    <s v="Maca de Transporte"/>
    <n v="2"/>
    <n v="7397.9"/>
    <n v="14795.8"/>
  </r>
  <r>
    <s v="2026-02-26"/>
    <s v="Rede Saúde Total"/>
    <x v="1"/>
    <x v="1"/>
    <x v="2"/>
    <s v="Ultrassom Portátil"/>
    <n v="9"/>
    <n v="53794.02"/>
    <n v="484146.18"/>
  </r>
  <r>
    <s v="2026-02-26"/>
    <s v="Centro Médico Avançado"/>
    <x v="2"/>
    <x v="1"/>
    <x v="1"/>
    <s v="Aspirador Cirúrgico de Secreção"/>
    <n v="8"/>
    <n v="27618.62"/>
    <n v="220948.96"/>
  </r>
  <r>
    <s v="2026-02-26"/>
    <s v="Hospital Metropolitano"/>
    <x v="0"/>
    <x v="3"/>
    <x v="0"/>
    <s v="Carro de Emergência (Crash Cart)"/>
    <n v="9"/>
    <n v="10283.34"/>
    <n v="92550.06"/>
  </r>
  <r>
    <s v="2026-02-26"/>
    <s v="Rede Saúde Total"/>
    <x v="1"/>
    <x v="2"/>
    <x v="1"/>
    <s v="Mesa Cirúrgica Eletromecânica"/>
    <n v="4"/>
    <n v="34337.85"/>
    <n v="137351.4"/>
  </r>
  <r>
    <s v="2026-02-26"/>
    <s v="Hospital São Lucas"/>
    <x v="0"/>
    <x v="0"/>
    <x v="3"/>
    <s v="Bomba de Infusão"/>
    <n v="1"/>
    <n v="35787.07"/>
    <n v="35787.07"/>
  </r>
  <r>
    <s v="2026-02-27"/>
    <s v="Hospital São Lucas"/>
    <x v="1"/>
    <x v="1"/>
    <x v="2"/>
    <s v="Ultrassom Portátil"/>
    <n v="1"/>
    <n v="50209.63"/>
    <n v="50209.63"/>
  </r>
  <r>
    <s v="2026-02-27"/>
    <s v="Centro Médico Avançado"/>
    <x v="4"/>
    <x v="2"/>
    <x v="1"/>
    <s v="Mesa Cirúrgica Eletromecânica"/>
    <n v="5"/>
    <n v="28870.85"/>
    <n v="144354.25"/>
  </r>
  <r>
    <s v="2026-02-27"/>
    <s v="Centro Médico Avançado"/>
    <x v="0"/>
    <x v="1"/>
    <x v="3"/>
    <s v="Monitor Multiparamétrico"/>
    <n v="2"/>
    <n v="37894.910000000003"/>
    <n v="75789.820000000007"/>
  </r>
  <r>
    <s v="2026-02-27"/>
    <s v="Hospital Metropolitano"/>
    <x v="2"/>
    <x v="0"/>
    <x v="2"/>
    <s v="Monitor de Pressão Arterial 24h"/>
    <n v="8"/>
    <n v="55559.03"/>
    <n v="444472.24"/>
  </r>
  <r>
    <s v="2026-02-27"/>
    <s v="Clínica Vida"/>
    <x v="2"/>
    <x v="1"/>
    <x v="1"/>
    <s v="Foco Cirúrgico LED"/>
    <n v="5"/>
    <n v="32480.92"/>
    <n v="162404.6"/>
  </r>
  <r>
    <s v="2026-02-27"/>
    <s v="Centro Médico Avançado"/>
    <x v="3"/>
    <x v="3"/>
    <x v="1"/>
    <s v="Aspirador Cirúrgico de Secreção"/>
    <n v="5"/>
    <n v="30765.69"/>
    <n v="153828.45000000001"/>
  </r>
  <r>
    <s v="2026-02-28"/>
    <s v="Hospital São Lucas"/>
    <x v="1"/>
    <x v="3"/>
    <x v="3"/>
    <s v="Monitor Multiparamétrico"/>
    <n v="2"/>
    <n v="34966.949999999997"/>
    <n v="69933.899999999994"/>
  </r>
  <r>
    <s v="2026-02-28"/>
    <s v="Hospital Santa Maria"/>
    <x v="0"/>
    <x v="1"/>
    <x v="2"/>
    <s v="Ultrassom Portátil"/>
    <n v="7"/>
    <n v="53540.46"/>
    <n v="374783.22"/>
  </r>
  <r>
    <s v="2026-02-28"/>
    <s v="Rede Saúde Total"/>
    <x v="3"/>
    <x v="2"/>
    <x v="2"/>
    <s v="Aparelho de Raio-X Móvel"/>
    <n v="8"/>
    <n v="47991.67"/>
    <n v="383933.36"/>
  </r>
  <r>
    <s v="2026-02-28"/>
    <s v="Hospital São Lucas"/>
    <x v="0"/>
    <x v="2"/>
    <x v="1"/>
    <s v="Foco Cirúrgico LED"/>
    <n v="1"/>
    <n v="32803.230000000003"/>
    <n v="32803.230000000003"/>
  </r>
  <r>
    <s v="2026-02-28"/>
    <s v="Hospital São Lucas"/>
    <x v="1"/>
    <x v="2"/>
    <x v="1"/>
    <s v="Mesa Cirúrgica Eletromecânica"/>
    <n v="2"/>
    <n v="29499.51"/>
    <n v="58999.02"/>
  </r>
  <r>
    <s v="2026-02-28"/>
    <s v="Clínica Vida"/>
    <x v="2"/>
    <x v="1"/>
    <x v="1"/>
    <s v="Bisturi Eletrônico"/>
    <n v="4"/>
    <n v="24499.38"/>
    <n v="97997.52"/>
  </r>
  <r>
    <s v="2026-03-01"/>
    <s v="Hospital Metropolitano"/>
    <x v="4"/>
    <x v="2"/>
    <x v="2"/>
    <s v="Eletrocardiógrafo"/>
    <n v="5"/>
    <n v="45161.05"/>
    <n v="225805.25"/>
  </r>
  <r>
    <s v="2026-03-01"/>
    <s v="Hospital Metropolitano"/>
    <x v="2"/>
    <x v="0"/>
    <x v="3"/>
    <s v="Desfibrilador Externo"/>
    <n v="2"/>
    <n v="32888.839999999997"/>
    <n v="65777.679999999993"/>
  </r>
  <r>
    <s v="2026-03-01"/>
    <s v="Clínica Ortopédica Central"/>
    <x v="3"/>
    <x v="3"/>
    <x v="3"/>
    <s v="Bomba de Infusão"/>
    <n v="1"/>
    <n v="29012.7"/>
    <n v="29012.7"/>
  </r>
  <r>
    <s v="2026-03-01"/>
    <s v="Clínica Vida"/>
    <x v="4"/>
    <x v="0"/>
    <x v="2"/>
    <s v="Aparelho de Raio-X Móvel"/>
    <n v="9"/>
    <n v="40094.93"/>
    <n v="360854.37"/>
  </r>
  <r>
    <s v="2026-03-01"/>
    <s v="Hospital Santa Maria"/>
    <x v="3"/>
    <x v="2"/>
    <x v="0"/>
    <s v="Maca de Transporte"/>
    <n v="1"/>
    <n v="9045.58"/>
    <n v="9045.58"/>
  </r>
  <r>
    <s v="2026-03-01"/>
    <s v="Hospital Metropolitano"/>
    <x v="1"/>
    <x v="0"/>
    <x v="3"/>
    <s v="Bomba de Infusão"/>
    <n v="4"/>
    <n v="28289.84"/>
    <n v="113159.36"/>
  </r>
  <r>
    <s v="2026-03-01"/>
    <s v="Rede Saúde Total"/>
    <x v="4"/>
    <x v="2"/>
    <x v="1"/>
    <s v="Aspirador Cirúrgico de Secreção"/>
    <n v="2"/>
    <n v="27192.99"/>
    <n v="54385.98"/>
  </r>
  <r>
    <s v="2026-03-02"/>
    <s v="Centro Médico Avançado"/>
    <x v="3"/>
    <x v="1"/>
    <x v="0"/>
    <s v="Carro de Emergência (Crash Cart)"/>
    <n v="4"/>
    <n v="9756.6299999999992"/>
    <n v="39026.519999999997"/>
  </r>
  <r>
    <s v="2026-03-02"/>
    <s v="Clínica Vida"/>
    <x v="1"/>
    <x v="0"/>
    <x v="0"/>
    <s v="Cama Hospitalar Elétrica"/>
    <n v="8"/>
    <n v="10504.07"/>
    <n v="84032.56"/>
  </r>
  <r>
    <s v="2026-03-02"/>
    <s v="Centro Médico Avançado"/>
    <x v="2"/>
    <x v="1"/>
    <x v="3"/>
    <s v="Ventilador Pulmonar"/>
    <n v="8"/>
    <n v="36388.74"/>
    <n v="291109.92"/>
  </r>
  <r>
    <s v="2026-03-02"/>
    <s v="Hospital São Lucas"/>
    <x v="1"/>
    <x v="1"/>
    <x v="0"/>
    <s v="Cama Hospitalar Elétrica"/>
    <n v="9"/>
    <n v="10599.93"/>
    <n v="95399.37"/>
  </r>
  <r>
    <s v="2026-03-02"/>
    <s v="Rede Saúde Total"/>
    <x v="0"/>
    <x v="4"/>
    <x v="0"/>
    <s v="Carro de Emergência (Crash Cart)"/>
    <n v="5"/>
    <n v="9599.35"/>
    <n v="47996.75"/>
  </r>
  <r>
    <s v="2026-03-02"/>
    <s v="Rede Saúde Total"/>
    <x v="1"/>
    <x v="2"/>
    <x v="3"/>
    <s v="Bomba de Infusão"/>
    <n v="7"/>
    <n v="30960.57"/>
    <n v="216723.99"/>
  </r>
  <r>
    <s v="2026-03-03"/>
    <s v="Hospital São Lucas"/>
    <x v="1"/>
    <x v="3"/>
    <x v="3"/>
    <s v="Bomba de Infusão"/>
    <n v="3"/>
    <n v="35802.269999999997"/>
    <n v="107406.81"/>
  </r>
  <r>
    <s v="2026-03-03"/>
    <s v="Clínica Vida"/>
    <x v="0"/>
    <x v="2"/>
    <x v="0"/>
    <s v="Cama Hospitalar Elétrica"/>
    <n v="4"/>
    <n v="9612.33"/>
    <n v="38449.32"/>
  </r>
  <r>
    <s v="2026-03-03"/>
    <s v="Hospital São Lucas"/>
    <x v="3"/>
    <x v="3"/>
    <x v="1"/>
    <s v="Aspirador Cirúrgico de Secreção"/>
    <n v="9"/>
    <n v="27963.34"/>
    <n v="251670.06"/>
  </r>
  <r>
    <s v="2026-03-03"/>
    <s v="Centro Médico Avançado"/>
    <x v="3"/>
    <x v="2"/>
    <x v="2"/>
    <s v="Aparelho de Raio-X Móvel"/>
    <n v="1"/>
    <n v="38568.85"/>
    <n v="38568.85"/>
  </r>
  <r>
    <s v="2026-03-03"/>
    <s v="Clínica Ortopédica Central"/>
    <x v="1"/>
    <x v="1"/>
    <x v="0"/>
    <s v="Carro de Emergência (Crash Cart)"/>
    <n v="2"/>
    <n v="9615.8799999999992"/>
    <n v="19231.759999999998"/>
  </r>
  <r>
    <s v="2026-03-03"/>
    <s v="Rede Saúde Total"/>
    <x v="0"/>
    <x v="0"/>
    <x v="0"/>
    <s v="Poltrona de Coleta"/>
    <n v="5"/>
    <n v="7298.78"/>
    <n v="36493.9"/>
  </r>
  <r>
    <s v="2026-03-04"/>
    <s v="Hospital Regional"/>
    <x v="0"/>
    <x v="0"/>
    <x v="1"/>
    <s v="Mesa Cirúrgica Eletromecânica"/>
    <n v="3"/>
    <n v="30869.31"/>
    <n v="92607.93"/>
  </r>
  <r>
    <s v="2026-03-04"/>
    <s v="Hospital Regional"/>
    <x v="2"/>
    <x v="4"/>
    <x v="0"/>
    <s v="Maca de Transporte"/>
    <n v="2"/>
    <n v="7781.3"/>
    <n v="15562.6"/>
  </r>
  <r>
    <s v="2026-03-04"/>
    <s v="Centro Médico Avançado"/>
    <x v="3"/>
    <x v="3"/>
    <x v="0"/>
    <s v="Maca de Transporte"/>
    <n v="1"/>
    <n v="9148.0499999999993"/>
    <n v="9148.0499999999993"/>
  </r>
  <r>
    <s v="2026-03-04"/>
    <s v="Hospital Santa Maria"/>
    <x v="4"/>
    <x v="3"/>
    <x v="2"/>
    <s v="Monitor de Pressão Arterial 24h"/>
    <n v="3"/>
    <n v="47320.43"/>
    <n v="141961.29"/>
  </r>
  <r>
    <s v="2026-03-04"/>
    <s v="Hospital Metropolitano"/>
    <x v="3"/>
    <x v="3"/>
    <x v="2"/>
    <s v="Monitor de Pressão Arterial 24h"/>
    <n v="1"/>
    <n v="38493.25"/>
    <n v="38493.25"/>
  </r>
  <r>
    <s v="2026-03-04"/>
    <s v="Hospital São Lucas"/>
    <x v="3"/>
    <x v="1"/>
    <x v="2"/>
    <s v="Ultrassom Portátil"/>
    <n v="1"/>
    <n v="44781.58"/>
    <n v="44781.58"/>
  </r>
  <r>
    <s v="2026-03-05"/>
    <s v="Hospital São Lucas"/>
    <x v="2"/>
    <x v="3"/>
    <x v="3"/>
    <s v="Desfibrilador Externo"/>
    <n v="1"/>
    <n v="34893.97"/>
    <n v="34893.97"/>
  </r>
  <r>
    <s v="2026-03-05"/>
    <s v="Hospital Santa Maria"/>
    <x v="4"/>
    <x v="0"/>
    <x v="3"/>
    <s v="Desfibrilador Externo"/>
    <n v="8"/>
    <n v="38062.160000000003"/>
    <n v="304497.28000000003"/>
  </r>
  <r>
    <s v="2026-03-05"/>
    <s v="Hospital Santa Maria"/>
    <x v="2"/>
    <x v="1"/>
    <x v="2"/>
    <s v="Monitor de Pressão Arterial 24h"/>
    <n v="3"/>
    <n v="54245.56"/>
    <n v="162736.68"/>
  </r>
  <r>
    <s v="2026-03-05"/>
    <s v="Centro Médico Avançado"/>
    <x v="4"/>
    <x v="2"/>
    <x v="2"/>
    <s v="Aparelho de Raio-X Móvel"/>
    <n v="1"/>
    <n v="46959.3"/>
    <n v="46959.3"/>
  </r>
  <r>
    <s v="2026-03-05"/>
    <s v="Centro Médico Avançado"/>
    <x v="1"/>
    <x v="3"/>
    <x v="3"/>
    <s v="Bomba de Infusão"/>
    <n v="7"/>
    <n v="36523.81"/>
    <n v="255666.67"/>
  </r>
  <r>
    <s v="2026-03-05"/>
    <s v="Hospital Santa Maria"/>
    <x v="4"/>
    <x v="3"/>
    <x v="1"/>
    <s v="Foco Cirúrgico LED"/>
    <n v="3"/>
    <n v="27344.29"/>
    <n v="82032.87"/>
  </r>
  <r>
    <s v="2026-03-06"/>
    <s v="Rede Saúde Total"/>
    <x v="2"/>
    <x v="2"/>
    <x v="0"/>
    <s v="Carro de Emergência (Crash Cart)"/>
    <n v="8"/>
    <n v="8388.43"/>
    <n v="67107.44"/>
  </r>
  <r>
    <s v="2026-03-06"/>
    <s v="Centro Médico Avançado"/>
    <x v="3"/>
    <x v="3"/>
    <x v="0"/>
    <s v="Carro de Emergência (Crash Cart)"/>
    <n v="4"/>
    <n v="7886.18"/>
    <n v="31544.720000000001"/>
  </r>
  <r>
    <s v="2026-03-06"/>
    <s v="Clínica Ortopédica Central"/>
    <x v="4"/>
    <x v="2"/>
    <x v="2"/>
    <s v="Monitor de Pressão Arterial 24h"/>
    <n v="4"/>
    <n v="48365.07"/>
    <n v="193460.28"/>
  </r>
  <r>
    <s v="2026-03-06"/>
    <s v="Centro Médico Avançado"/>
    <x v="4"/>
    <x v="1"/>
    <x v="1"/>
    <s v="Foco Cirúrgico LED"/>
    <n v="5"/>
    <n v="27323.119999999999"/>
    <n v="136615.6"/>
  </r>
  <r>
    <s v="2026-03-06"/>
    <s v="Hospital São Lucas"/>
    <x v="0"/>
    <x v="0"/>
    <x v="3"/>
    <s v="Bomba de Infusão"/>
    <n v="6"/>
    <n v="28279.95"/>
    <n v="169679.7"/>
  </r>
  <r>
    <s v="2026-03-06"/>
    <s v="Centro Médico Avançado"/>
    <x v="3"/>
    <x v="2"/>
    <x v="2"/>
    <s v="Eletrocardiógrafo"/>
    <n v="7"/>
    <n v="50580.11"/>
    <n v="354060.77"/>
  </r>
  <r>
    <s v="2026-03-07"/>
    <s v="Rede Saúde Total"/>
    <x v="1"/>
    <x v="4"/>
    <x v="1"/>
    <s v="Foco Cirúrgico LED"/>
    <n v="4"/>
    <n v="31726.84"/>
    <n v="126907.36"/>
  </r>
  <r>
    <s v="2026-03-07"/>
    <s v="Hospital Santa Maria"/>
    <x v="2"/>
    <x v="2"/>
    <x v="1"/>
    <s v="Aspirador Cirúrgico de Secreção"/>
    <n v="8"/>
    <n v="27831.919999999998"/>
    <n v="222655.35999999999"/>
  </r>
  <r>
    <s v="2026-03-07"/>
    <s v="Hospital São Lucas"/>
    <x v="1"/>
    <x v="3"/>
    <x v="1"/>
    <s v="Bisturi Eletrônico"/>
    <n v="6"/>
    <n v="24659.3"/>
    <n v="147955.79999999999"/>
  </r>
  <r>
    <s v="2026-03-07"/>
    <s v="Centro Médico Avançado"/>
    <x v="3"/>
    <x v="1"/>
    <x v="3"/>
    <s v="Monitor Multiparamétrico"/>
    <n v="1"/>
    <n v="32656.61"/>
    <n v="32656.61"/>
  </r>
  <r>
    <s v="2026-03-07"/>
    <s v="Rede Saúde Total"/>
    <x v="4"/>
    <x v="1"/>
    <x v="3"/>
    <s v="Bomba de Infusão"/>
    <n v="1"/>
    <n v="32861.89"/>
    <n v="32861.89"/>
  </r>
  <r>
    <s v="2026-03-07"/>
    <s v="Clínica Ortopédica Central"/>
    <x v="4"/>
    <x v="2"/>
    <x v="0"/>
    <s v="Maca de Transporte"/>
    <n v="9"/>
    <n v="9498.48"/>
    <n v="85486.32"/>
  </r>
  <r>
    <s v="2026-03-07"/>
    <s v="Centro Médico Avançado"/>
    <x v="3"/>
    <x v="0"/>
    <x v="0"/>
    <s v="Poltrona de Coleta"/>
    <n v="6"/>
    <n v="8297.42"/>
    <n v="49784.52"/>
  </r>
  <r>
    <s v="2026-03-08"/>
    <s v="Rede Saúde Total"/>
    <x v="4"/>
    <x v="4"/>
    <x v="1"/>
    <s v="Bisturi Eletrônico"/>
    <n v="8"/>
    <n v="31445.11"/>
    <n v="251560.88"/>
  </r>
  <r>
    <s v="2026-03-08"/>
    <s v="Clínica Ortopédica Central"/>
    <x v="4"/>
    <x v="1"/>
    <x v="1"/>
    <s v="Foco Cirúrgico LED"/>
    <n v="7"/>
    <n v="33560.67"/>
    <n v="234924.69"/>
  </r>
  <r>
    <s v="2026-03-08"/>
    <s v="Hospital Santa Maria"/>
    <x v="4"/>
    <x v="3"/>
    <x v="3"/>
    <s v="Ventilador Pulmonar"/>
    <n v="6"/>
    <n v="30239.82"/>
    <n v="181438.92"/>
  </r>
  <r>
    <s v="2026-03-08"/>
    <s v="Centro Médico Avançado"/>
    <x v="2"/>
    <x v="3"/>
    <x v="0"/>
    <s v="Carro de Emergência (Crash Cart)"/>
    <n v="4"/>
    <n v="10553.33"/>
    <n v="42213.32"/>
  </r>
  <r>
    <s v="2026-03-08"/>
    <s v="Clínica Ortopédica Central"/>
    <x v="2"/>
    <x v="0"/>
    <x v="1"/>
    <s v="Aspirador Cirúrgico de Secreção"/>
    <n v="7"/>
    <n v="28127.32"/>
    <n v="196891.24"/>
  </r>
  <r>
    <s v="2026-03-08"/>
    <s v="Hospital São Lucas"/>
    <x v="0"/>
    <x v="1"/>
    <x v="0"/>
    <s v="Poltrona de Coleta"/>
    <n v="9"/>
    <n v="8133.68"/>
    <n v="73203.12"/>
  </r>
  <r>
    <s v="2026-03-09"/>
    <s v="Hospital Santa Maria"/>
    <x v="1"/>
    <x v="2"/>
    <x v="0"/>
    <s v="Cama Hospitalar Elétrica"/>
    <n v="7"/>
    <n v="8658.14"/>
    <n v="60606.98"/>
  </r>
  <r>
    <s v="2026-03-09"/>
    <s v="Hospital São Lucas"/>
    <x v="3"/>
    <x v="3"/>
    <x v="1"/>
    <s v="Bisturi Eletrônico"/>
    <n v="1"/>
    <n v="24857.25"/>
    <n v="24857.25"/>
  </r>
  <r>
    <s v="2026-03-09"/>
    <s v="Hospital Regional"/>
    <x v="3"/>
    <x v="0"/>
    <x v="3"/>
    <s v="Desfibrilador Externo"/>
    <n v="9"/>
    <n v="28809.040000000001"/>
    <n v="259281.36"/>
  </r>
  <r>
    <s v="2026-03-09"/>
    <s v="Clínica Vida"/>
    <x v="3"/>
    <x v="1"/>
    <x v="1"/>
    <s v="Foco Cirúrgico LED"/>
    <n v="4"/>
    <n v="28441.66"/>
    <n v="113766.64"/>
  </r>
  <r>
    <s v="2026-03-09"/>
    <s v="Centro Médico Avançado"/>
    <x v="0"/>
    <x v="1"/>
    <x v="1"/>
    <s v="Mesa Cirúrgica Eletromecânica"/>
    <n v="3"/>
    <n v="32339.38"/>
    <n v="97018.14"/>
  </r>
  <r>
    <s v="2026-03-09"/>
    <s v="Clínica Ortopédica Central"/>
    <x v="2"/>
    <x v="1"/>
    <x v="0"/>
    <s v="Carro de Emergência (Crash Cart)"/>
    <n v="4"/>
    <n v="10286.06"/>
    <n v="41144.239999999998"/>
  </r>
  <r>
    <s v="2026-03-10"/>
    <s v="Clínica Vida"/>
    <x v="0"/>
    <x v="1"/>
    <x v="1"/>
    <s v="Mesa Cirúrgica Eletromecânica"/>
    <n v="4"/>
    <n v="31245.96"/>
    <n v="124983.84"/>
  </r>
  <r>
    <s v="2026-03-10"/>
    <s v="Clínica Vida"/>
    <x v="3"/>
    <x v="1"/>
    <x v="3"/>
    <s v="Monitor Multiparamétrico"/>
    <n v="2"/>
    <n v="28546.81"/>
    <n v="57093.62"/>
  </r>
  <r>
    <s v="2026-03-10"/>
    <s v="Clínica Ortopédica Central"/>
    <x v="1"/>
    <x v="3"/>
    <x v="1"/>
    <s v="Aspirador Cirúrgico de Secreção"/>
    <n v="1"/>
    <n v="31326.62"/>
    <n v="31326.62"/>
  </r>
  <r>
    <s v="2026-03-10"/>
    <s v="Hospital Santa Maria"/>
    <x v="4"/>
    <x v="0"/>
    <x v="3"/>
    <s v="Desfibrilador Externo"/>
    <n v="1"/>
    <n v="35333.480000000003"/>
    <n v="35333.480000000003"/>
  </r>
  <r>
    <s v="2026-03-10"/>
    <s v="Centro Médico Avançado"/>
    <x v="2"/>
    <x v="1"/>
    <x v="3"/>
    <s v="Desfibrilador Externo"/>
    <n v="8"/>
    <n v="37513.78"/>
    <n v="300110.24"/>
  </r>
  <r>
    <s v="2026-03-10"/>
    <s v="Hospital Regional"/>
    <x v="2"/>
    <x v="4"/>
    <x v="0"/>
    <s v="Carro de Emergência (Crash Cart)"/>
    <n v="2"/>
    <n v="10030.85"/>
    <n v="20061.7"/>
  </r>
  <r>
    <s v="2026-03-11"/>
    <s v="Hospital São Lucas"/>
    <x v="0"/>
    <x v="4"/>
    <x v="2"/>
    <s v="Aparelho de Raio-X Móvel"/>
    <n v="5"/>
    <n v="53877.66"/>
    <n v="269388.3"/>
  </r>
  <r>
    <s v="2026-03-11"/>
    <s v="Rede Saúde Total"/>
    <x v="2"/>
    <x v="0"/>
    <x v="2"/>
    <s v="Eletrocardiógrafo"/>
    <n v="4"/>
    <n v="45704.37"/>
    <n v="182817.48"/>
  </r>
  <r>
    <s v="2026-03-11"/>
    <s v="Hospital São Lucas"/>
    <x v="3"/>
    <x v="2"/>
    <x v="0"/>
    <s v="Poltrona de Coleta"/>
    <n v="8"/>
    <n v="9597.74"/>
    <n v="76781.919999999998"/>
  </r>
  <r>
    <s v="2026-03-11"/>
    <s v="Rede Saúde Total"/>
    <x v="3"/>
    <x v="2"/>
    <x v="1"/>
    <s v="Mesa Cirúrgica Eletromecânica"/>
    <n v="2"/>
    <n v="26804.400000000001"/>
    <n v="53608.800000000003"/>
  </r>
  <r>
    <s v="2026-03-11"/>
    <s v="Hospital São Lucas"/>
    <x v="0"/>
    <x v="2"/>
    <x v="0"/>
    <s v="Carro de Emergência (Crash Cart)"/>
    <n v="9"/>
    <n v="10622.74"/>
    <n v="95604.66"/>
  </r>
  <r>
    <s v="2026-03-11"/>
    <s v="Clínica Ortopédica Central"/>
    <x v="3"/>
    <x v="4"/>
    <x v="3"/>
    <s v="Bomba de Infusão"/>
    <n v="7"/>
    <n v="29444.28"/>
    <n v="206109.96"/>
  </r>
  <r>
    <s v="2026-03-12"/>
    <s v="Hospital Regional"/>
    <x v="1"/>
    <x v="2"/>
    <x v="2"/>
    <s v="Ultrassom Portátil"/>
    <n v="7"/>
    <n v="38432.06"/>
    <n v="269024.42"/>
  </r>
  <r>
    <s v="2026-03-12"/>
    <s v="Centro Médico Avançado"/>
    <x v="0"/>
    <x v="3"/>
    <x v="0"/>
    <s v="Carro de Emergência (Crash Cart)"/>
    <n v="1"/>
    <n v="7730.95"/>
    <n v="7730.95"/>
  </r>
  <r>
    <s v="2026-03-12"/>
    <s v="Rede Saúde Total"/>
    <x v="1"/>
    <x v="1"/>
    <x v="1"/>
    <s v="Aspirador Cirúrgico de Secreção"/>
    <n v="2"/>
    <n v="32489.77"/>
    <n v="64979.54"/>
  </r>
  <r>
    <s v="2026-03-12"/>
    <s v="Centro Médico Avançado"/>
    <x v="4"/>
    <x v="4"/>
    <x v="0"/>
    <s v="Carro de Emergência (Crash Cart)"/>
    <n v="4"/>
    <n v="8744.06"/>
    <n v="34976.239999999998"/>
  </r>
  <r>
    <s v="2026-03-12"/>
    <s v="Centro Médico Avançado"/>
    <x v="1"/>
    <x v="0"/>
    <x v="2"/>
    <s v="Aparelho de Raio-X Móvel"/>
    <n v="4"/>
    <n v="46305"/>
    <n v="185220"/>
  </r>
  <r>
    <s v="2026-03-12"/>
    <s v="Centro Médico Avançado"/>
    <x v="4"/>
    <x v="0"/>
    <x v="0"/>
    <s v="Carro de Emergência (Crash Cart)"/>
    <n v="3"/>
    <n v="10472.08"/>
    <n v="31416.240000000002"/>
  </r>
  <r>
    <s v="2026-03-13"/>
    <s v="Hospital Metropolitano"/>
    <x v="4"/>
    <x v="1"/>
    <x v="0"/>
    <s v="Cama Hospitalar Elétrica"/>
    <n v="7"/>
    <n v="10351.76"/>
    <n v="72462.320000000007"/>
  </r>
  <r>
    <s v="2026-03-13"/>
    <s v="Hospital Santa Maria"/>
    <x v="1"/>
    <x v="4"/>
    <x v="2"/>
    <s v="Aparelho de Raio-X Móvel"/>
    <n v="8"/>
    <n v="43851.51"/>
    <n v="350812.08"/>
  </r>
  <r>
    <s v="2026-03-13"/>
    <s v="Hospital São Lucas"/>
    <x v="0"/>
    <x v="2"/>
    <x v="3"/>
    <s v="Monitor Multiparamétrico"/>
    <n v="2"/>
    <n v="29875.94"/>
    <n v="59751.88"/>
  </r>
  <r>
    <s v="2026-03-13"/>
    <s v="Centro Médico Avançado"/>
    <x v="3"/>
    <x v="2"/>
    <x v="3"/>
    <s v="Ventilador Pulmonar"/>
    <n v="4"/>
    <n v="38060.57"/>
    <n v="152242.28"/>
  </r>
  <r>
    <s v="2026-03-13"/>
    <s v="Hospital São Lucas"/>
    <x v="3"/>
    <x v="3"/>
    <x v="2"/>
    <s v="Monitor de Pressão Arterial 24h"/>
    <n v="3"/>
    <n v="54558.34"/>
    <n v="163675.01999999999"/>
  </r>
  <r>
    <s v="2026-03-13"/>
    <s v="Centro Médico Avançado"/>
    <x v="4"/>
    <x v="3"/>
    <x v="0"/>
    <s v="Maca de Transporte"/>
    <n v="2"/>
    <n v="9066.43"/>
    <n v="18132.86"/>
  </r>
  <r>
    <s v="2026-03-13"/>
    <s v="Rede Saúde Total"/>
    <x v="4"/>
    <x v="2"/>
    <x v="2"/>
    <s v="Monitor de Pressão Arterial 24h"/>
    <n v="6"/>
    <n v="49579.63"/>
    <n v="297477.78000000003"/>
  </r>
  <r>
    <s v="2026-03-14"/>
    <s v="Hospital Santa Maria"/>
    <x v="0"/>
    <x v="0"/>
    <x v="3"/>
    <s v="Monitor Multiparamétrico"/>
    <n v="4"/>
    <n v="30488.5"/>
    <n v="121954"/>
  </r>
  <r>
    <s v="2026-03-14"/>
    <s v="Hospital Santa Maria"/>
    <x v="2"/>
    <x v="0"/>
    <x v="1"/>
    <s v="Mesa Cirúrgica Eletromecânica"/>
    <n v="6"/>
    <n v="32768.99"/>
    <n v="196613.94"/>
  </r>
  <r>
    <s v="2026-03-14"/>
    <s v="Clínica Ortopédica Central"/>
    <x v="1"/>
    <x v="3"/>
    <x v="0"/>
    <s v="Poltrona de Coleta"/>
    <n v="2"/>
    <n v="9374.2199999999993"/>
    <n v="18748.439999999999"/>
  </r>
  <r>
    <s v="2026-03-14"/>
    <s v="Hospital Metropolitano"/>
    <x v="4"/>
    <x v="1"/>
    <x v="3"/>
    <s v="Monitor Multiparamétrico"/>
    <n v="4"/>
    <n v="33644.97"/>
    <n v="134579.88"/>
  </r>
  <r>
    <s v="2026-03-14"/>
    <s v="Clínica Ortopédica Central"/>
    <x v="3"/>
    <x v="2"/>
    <x v="0"/>
    <s v="Poltrona de Coleta"/>
    <n v="6"/>
    <n v="7429.37"/>
    <n v="44576.22"/>
  </r>
  <r>
    <s v="2026-03-14"/>
    <s v="Clínica Ortopédica Central"/>
    <x v="0"/>
    <x v="3"/>
    <x v="2"/>
    <s v="Ultrassom Portátil"/>
    <n v="5"/>
    <n v="54736.83"/>
    <n v="273684.15000000002"/>
  </r>
  <r>
    <s v="2026-03-15"/>
    <s v="Clínica Ortopédica Central"/>
    <x v="1"/>
    <x v="3"/>
    <x v="1"/>
    <s v="Aspirador Cirúrgico de Secreção"/>
    <n v="3"/>
    <n v="30693.06"/>
    <n v="92079.18"/>
  </r>
  <r>
    <s v="2026-03-15"/>
    <s v="Clínica Ortopédica Central"/>
    <x v="0"/>
    <x v="2"/>
    <x v="2"/>
    <s v="Ultrassom Portátil"/>
    <n v="8"/>
    <n v="41718.44"/>
    <n v="333747.52"/>
  </r>
  <r>
    <s v="2026-03-15"/>
    <s v="Clínica Ortopédica Central"/>
    <x v="1"/>
    <x v="2"/>
    <x v="1"/>
    <s v="Mesa Cirúrgica Eletromecânica"/>
    <n v="7"/>
    <n v="30591.52"/>
    <n v="214140.64"/>
  </r>
  <r>
    <s v="2026-03-15"/>
    <s v="Hospital Regional"/>
    <x v="1"/>
    <x v="0"/>
    <x v="0"/>
    <s v="Poltrona de Coleta"/>
    <n v="3"/>
    <n v="9528.3799999999992"/>
    <n v="28585.14"/>
  </r>
  <r>
    <s v="2026-03-15"/>
    <s v="Hospital Santa Maria"/>
    <x v="4"/>
    <x v="1"/>
    <x v="0"/>
    <s v="Maca de Transporte"/>
    <n v="6"/>
    <n v="9012.6200000000008"/>
    <n v="54075.72"/>
  </r>
  <r>
    <s v="2026-03-15"/>
    <s v="Clínica Ortopédica Central"/>
    <x v="0"/>
    <x v="1"/>
    <x v="2"/>
    <s v="Monitor de Pressão Arterial 24h"/>
    <n v="4"/>
    <n v="51175.83"/>
    <n v="204703.32"/>
  </r>
  <r>
    <s v="2026-03-16"/>
    <s v="Centro Médico Avançado"/>
    <x v="0"/>
    <x v="2"/>
    <x v="1"/>
    <s v="Foco Cirúrgico LED"/>
    <n v="5"/>
    <n v="30312.28"/>
    <n v="151561.4"/>
  </r>
  <r>
    <s v="2026-03-16"/>
    <s v="Hospital Santa Maria"/>
    <x v="3"/>
    <x v="4"/>
    <x v="1"/>
    <s v="Foco Cirúrgico LED"/>
    <n v="5"/>
    <n v="34415.019999999997"/>
    <n v="172075.1"/>
  </r>
  <r>
    <s v="2026-03-16"/>
    <s v="Hospital Santa Maria"/>
    <x v="3"/>
    <x v="3"/>
    <x v="0"/>
    <s v="Poltrona de Coleta"/>
    <n v="7"/>
    <n v="7407.57"/>
    <n v="51852.99"/>
  </r>
  <r>
    <s v="2026-03-16"/>
    <s v="Clínica Vida"/>
    <x v="4"/>
    <x v="3"/>
    <x v="2"/>
    <s v="Ultrassom Portátil"/>
    <n v="5"/>
    <n v="40162.42"/>
    <n v="200812.1"/>
  </r>
  <r>
    <s v="2026-03-16"/>
    <s v="Hospital Regional"/>
    <x v="4"/>
    <x v="2"/>
    <x v="1"/>
    <s v="Mesa Cirúrgica Eletromecânica"/>
    <n v="3"/>
    <n v="25745.119999999999"/>
    <n v="77235.360000000001"/>
  </r>
  <r>
    <s v="2026-03-16"/>
    <s v="Clínica Ortopédica Central"/>
    <x v="2"/>
    <x v="4"/>
    <x v="0"/>
    <s v="Maca de Transporte"/>
    <n v="5"/>
    <n v="9571.58"/>
    <n v="47857.9"/>
  </r>
  <r>
    <s v="2026-03-17"/>
    <s v="Hospital São Lucas"/>
    <x v="3"/>
    <x v="0"/>
    <x v="3"/>
    <s v="Bomba de Infusão"/>
    <n v="7"/>
    <n v="35463.629999999997"/>
    <n v="248245.41"/>
  </r>
  <r>
    <s v="2026-03-17"/>
    <s v="Rede Saúde Total"/>
    <x v="1"/>
    <x v="2"/>
    <x v="2"/>
    <s v="Ultrassom Portátil"/>
    <n v="5"/>
    <n v="54307.06"/>
    <n v="271535.3"/>
  </r>
  <r>
    <s v="2026-03-17"/>
    <s v="Hospital Metropolitano"/>
    <x v="0"/>
    <x v="2"/>
    <x v="3"/>
    <s v="Monitor Multiparamétrico"/>
    <n v="5"/>
    <n v="36580.83"/>
    <n v="182904.15"/>
  </r>
  <r>
    <s v="2026-03-17"/>
    <s v="Centro Médico Avançado"/>
    <x v="4"/>
    <x v="3"/>
    <x v="2"/>
    <s v="Monitor de Pressão Arterial 24h"/>
    <n v="9"/>
    <n v="47400.4"/>
    <n v="426603.6"/>
  </r>
  <r>
    <s v="2026-03-17"/>
    <s v="Hospital São Lucas"/>
    <x v="0"/>
    <x v="2"/>
    <x v="0"/>
    <s v="Cama Hospitalar Elétrica"/>
    <n v="3"/>
    <n v="10597.23"/>
    <n v="31791.69"/>
  </r>
  <r>
    <s v="2026-03-17"/>
    <s v="Hospital Regional"/>
    <x v="0"/>
    <x v="2"/>
    <x v="1"/>
    <s v="Mesa Cirúrgica Eletromecânica"/>
    <n v="6"/>
    <n v="26780.41"/>
    <n v="160682.46"/>
  </r>
  <r>
    <s v="2026-03-18"/>
    <s v="Rede Saúde Total"/>
    <x v="2"/>
    <x v="2"/>
    <x v="1"/>
    <s v="Foco Cirúrgico LED"/>
    <n v="1"/>
    <n v="33131.75"/>
    <n v="33131.75"/>
  </r>
  <r>
    <s v="2026-03-18"/>
    <s v="Hospital Regional"/>
    <x v="3"/>
    <x v="3"/>
    <x v="1"/>
    <s v="Aspirador Cirúrgico de Secreção"/>
    <n v="5"/>
    <n v="28580.05"/>
    <n v="142900.25"/>
  </r>
  <r>
    <s v="2026-03-18"/>
    <s v="Centro Médico Avançado"/>
    <x v="4"/>
    <x v="0"/>
    <x v="2"/>
    <s v="Aparelho de Raio-X Móvel"/>
    <n v="8"/>
    <n v="49927.23"/>
    <n v="399417.84"/>
  </r>
  <r>
    <s v="2026-03-18"/>
    <s v="Hospital Santa Maria"/>
    <x v="0"/>
    <x v="0"/>
    <x v="0"/>
    <s v="Carro de Emergência (Crash Cart)"/>
    <n v="5"/>
    <n v="9697.7099999999991"/>
    <n v="48488.55"/>
  </r>
  <r>
    <s v="2026-03-18"/>
    <s v="Rede Saúde Total"/>
    <x v="4"/>
    <x v="2"/>
    <x v="3"/>
    <s v="Bomba de Infusão"/>
    <n v="9"/>
    <n v="35312.050000000003"/>
    <n v="317808.45"/>
  </r>
  <r>
    <s v="2026-03-18"/>
    <s v="Hospital Santa Maria"/>
    <x v="1"/>
    <x v="3"/>
    <x v="0"/>
    <s v="Cama Hospitalar Elétrica"/>
    <n v="6"/>
    <n v="7702.72"/>
    <n v="46216.32"/>
  </r>
  <r>
    <s v="2026-03-19"/>
    <s v="Centro Médico Avançado"/>
    <x v="2"/>
    <x v="0"/>
    <x v="3"/>
    <s v="Desfibrilador Externo"/>
    <n v="8"/>
    <n v="32869.769999999997"/>
    <n v="262958.15999999997"/>
  </r>
  <r>
    <s v="2026-03-19"/>
    <s v="Hospital São Lucas"/>
    <x v="1"/>
    <x v="0"/>
    <x v="2"/>
    <s v="Aparelho de Raio-X Móvel"/>
    <n v="8"/>
    <n v="48355.89"/>
    <n v="386847.12"/>
  </r>
  <r>
    <s v="2026-03-19"/>
    <s v="Centro Médico Avançado"/>
    <x v="4"/>
    <x v="0"/>
    <x v="2"/>
    <s v="Monitor de Pressão Arterial 24h"/>
    <n v="3"/>
    <n v="53532.79"/>
    <n v="160598.37"/>
  </r>
  <r>
    <s v="2026-03-19"/>
    <s v="Hospital São Lucas"/>
    <x v="4"/>
    <x v="3"/>
    <x v="3"/>
    <s v="Monitor Multiparamétrico"/>
    <n v="7"/>
    <n v="32878.67"/>
    <n v="230150.69"/>
  </r>
  <r>
    <s v="2026-03-19"/>
    <s v="Rede Saúde Total"/>
    <x v="3"/>
    <x v="3"/>
    <x v="3"/>
    <s v="Ventilador Pulmonar"/>
    <n v="7"/>
    <n v="38959.97"/>
    <n v="272719.78999999998"/>
  </r>
  <r>
    <s v="2026-03-19"/>
    <s v="Rede Saúde Total"/>
    <x v="0"/>
    <x v="2"/>
    <x v="3"/>
    <s v="Monitor Multiparamétrico"/>
    <n v="6"/>
    <n v="32836.79"/>
    <n v="197020.74"/>
  </r>
  <r>
    <s v="2026-03-19"/>
    <s v="Clínica Ortopédica Central"/>
    <x v="0"/>
    <x v="1"/>
    <x v="0"/>
    <s v="Poltrona de Coleta"/>
    <n v="7"/>
    <n v="9090.85"/>
    <n v="63635.95"/>
  </r>
  <r>
    <s v="2026-03-20"/>
    <s v="Hospital Regional"/>
    <x v="1"/>
    <x v="0"/>
    <x v="3"/>
    <s v="Desfibrilador Externo"/>
    <n v="2"/>
    <n v="37392.46"/>
    <n v="74784.92"/>
  </r>
  <r>
    <s v="2026-03-20"/>
    <s v="Clínica Ortopédica Central"/>
    <x v="2"/>
    <x v="1"/>
    <x v="2"/>
    <s v="Ultrassom Portátil"/>
    <n v="9"/>
    <n v="48745.22"/>
    <n v="438706.98"/>
  </r>
  <r>
    <s v="2026-03-20"/>
    <s v="Hospital Regional"/>
    <x v="0"/>
    <x v="3"/>
    <x v="2"/>
    <s v="Monitor de Pressão Arterial 24h"/>
    <n v="1"/>
    <n v="55533.93"/>
    <n v="55533.93"/>
  </r>
  <r>
    <s v="2026-03-20"/>
    <s v="Clínica Ortopédica Central"/>
    <x v="3"/>
    <x v="3"/>
    <x v="1"/>
    <s v="Mesa Cirúrgica Eletromecânica"/>
    <n v="1"/>
    <n v="31195.759999999998"/>
    <n v="31195.759999999998"/>
  </r>
  <r>
    <s v="2026-03-20"/>
    <s v="Hospital Santa Maria"/>
    <x v="1"/>
    <x v="3"/>
    <x v="3"/>
    <s v="Ventilador Pulmonar"/>
    <n v="3"/>
    <n v="33890.68"/>
    <n v="101672.04"/>
  </r>
  <r>
    <s v="2026-03-20"/>
    <s v="Rede Saúde Total"/>
    <x v="1"/>
    <x v="1"/>
    <x v="0"/>
    <s v="Maca de Transporte"/>
    <n v="3"/>
    <n v="7305.21"/>
    <n v="21915.63"/>
  </r>
  <r>
    <s v="2026-03-21"/>
    <s v="Hospital São Lucas"/>
    <x v="3"/>
    <x v="3"/>
    <x v="0"/>
    <s v="Poltrona de Coleta"/>
    <n v="1"/>
    <n v="8631.69"/>
    <n v="8631.69"/>
  </r>
  <r>
    <s v="2026-03-21"/>
    <s v="Hospital Regional"/>
    <x v="2"/>
    <x v="2"/>
    <x v="0"/>
    <s v="Cama Hospitalar Elétrica"/>
    <n v="7"/>
    <n v="8242.44"/>
    <n v="57697.08"/>
  </r>
  <r>
    <s v="2026-03-21"/>
    <s v="Centro Médico Avançado"/>
    <x v="3"/>
    <x v="3"/>
    <x v="1"/>
    <s v="Mesa Cirúrgica Eletromecânica"/>
    <n v="4"/>
    <n v="32178.78"/>
    <n v="128715.12"/>
  </r>
  <r>
    <s v="2026-03-21"/>
    <s v="Hospital Regional"/>
    <x v="2"/>
    <x v="4"/>
    <x v="2"/>
    <s v="Monitor de Pressão Arterial 24h"/>
    <n v="2"/>
    <n v="41999"/>
    <n v="83998"/>
  </r>
  <r>
    <s v="2026-03-21"/>
    <s v="Hospital São Lucas"/>
    <x v="3"/>
    <x v="1"/>
    <x v="0"/>
    <s v="Poltrona de Coleta"/>
    <n v="5"/>
    <n v="7922.75"/>
    <n v="39613.75"/>
  </r>
  <r>
    <s v="2026-03-21"/>
    <s v="Clínica Ortopédica Central"/>
    <x v="3"/>
    <x v="4"/>
    <x v="2"/>
    <s v="Eletrocardiógrafo"/>
    <n v="6"/>
    <n v="41661.339999999997"/>
    <n v="249968.04"/>
  </r>
  <r>
    <s v="2026-03-22"/>
    <s v="Hospital Regional"/>
    <x v="4"/>
    <x v="3"/>
    <x v="1"/>
    <s v="Aspirador Cirúrgico de Secreção"/>
    <n v="9"/>
    <n v="25206.89"/>
    <n v="226862.01"/>
  </r>
  <r>
    <s v="2026-03-22"/>
    <s v="Hospital Metropolitano"/>
    <x v="1"/>
    <x v="2"/>
    <x v="3"/>
    <s v="Monitor Multiparamétrico"/>
    <n v="4"/>
    <n v="31180.89"/>
    <n v="124723.56"/>
  </r>
  <r>
    <s v="2026-03-22"/>
    <s v="Hospital Santa Maria"/>
    <x v="3"/>
    <x v="0"/>
    <x v="3"/>
    <s v="Ventilador Pulmonar"/>
    <n v="2"/>
    <n v="38539.800000000003"/>
    <n v="77079.600000000006"/>
  </r>
  <r>
    <s v="2026-03-22"/>
    <s v="Rede Saúde Total"/>
    <x v="3"/>
    <x v="3"/>
    <x v="3"/>
    <s v="Bomba de Infusão"/>
    <n v="5"/>
    <n v="37119.08"/>
    <n v="185595.4"/>
  </r>
  <r>
    <s v="2026-03-22"/>
    <s v="Hospital São Lucas"/>
    <x v="0"/>
    <x v="2"/>
    <x v="0"/>
    <s v="Poltrona de Coleta"/>
    <n v="3"/>
    <n v="9724.85"/>
    <n v="29174.55"/>
  </r>
  <r>
    <s v="2026-03-22"/>
    <s v="Rede Saúde Total"/>
    <x v="1"/>
    <x v="1"/>
    <x v="3"/>
    <s v="Desfibrilador Externo"/>
    <n v="2"/>
    <n v="37405.910000000003"/>
    <n v="74811.820000000007"/>
  </r>
  <r>
    <s v="2026-03-23"/>
    <s v="Hospital Metropolitano"/>
    <x v="0"/>
    <x v="4"/>
    <x v="0"/>
    <s v="Poltrona de Coleta"/>
    <n v="1"/>
    <n v="8141.02"/>
    <n v="8141.02"/>
  </r>
  <r>
    <s v="2026-03-23"/>
    <s v="Hospital Regional"/>
    <x v="1"/>
    <x v="4"/>
    <x v="1"/>
    <s v="Mesa Cirúrgica Eletromecânica"/>
    <n v="2"/>
    <n v="33739.35"/>
    <n v="67478.7"/>
  </r>
  <r>
    <s v="2026-03-23"/>
    <s v="Hospital Regional"/>
    <x v="0"/>
    <x v="4"/>
    <x v="1"/>
    <s v="Bisturi Eletrônico"/>
    <n v="6"/>
    <n v="25337.8"/>
    <n v="152026.79999999999"/>
  </r>
  <r>
    <s v="2026-03-23"/>
    <s v="Centro Médico Avançado"/>
    <x v="3"/>
    <x v="1"/>
    <x v="0"/>
    <s v="Maca de Transporte"/>
    <n v="8"/>
    <n v="8368.58"/>
    <n v="66948.639999999999"/>
  </r>
  <r>
    <s v="2026-03-23"/>
    <s v="Hospital Metropolitano"/>
    <x v="3"/>
    <x v="2"/>
    <x v="2"/>
    <s v="Eletrocardiógrafo"/>
    <n v="3"/>
    <n v="48811.47"/>
    <n v="146434.41"/>
  </r>
  <r>
    <s v="2026-03-23"/>
    <s v="Hospital São Lucas"/>
    <x v="4"/>
    <x v="1"/>
    <x v="3"/>
    <s v="Ventilador Pulmonar"/>
    <n v="9"/>
    <n v="28517.19"/>
    <n v="256654.71"/>
  </r>
  <r>
    <s v="2026-03-24"/>
    <s v="Centro Médico Avançado"/>
    <x v="0"/>
    <x v="4"/>
    <x v="3"/>
    <s v="Monitor Multiparamétrico"/>
    <n v="9"/>
    <n v="36545.67"/>
    <n v="328911.03000000003"/>
  </r>
  <r>
    <s v="2026-03-24"/>
    <s v="Hospital Santa Maria"/>
    <x v="2"/>
    <x v="3"/>
    <x v="3"/>
    <s v="Monitor Multiparamétrico"/>
    <n v="2"/>
    <n v="32156.75"/>
    <n v="64313.5"/>
  </r>
  <r>
    <s v="2026-03-24"/>
    <s v="Centro Médico Avançado"/>
    <x v="4"/>
    <x v="0"/>
    <x v="0"/>
    <s v="Cama Hospitalar Elétrica"/>
    <n v="8"/>
    <n v="9891.98"/>
    <n v="79135.839999999997"/>
  </r>
  <r>
    <s v="2026-03-24"/>
    <s v="Clínica Vida"/>
    <x v="0"/>
    <x v="1"/>
    <x v="1"/>
    <s v="Bisturi Eletrônico"/>
    <n v="5"/>
    <n v="29320.44"/>
    <n v="146602.20000000001"/>
  </r>
  <r>
    <s v="2026-03-24"/>
    <s v="Hospital São Lucas"/>
    <x v="0"/>
    <x v="1"/>
    <x v="3"/>
    <s v="Desfibrilador Externo"/>
    <n v="4"/>
    <n v="29515.19"/>
    <n v="118060.76"/>
  </r>
  <r>
    <s v="2026-03-24"/>
    <s v="Clínica Vida"/>
    <x v="4"/>
    <x v="2"/>
    <x v="1"/>
    <s v="Foco Cirúrgico LED"/>
    <n v="5"/>
    <n v="32029.33"/>
    <n v="160146.65"/>
  </r>
  <r>
    <s v="2026-03-24"/>
    <s v="Hospital Metropolitano"/>
    <x v="3"/>
    <x v="2"/>
    <x v="3"/>
    <s v="Desfibrilador Externo"/>
    <n v="4"/>
    <n v="30427.439999999999"/>
    <n v="121709.75999999999"/>
  </r>
  <r>
    <s v="2026-03-25"/>
    <s v="Clínica Ortopédica Central"/>
    <x v="0"/>
    <x v="1"/>
    <x v="3"/>
    <s v="Desfibrilador Externo"/>
    <n v="8"/>
    <n v="33482.370000000003"/>
    <n v="267858.96000000002"/>
  </r>
  <r>
    <s v="2026-03-25"/>
    <s v="Clínica Vida"/>
    <x v="3"/>
    <x v="4"/>
    <x v="0"/>
    <s v="Cama Hospitalar Elétrica"/>
    <n v="4"/>
    <n v="7481.81"/>
    <n v="29927.24"/>
  </r>
  <r>
    <s v="2026-03-25"/>
    <s v="Hospital Santa Maria"/>
    <x v="4"/>
    <x v="0"/>
    <x v="2"/>
    <s v="Eletrocardiógrafo"/>
    <n v="6"/>
    <n v="49371.6"/>
    <n v="296229.59999999998"/>
  </r>
  <r>
    <s v="2026-03-25"/>
    <s v="Centro Médico Avançado"/>
    <x v="3"/>
    <x v="2"/>
    <x v="0"/>
    <s v="Poltrona de Coleta"/>
    <n v="2"/>
    <n v="9488.92"/>
    <n v="18977.84"/>
  </r>
  <r>
    <s v="2026-03-25"/>
    <s v="Clínica Ortopédica Central"/>
    <x v="1"/>
    <x v="4"/>
    <x v="3"/>
    <s v="Ventilador Pulmonar"/>
    <n v="5"/>
    <n v="32047.03"/>
    <n v="160235.15"/>
  </r>
  <r>
    <s v="2026-03-25"/>
    <s v="Centro Médico Avançado"/>
    <x v="2"/>
    <x v="3"/>
    <x v="3"/>
    <s v="Monitor Multiparamétrico"/>
    <n v="6"/>
    <n v="39416.61"/>
    <n v="236499.66"/>
  </r>
  <r>
    <s v="2026-03-26"/>
    <s v="Clínica Vida"/>
    <x v="0"/>
    <x v="2"/>
    <x v="2"/>
    <s v="Aparelho de Raio-X Móvel"/>
    <n v="5"/>
    <n v="53985.04"/>
    <n v="269925.2"/>
  </r>
  <r>
    <s v="2026-03-26"/>
    <s v="Centro Médico Avançado"/>
    <x v="2"/>
    <x v="4"/>
    <x v="1"/>
    <s v="Mesa Cirúrgica Eletromecânica"/>
    <n v="2"/>
    <n v="31728.94"/>
    <n v="63457.88"/>
  </r>
  <r>
    <s v="2026-03-26"/>
    <s v="Hospital Metropolitano"/>
    <x v="3"/>
    <x v="4"/>
    <x v="1"/>
    <s v="Foco Cirúrgico LED"/>
    <n v="7"/>
    <n v="31792.9"/>
    <n v="222550.3"/>
  </r>
  <r>
    <s v="2026-03-26"/>
    <s v="Clínica Ortopédica Central"/>
    <x v="0"/>
    <x v="0"/>
    <x v="3"/>
    <s v="Monitor Multiparamétrico"/>
    <n v="4"/>
    <n v="30430.74"/>
    <n v="121722.96"/>
  </r>
  <r>
    <s v="2026-03-26"/>
    <s v="Hospital Metropolitano"/>
    <x v="3"/>
    <x v="0"/>
    <x v="1"/>
    <s v="Aspirador Cirúrgico de Secreção"/>
    <n v="8"/>
    <n v="31156.33"/>
    <n v="249250.64"/>
  </r>
  <r>
    <s v="2026-03-26"/>
    <s v="Clínica Vida"/>
    <x v="1"/>
    <x v="3"/>
    <x v="3"/>
    <s v="Monitor Multiparamétrico"/>
    <n v="7"/>
    <n v="29737.040000000001"/>
    <n v="208159.28"/>
  </r>
  <r>
    <s v="2026-03-27"/>
    <s v="Hospital Metropolitano"/>
    <x v="4"/>
    <x v="4"/>
    <x v="2"/>
    <s v="Aparelho de Raio-X Móvel"/>
    <n v="7"/>
    <n v="40842.06"/>
    <n v="285894.42"/>
  </r>
  <r>
    <s v="2026-03-27"/>
    <s v="Hospital Santa Maria"/>
    <x v="0"/>
    <x v="4"/>
    <x v="2"/>
    <s v="Monitor de Pressão Arterial 24h"/>
    <n v="9"/>
    <n v="56240.42"/>
    <n v="506163.78"/>
  </r>
  <r>
    <s v="2026-03-27"/>
    <s v="Clínica Vida"/>
    <x v="1"/>
    <x v="0"/>
    <x v="3"/>
    <s v="Monitor Multiparamétrico"/>
    <n v="1"/>
    <n v="35166.410000000003"/>
    <n v="35166.410000000003"/>
  </r>
  <r>
    <s v="2026-03-27"/>
    <s v="Clínica Vida"/>
    <x v="1"/>
    <x v="2"/>
    <x v="2"/>
    <s v="Monitor de Pressão Arterial 24h"/>
    <n v="6"/>
    <n v="46007.78"/>
    <n v="276046.68"/>
  </r>
  <r>
    <s v="2026-03-27"/>
    <s v="Clínica Vida"/>
    <x v="0"/>
    <x v="2"/>
    <x v="0"/>
    <s v="Maca de Transporte"/>
    <n v="6"/>
    <n v="8204.76"/>
    <n v="49228.56"/>
  </r>
  <r>
    <s v="2026-03-27"/>
    <s v="Hospital São Lucas"/>
    <x v="3"/>
    <x v="1"/>
    <x v="0"/>
    <s v="Poltrona de Coleta"/>
    <n v="6"/>
    <n v="9278.33"/>
    <n v="55669.98"/>
  </r>
  <r>
    <s v="2026-03-28"/>
    <s v="Centro Médico Avançado"/>
    <x v="1"/>
    <x v="0"/>
    <x v="2"/>
    <s v="Aparelho de Raio-X Móvel"/>
    <n v="6"/>
    <n v="39142.68"/>
    <n v="234856.08"/>
  </r>
  <r>
    <s v="2026-03-28"/>
    <s v="Hospital São Lucas"/>
    <x v="2"/>
    <x v="1"/>
    <x v="3"/>
    <s v="Desfibrilador Externo"/>
    <n v="7"/>
    <n v="28411.919999999998"/>
    <n v="198883.44"/>
  </r>
  <r>
    <s v="2026-03-28"/>
    <s v="Hospital São Lucas"/>
    <x v="1"/>
    <x v="0"/>
    <x v="3"/>
    <s v="Ventilador Pulmonar"/>
    <n v="6"/>
    <n v="27620.57"/>
    <n v="165723.42000000001"/>
  </r>
  <r>
    <s v="2026-03-28"/>
    <s v="Hospital Santa Maria"/>
    <x v="3"/>
    <x v="3"/>
    <x v="2"/>
    <s v="Monitor de Pressão Arterial 24h"/>
    <n v="1"/>
    <n v="47235.06"/>
    <n v="47235.06"/>
  </r>
  <r>
    <s v="2026-03-28"/>
    <s v="Clínica Ortopédica Central"/>
    <x v="3"/>
    <x v="4"/>
    <x v="1"/>
    <s v="Mesa Cirúrgica Eletromecânica"/>
    <n v="3"/>
    <n v="30526.79"/>
    <n v="91580.37"/>
  </r>
  <r>
    <s v="2026-03-28"/>
    <s v="Centro Médico Avançado"/>
    <x v="2"/>
    <x v="3"/>
    <x v="0"/>
    <s v="Maca de Transporte"/>
    <n v="2"/>
    <n v="7437.43"/>
    <n v="14874.86"/>
  </r>
  <r>
    <s v="2026-03-29"/>
    <s v="Hospital Metropolitano"/>
    <x v="1"/>
    <x v="0"/>
    <x v="1"/>
    <s v="Bisturi Eletrônico"/>
    <n v="6"/>
    <n v="31877.71"/>
    <n v="191266.26"/>
  </r>
  <r>
    <s v="2026-03-29"/>
    <s v="Hospital Regional"/>
    <x v="3"/>
    <x v="4"/>
    <x v="3"/>
    <s v="Desfibrilador Externo"/>
    <n v="8"/>
    <n v="30149.06"/>
    <n v="241192.48"/>
  </r>
  <r>
    <s v="2026-03-29"/>
    <s v="Clínica Vida"/>
    <x v="0"/>
    <x v="2"/>
    <x v="3"/>
    <s v="Ventilador Pulmonar"/>
    <n v="3"/>
    <n v="35970.58"/>
    <n v="107911.74"/>
  </r>
  <r>
    <s v="2026-03-29"/>
    <s v="Hospital Metropolitano"/>
    <x v="4"/>
    <x v="2"/>
    <x v="1"/>
    <s v="Aspirador Cirúrgico de Secreção"/>
    <n v="8"/>
    <n v="34797.25"/>
    <n v="278378"/>
  </r>
  <r>
    <s v="2026-03-29"/>
    <s v="Clínica Vida"/>
    <x v="4"/>
    <x v="1"/>
    <x v="2"/>
    <s v="Monitor de Pressão Arterial 24h"/>
    <n v="8"/>
    <n v="50689.91"/>
    <n v="405519.28"/>
  </r>
  <r>
    <s v="2026-03-29"/>
    <s v="Hospital Santa Maria"/>
    <x v="4"/>
    <x v="0"/>
    <x v="1"/>
    <s v="Foco Cirúrgico LED"/>
    <n v="5"/>
    <n v="33691.760000000002"/>
    <n v="168458.8"/>
  </r>
  <r>
    <s v="2026-03-30"/>
    <s v="Clínica Vida"/>
    <x v="1"/>
    <x v="0"/>
    <x v="1"/>
    <s v="Aspirador Cirúrgico de Secreção"/>
    <n v="8"/>
    <n v="34419.82"/>
    <n v="275358.56"/>
  </r>
  <r>
    <s v="2026-03-30"/>
    <s v="Hospital São Lucas"/>
    <x v="2"/>
    <x v="2"/>
    <x v="0"/>
    <s v="Cama Hospitalar Elétrica"/>
    <n v="6"/>
    <n v="8879.9500000000007"/>
    <n v="53279.7"/>
  </r>
  <r>
    <s v="2026-03-30"/>
    <s v="Centro Médico Avançado"/>
    <x v="3"/>
    <x v="3"/>
    <x v="0"/>
    <s v="Cama Hospitalar Elétrica"/>
    <n v="5"/>
    <n v="9612.9"/>
    <n v="48064.5"/>
  </r>
  <r>
    <s v="2026-03-30"/>
    <s v="Hospital Regional"/>
    <x v="0"/>
    <x v="4"/>
    <x v="1"/>
    <s v="Aspirador Cirúrgico de Secreção"/>
    <n v="9"/>
    <n v="33342.06"/>
    <n v="300078.53999999998"/>
  </r>
  <r>
    <s v="2026-03-30"/>
    <s v="Rede Saúde Total"/>
    <x v="0"/>
    <x v="3"/>
    <x v="1"/>
    <s v="Aspirador Cirúrgico de Secreção"/>
    <n v="7"/>
    <n v="27794.02"/>
    <n v="194558.14"/>
  </r>
  <r>
    <s v="2026-03-30"/>
    <s v="Clínica Vida"/>
    <x v="1"/>
    <x v="3"/>
    <x v="3"/>
    <s v="Monitor Multiparamétrico"/>
    <n v="8"/>
    <n v="30545.89"/>
    <n v="244367.12"/>
  </r>
  <r>
    <s v="2026-03-30"/>
    <s v="Hospital Metropolitano"/>
    <x v="4"/>
    <x v="2"/>
    <x v="0"/>
    <s v="Maca de Transporte"/>
    <n v="1"/>
    <n v="10443.44"/>
    <n v="10443.44"/>
  </r>
  <r>
    <s v="2026-03-31"/>
    <s v="Hospital São Lucas"/>
    <x v="1"/>
    <x v="2"/>
    <x v="0"/>
    <s v="Carro de Emergência (Crash Cart)"/>
    <n v="2"/>
    <n v="9694.43"/>
    <n v="19388.86"/>
  </r>
  <r>
    <s v="2026-03-31"/>
    <s v="Rede Saúde Total"/>
    <x v="2"/>
    <x v="2"/>
    <x v="3"/>
    <s v="Bomba de Infusão"/>
    <n v="8"/>
    <n v="30011.93"/>
    <n v="240095.44"/>
  </r>
  <r>
    <s v="2026-03-31"/>
    <s v="Hospital Regional"/>
    <x v="2"/>
    <x v="1"/>
    <x v="2"/>
    <s v="Monitor de Pressão Arterial 24h"/>
    <n v="9"/>
    <n v="46333.5"/>
    <n v="417001.5"/>
  </r>
  <r>
    <s v="2026-03-31"/>
    <s v="Rede Saúde Total"/>
    <x v="3"/>
    <x v="3"/>
    <x v="0"/>
    <s v="Cama Hospitalar Elétrica"/>
    <n v="4"/>
    <n v="9932.94"/>
    <n v="39731.760000000002"/>
  </r>
  <r>
    <s v="2026-03-31"/>
    <s v="Hospital São Lucas"/>
    <x v="3"/>
    <x v="0"/>
    <x v="0"/>
    <s v="Carro de Emergência (Crash Cart)"/>
    <n v="9"/>
    <n v="9085.01"/>
    <n v="81765.09"/>
  </r>
  <r>
    <s v="2026-03-31"/>
    <s v="Centro Médico Avançado"/>
    <x v="2"/>
    <x v="4"/>
    <x v="2"/>
    <s v="Monitor de Pressão Arterial 24h"/>
    <n v="4"/>
    <n v="49949.14"/>
    <n v="199796.56"/>
  </r>
  <r>
    <s v="2026-04-01"/>
    <s v="Centro Médico Avançado"/>
    <x v="2"/>
    <x v="1"/>
    <x v="0"/>
    <s v="Carro de Emergência (Crash Cart)"/>
    <n v="9"/>
    <n v="9787.81"/>
    <n v="88090.29"/>
  </r>
  <r>
    <s v="2026-04-01"/>
    <s v="Clínica Ortopédica Central"/>
    <x v="2"/>
    <x v="0"/>
    <x v="0"/>
    <s v="Cama Hospitalar Elétrica"/>
    <n v="7"/>
    <n v="9339.83"/>
    <n v="65378.81"/>
  </r>
  <r>
    <s v="2026-04-01"/>
    <s v="Centro Médico Avançado"/>
    <x v="1"/>
    <x v="3"/>
    <x v="2"/>
    <s v="Monitor de Pressão Arterial 24h"/>
    <n v="2"/>
    <n v="47971.43"/>
    <n v="95942.86"/>
  </r>
  <r>
    <s v="2026-04-01"/>
    <s v="Clínica Ortopédica Central"/>
    <x v="2"/>
    <x v="2"/>
    <x v="2"/>
    <s v="Ultrassom Portátil"/>
    <n v="9"/>
    <n v="51743.06"/>
    <n v="465687.54"/>
  </r>
  <r>
    <s v="2026-04-01"/>
    <s v="Rede Saúde Total"/>
    <x v="0"/>
    <x v="3"/>
    <x v="1"/>
    <s v="Aspirador Cirúrgico de Secreção"/>
    <n v="4"/>
    <n v="31948.71"/>
    <n v="127794.84"/>
  </r>
  <r>
    <s v="2026-04-01"/>
    <s v="Hospital Santa Maria"/>
    <x v="4"/>
    <x v="4"/>
    <x v="3"/>
    <s v="Bomba de Infusão"/>
    <n v="8"/>
    <n v="35262.370000000003"/>
    <n v="282098.96000000002"/>
  </r>
  <r>
    <s v="2026-04-02"/>
    <s v="Hospital Metropolitano"/>
    <x v="2"/>
    <x v="1"/>
    <x v="3"/>
    <s v="Monitor Multiparamétrico"/>
    <n v="7"/>
    <n v="31805.3"/>
    <n v="222637.1"/>
  </r>
  <r>
    <s v="2026-04-02"/>
    <s v="Hospital Metropolitano"/>
    <x v="4"/>
    <x v="1"/>
    <x v="2"/>
    <s v="Eletrocardiógrafo"/>
    <n v="7"/>
    <n v="45554.62"/>
    <n v="318882.34000000003"/>
  </r>
  <r>
    <s v="2026-04-02"/>
    <s v="Rede Saúde Total"/>
    <x v="1"/>
    <x v="4"/>
    <x v="2"/>
    <s v="Eletrocardiógrafo"/>
    <n v="8"/>
    <n v="55717.89"/>
    <n v="445743.12"/>
  </r>
  <r>
    <s v="2026-04-02"/>
    <s v="Clínica Vida"/>
    <x v="4"/>
    <x v="0"/>
    <x v="0"/>
    <s v="Maca de Transporte"/>
    <n v="1"/>
    <n v="7607.11"/>
    <n v="7607.11"/>
  </r>
  <r>
    <s v="2026-04-02"/>
    <s v="Clínica Vida"/>
    <x v="1"/>
    <x v="0"/>
    <x v="1"/>
    <s v="Mesa Cirúrgica Eletromecânica"/>
    <n v="5"/>
    <n v="26807.26"/>
    <n v="134036.29999999999"/>
  </r>
  <r>
    <s v="2026-04-02"/>
    <s v="Centro Médico Avançado"/>
    <x v="0"/>
    <x v="1"/>
    <x v="1"/>
    <s v="Aspirador Cirúrgico de Secreção"/>
    <n v="2"/>
    <n v="29314.9"/>
    <n v="58629.8"/>
  </r>
  <r>
    <s v="2026-04-03"/>
    <s v="Hospital Metropolitano"/>
    <x v="1"/>
    <x v="1"/>
    <x v="2"/>
    <s v="Monitor de Pressão Arterial 24h"/>
    <n v="2"/>
    <n v="53311.13"/>
    <n v="106622.26"/>
  </r>
  <r>
    <s v="2026-04-03"/>
    <s v="Hospital Metropolitano"/>
    <x v="1"/>
    <x v="2"/>
    <x v="0"/>
    <s v="Cama Hospitalar Elétrica"/>
    <n v="1"/>
    <n v="7781.5"/>
    <n v="7781.5"/>
  </r>
  <r>
    <s v="2026-04-03"/>
    <s v="Clínica Ortopédica Central"/>
    <x v="3"/>
    <x v="0"/>
    <x v="0"/>
    <s v="Cama Hospitalar Elétrica"/>
    <n v="5"/>
    <n v="8166.65"/>
    <n v="40833.25"/>
  </r>
  <r>
    <s v="2026-04-03"/>
    <s v="Hospital Santa Maria"/>
    <x v="2"/>
    <x v="4"/>
    <x v="3"/>
    <s v="Bomba de Infusão"/>
    <n v="2"/>
    <n v="28042.22"/>
    <n v="56084.44"/>
  </r>
  <r>
    <s v="2026-04-03"/>
    <s v="Hospital São Lucas"/>
    <x v="2"/>
    <x v="0"/>
    <x v="3"/>
    <s v="Monitor Multiparamétrico"/>
    <n v="4"/>
    <n v="36236.61"/>
    <n v="144946.44"/>
  </r>
  <r>
    <s v="2026-04-03"/>
    <s v="Clínica Vida"/>
    <x v="0"/>
    <x v="2"/>
    <x v="0"/>
    <s v="Cama Hospitalar Elétrica"/>
    <n v="3"/>
    <n v="8034.91"/>
    <n v="24104.73"/>
  </r>
  <r>
    <s v="2026-04-04"/>
    <s v="Hospital Metropolitano"/>
    <x v="0"/>
    <x v="1"/>
    <x v="3"/>
    <s v="Bomba de Infusão"/>
    <n v="3"/>
    <n v="32175.040000000001"/>
    <n v="96525.119999999995"/>
  </r>
  <r>
    <s v="2026-04-04"/>
    <s v="Clínica Ortopédica Central"/>
    <x v="2"/>
    <x v="1"/>
    <x v="2"/>
    <s v="Aparelho de Raio-X Móvel"/>
    <n v="2"/>
    <n v="46236.63"/>
    <n v="92473.26"/>
  </r>
  <r>
    <s v="2026-04-04"/>
    <s v="Hospital Regional"/>
    <x v="3"/>
    <x v="2"/>
    <x v="0"/>
    <s v="Poltrona de Coleta"/>
    <n v="6"/>
    <n v="10255.469999999999"/>
    <n v="61532.82"/>
  </r>
  <r>
    <s v="2026-04-04"/>
    <s v="Clínica Ortopédica Central"/>
    <x v="2"/>
    <x v="4"/>
    <x v="3"/>
    <s v="Bomba de Infusão"/>
    <n v="2"/>
    <n v="32465.03"/>
    <n v="64930.06"/>
  </r>
  <r>
    <s v="2026-04-04"/>
    <s v="Clínica Vida"/>
    <x v="3"/>
    <x v="1"/>
    <x v="1"/>
    <s v="Aspirador Cirúrgico de Secreção"/>
    <n v="8"/>
    <n v="25426.52"/>
    <n v="203412.16"/>
  </r>
  <r>
    <s v="2026-04-04"/>
    <s v="Clínica Vida"/>
    <x v="0"/>
    <x v="3"/>
    <x v="0"/>
    <s v="Cama Hospitalar Elétrica"/>
    <n v="8"/>
    <n v="9007.67"/>
    <n v="72061.36"/>
  </r>
  <r>
    <s v="2026-04-05"/>
    <s v="Clínica Ortopédica Central"/>
    <x v="4"/>
    <x v="1"/>
    <x v="0"/>
    <s v="Cama Hospitalar Elétrica"/>
    <n v="5"/>
    <n v="10499.06"/>
    <n v="52495.3"/>
  </r>
  <r>
    <s v="2026-04-05"/>
    <s v="Hospital São Lucas"/>
    <x v="0"/>
    <x v="3"/>
    <x v="1"/>
    <s v="Mesa Cirúrgica Eletromecânica"/>
    <n v="7"/>
    <n v="30606.080000000002"/>
    <n v="214242.56"/>
  </r>
  <r>
    <s v="2026-04-05"/>
    <s v="Rede Saúde Total"/>
    <x v="0"/>
    <x v="2"/>
    <x v="2"/>
    <s v="Eletrocardiógrafo"/>
    <n v="4"/>
    <n v="55950.97"/>
    <n v="223803.88"/>
  </r>
  <r>
    <s v="2026-04-05"/>
    <s v="Clínica Vida"/>
    <x v="1"/>
    <x v="2"/>
    <x v="1"/>
    <s v="Aspirador Cirúrgico de Secreção"/>
    <n v="1"/>
    <n v="33220.400000000001"/>
    <n v="33220.400000000001"/>
  </r>
  <r>
    <s v="2026-04-05"/>
    <s v="Clínica Ortopédica Central"/>
    <x v="1"/>
    <x v="1"/>
    <x v="0"/>
    <s v="Maca de Transporte"/>
    <n v="2"/>
    <n v="7347.28"/>
    <n v="14694.56"/>
  </r>
  <r>
    <s v="2026-04-05"/>
    <s v="Hospital Metropolitano"/>
    <x v="1"/>
    <x v="0"/>
    <x v="2"/>
    <s v="Ultrassom Portátil"/>
    <n v="4"/>
    <n v="50101.19"/>
    <n v="200404.76"/>
  </r>
  <r>
    <s v="2026-04-05"/>
    <s v="Clínica Ortopédica Central"/>
    <x v="1"/>
    <x v="3"/>
    <x v="3"/>
    <s v="Ventilador Pulmonar"/>
    <n v="1"/>
    <n v="30870.62"/>
    <n v="30870.62"/>
  </r>
  <r>
    <s v="2026-04-06"/>
    <s v="Hospital Santa Maria"/>
    <x v="3"/>
    <x v="4"/>
    <x v="3"/>
    <s v="Bomba de Infusão"/>
    <n v="8"/>
    <n v="34363.1"/>
    <n v="274904.8"/>
  </r>
  <r>
    <s v="2026-04-06"/>
    <s v="Rede Saúde Total"/>
    <x v="2"/>
    <x v="1"/>
    <x v="3"/>
    <s v="Desfibrilador Externo"/>
    <n v="9"/>
    <n v="30775.62"/>
    <n v="276980.58"/>
  </r>
  <r>
    <s v="2026-04-06"/>
    <s v="Hospital Regional"/>
    <x v="4"/>
    <x v="4"/>
    <x v="0"/>
    <s v="Carro de Emergência (Crash Cart)"/>
    <n v="4"/>
    <n v="8411.16"/>
    <n v="33644.639999999999"/>
  </r>
  <r>
    <s v="2026-04-06"/>
    <s v="Hospital São Lucas"/>
    <x v="0"/>
    <x v="1"/>
    <x v="1"/>
    <s v="Aspirador Cirúrgico de Secreção"/>
    <n v="3"/>
    <n v="34139.49"/>
    <n v="102418.47"/>
  </r>
  <r>
    <s v="2026-04-06"/>
    <s v="Centro Médico Avançado"/>
    <x v="3"/>
    <x v="0"/>
    <x v="2"/>
    <s v="Monitor de Pressão Arterial 24h"/>
    <n v="2"/>
    <n v="41969.58"/>
    <n v="83939.16"/>
  </r>
  <r>
    <s v="2026-04-06"/>
    <s v="Hospital Regional"/>
    <x v="4"/>
    <x v="0"/>
    <x v="3"/>
    <s v="Bomba de Infusão"/>
    <n v="5"/>
    <n v="38388.6"/>
    <n v="191943"/>
  </r>
  <r>
    <s v="2026-04-07"/>
    <s v="Rede Saúde Total"/>
    <x v="3"/>
    <x v="0"/>
    <x v="2"/>
    <s v="Aparelho de Raio-X Móvel"/>
    <n v="3"/>
    <n v="38798.239999999998"/>
    <n v="116394.72"/>
  </r>
  <r>
    <s v="2026-04-07"/>
    <s v="Rede Saúde Total"/>
    <x v="3"/>
    <x v="0"/>
    <x v="0"/>
    <s v="Carro de Emergência (Crash Cart)"/>
    <n v="7"/>
    <n v="7533.98"/>
    <n v="52737.86"/>
  </r>
  <r>
    <s v="2026-04-07"/>
    <s v="Rede Saúde Total"/>
    <x v="0"/>
    <x v="2"/>
    <x v="3"/>
    <s v="Bomba de Infusão"/>
    <n v="6"/>
    <n v="38139.839999999997"/>
    <n v="228839.04000000001"/>
  </r>
  <r>
    <s v="2026-04-07"/>
    <s v="Hospital Regional"/>
    <x v="2"/>
    <x v="2"/>
    <x v="0"/>
    <s v="Cama Hospitalar Elétrica"/>
    <n v="1"/>
    <n v="9368.89"/>
    <n v="9368.89"/>
  </r>
  <r>
    <s v="2026-04-07"/>
    <s v="Hospital Metropolitano"/>
    <x v="1"/>
    <x v="3"/>
    <x v="1"/>
    <s v="Foco Cirúrgico LED"/>
    <n v="8"/>
    <n v="32169.040000000001"/>
    <n v="257352.32000000001"/>
  </r>
  <r>
    <s v="2026-04-07"/>
    <s v="Rede Saúde Total"/>
    <x v="2"/>
    <x v="4"/>
    <x v="0"/>
    <s v="Carro de Emergência (Crash Cart)"/>
    <n v="2"/>
    <n v="7937.02"/>
    <n v="15874.04"/>
  </r>
  <r>
    <s v="2026-04-08"/>
    <s v="Clínica Ortopédica Central"/>
    <x v="0"/>
    <x v="1"/>
    <x v="0"/>
    <s v="Carro de Emergência (Crash Cart)"/>
    <n v="5"/>
    <n v="9051.08"/>
    <n v="45255.4"/>
  </r>
  <r>
    <s v="2026-04-08"/>
    <s v="Hospital Regional"/>
    <x v="0"/>
    <x v="1"/>
    <x v="1"/>
    <s v="Foco Cirúrgico LED"/>
    <n v="9"/>
    <n v="32056.86"/>
    <n v="288511.74"/>
  </r>
  <r>
    <s v="2026-04-08"/>
    <s v="Centro Médico Avançado"/>
    <x v="0"/>
    <x v="2"/>
    <x v="2"/>
    <s v="Monitor de Pressão Arterial 24h"/>
    <n v="8"/>
    <n v="49541.65"/>
    <n v="396333.2"/>
  </r>
  <r>
    <s v="2026-04-08"/>
    <s v="Rede Saúde Total"/>
    <x v="4"/>
    <x v="1"/>
    <x v="1"/>
    <s v="Bisturi Eletrônico"/>
    <n v="2"/>
    <n v="29083.03"/>
    <n v="58166.06"/>
  </r>
  <r>
    <s v="2026-04-08"/>
    <s v="Clínica Ortopédica Central"/>
    <x v="2"/>
    <x v="2"/>
    <x v="1"/>
    <s v="Mesa Cirúrgica Eletromecânica"/>
    <n v="9"/>
    <n v="34549.58"/>
    <n v="310946.21999999997"/>
  </r>
  <r>
    <s v="2026-04-08"/>
    <s v="Hospital Metropolitano"/>
    <x v="2"/>
    <x v="3"/>
    <x v="0"/>
    <s v="Maca de Transporte"/>
    <n v="5"/>
    <n v="9523.93"/>
    <n v="47619.65"/>
  </r>
  <r>
    <s v="2026-04-09"/>
    <s v="Hospital Santa Maria"/>
    <x v="3"/>
    <x v="4"/>
    <x v="2"/>
    <s v="Aparelho de Raio-X Móvel"/>
    <n v="6"/>
    <n v="54589.51"/>
    <n v="327537.06"/>
  </r>
  <r>
    <s v="2026-04-09"/>
    <s v="Hospital Metropolitano"/>
    <x v="3"/>
    <x v="3"/>
    <x v="3"/>
    <s v="Bomba de Infusão"/>
    <n v="3"/>
    <n v="36541.06"/>
    <n v="109623.18"/>
  </r>
  <r>
    <s v="2026-04-09"/>
    <s v="Centro Médico Avançado"/>
    <x v="3"/>
    <x v="0"/>
    <x v="1"/>
    <s v="Aspirador Cirúrgico de Secreção"/>
    <n v="3"/>
    <n v="32037.19"/>
    <n v="96111.57"/>
  </r>
  <r>
    <s v="2026-04-09"/>
    <s v="Rede Saúde Total"/>
    <x v="0"/>
    <x v="0"/>
    <x v="2"/>
    <s v="Monitor de Pressão Arterial 24h"/>
    <n v="8"/>
    <n v="39690.33"/>
    <n v="317522.64"/>
  </r>
  <r>
    <s v="2026-04-09"/>
    <s v="Centro Médico Avançado"/>
    <x v="2"/>
    <x v="0"/>
    <x v="1"/>
    <s v="Foco Cirúrgico LED"/>
    <n v="2"/>
    <n v="27826"/>
    <n v="55652"/>
  </r>
  <r>
    <s v="2026-04-09"/>
    <s v="Hospital Regional"/>
    <x v="0"/>
    <x v="3"/>
    <x v="1"/>
    <s v="Bisturi Eletrônico"/>
    <n v="2"/>
    <n v="33413.74"/>
    <n v="66827.48"/>
  </r>
  <r>
    <s v="2026-04-10"/>
    <s v="Clínica Vida"/>
    <x v="4"/>
    <x v="1"/>
    <x v="1"/>
    <s v="Aspirador Cirúrgico de Secreção"/>
    <n v="5"/>
    <n v="26405.16"/>
    <n v="132025.79999999999"/>
  </r>
  <r>
    <s v="2026-04-10"/>
    <s v="Rede Saúde Total"/>
    <x v="3"/>
    <x v="4"/>
    <x v="1"/>
    <s v="Bisturi Eletrônico"/>
    <n v="6"/>
    <n v="25093.67"/>
    <n v="150562.01999999999"/>
  </r>
  <r>
    <s v="2026-04-10"/>
    <s v="Clínica Vida"/>
    <x v="0"/>
    <x v="0"/>
    <x v="0"/>
    <s v="Cama Hospitalar Elétrica"/>
    <n v="2"/>
    <n v="8333.76"/>
    <n v="16667.52"/>
  </r>
  <r>
    <s v="2026-04-10"/>
    <s v="Clínica Ortopédica Central"/>
    <x v="0"/>
    <x v="0"/>
    <x v="2"/>
    <s v="Ultrassom Portátil"/>
    <n v="5"/>
    <n v="42217.88"/>
    <n v="211089.4"/>
  </r>
  <r>
    <s v="2026-04-10"/>
    <s v="Hospital Santa Maria"/>
    <x v="4"/>
    <x v="0"/>
    <x v="2"/>
    <s v="Ultrassom Portátil"/>
    <n v="7"/>
    <n v="54905.19"/>
    <n v="384336.33"/>
  </r>
  <r>
    <s v="2026-04-10"/>
    <s v="Hospital São Lucas"/>
    <x v="1"/>
    <x v="4"/>
    <x v="2"/>
    <s v="Aparelho de Raio-X Móvel"/>
    <n v="8"/>
    <n v="53873.4"/>
    <n v="430987.2"/>
  </r>
  <r>
    <s v="2026-04-11"/>
    <s v="Centro Médico Avançado"/>
    <x v="2"/>
    <x v="0"/>
    <x v="1"/>
    <s v="Bisturi Eletrônico"/>
    <n v="7"/>
    <n v="29396.45"/>
    <n v="205775.15"/>
  </r>
  <r>
    <s v="2026-04-11"/>
    <s v="Hospital Metropolitano"/>
    <x v="1"/>
    <x v="4"/>
    <x v="0"/>
    <s v="Cama Hospitalar Elétrica"/>
    <n v="8"/>
    <n v="7433.57"/>
    <n v="59468.56"/>
  </r>
  <r>
    <s v="2026-04-11"/>
    <s v="Hospital Santa Maria"/>
    <x v="3"/>
    <x v="0"/>
    <x v="1"/>
    <s v="Bisturi Eletrônico"/>
    <n v="9"/>
    <n v="31803.1"/>
    <n v="286227.90000000002"/>
  </r>
  <r>
    <s v="2026-04-11"/>
    <s v="Rede Saúde Total"/>
    <x v="0"/>
    <x v="3"/>
    <x v="1"/>
    <s v="Mesa Cirúrgica Eletromecânica"/>
    <n v="5"/>
    <n v="30782.21"/>
    <n v="153911.04999999999"/>
  </r>
  <r>
    <s v="2026-04-11"/>
    <s v="Clínica Vida"/>
    <x v="4"/>
    <x v="3"/>
    <x v="2"/>
    <s v="Aparelho de Raio-X Móvel"/>
    <n v="5"/>
    <n v="55719.98"/>
    <n v="278599.90000000002"/>
  </r>
  <r>
    <s v="2026-04-11"/>
    <s v="Hospital Metropolitano"/>
    <x v="4"/>
    <x v="4"/>
    <x v="1"/>
    <s v="Foco Cirúrgico LED"/>
    <n v="4"/>
    <n v="30060.28"/>
    <n v="120241.12"/>
  </r>
  <r>
    <s v="2026-04-11"/>
    <s v="Clínica Vida"/>
    <x v="2"/>
    <x v="3"/>
    <x v="3"/>
    <s v="Ventilador Pulmonar"/>
    <n v="9"/>
    <n v="31505.84"/>
    <n v="283552.56"/>
  </r>
  <r>
    <s v="2026-04-12"/>
    <s v="Hospital Regional"/>
    <x v="1"/>
    <x v="4"/>
    <x v="1"/>
    <s v="Aspirador Cirúrgico de Secreção"/>
    <n v="5"/>
    <n v="29613.040000000001"/>
    <n v="148065.20000000001"/>
  </r>
  <r>
    <s v="2026-04-12"/>
    <s v="Clínica Vida"/>
    <x v="2"/>
    <x v="3"/>
    <x v="3"/>
    <s v="Bomba de Infusão"/>
    <n v="2"/>
    <n v="39734.57"/>
    <n v="79469.14"/>
  </r>
  <r>
    <s v="2026-04-12"/>
    <s v="Hospital Regional"/>
    <x v="0"/>
    <x v="3"/>
    <x v="1"/>
    <s v="Foco Cirúrgico LED"/>
    <n v="8"/>
    <n v="31599.26"/>
    <n v="252794.08"/>
  </r>
  <r>
    <s v="2026-04-12"/>
    <s v="Clínica Ortopédica Central"/>
    <x v="2"/>
    <x v="4"/>
    <x v="0"/>
    <s v="Poltrona de Coleta"/>
    <n v="7"/>
    <n v="9509.7199999999993"/>
    <n v="66568.039999999994"/>
  </r>
  <r>
    <s v="2026-04-12"/>
    <s v="Hospital Metropolitano"/>
    <x v="4"/>
    <x v="1"/>
    <x v="0"/>
    <s v="Carro de Emergência (Crash Cart)"/>
    <n v="8"/>
    <n v="8043.32"/>
    <n v="64346.559999999998"/>
  </r>
  <r>
    <s v="2026-04-12"/>
    <s v="Hospital Metropolitano"/>
    <x v="4"/>
    <x v="3"/>
    <x v="2"/>
    <s v="Ultrassom Portátil"/>
    <n v="3"/>
    <n v="51634.85"/>
    <n v="154904.54999999999"/>
  </r>
  <r>
    <s v="2026-04-13"/>
    <s v="Hospital São Lucas"/>
    <x v="3"/>
    <x v="0"/>
    <x v="1"/>
    <s v="Aspirador Cirúrgico de Secreção"/>
    <n v="4"/>
    <n v="32203.040000000001"/>
    <n v="128812.16"/>
  </r>
  <r>
    <s v="2026-04-13"/>
    <s v="Rede Saúde Total"/>
    <x v="3"/>
    <x v="1"/>
    <x v="3"/>
    <s v="Desfibrilador Externo"/>
    <n v="5"/>
    <n v="31261.3"/>
    <n v="156306.5"/>
  </r>
  <r>
    <s v="2026-04-13"/>
    <s v="Hospital Regional"/>
    <x v="0"/>
    <x v="4"/>
    <x v="3"/>
    <s v="Bomba de Infusão"/>
    <n v="6"/>
    <n v="33391.54"/>
    <n v="200349.24"/>
  </r>
  <r>
    <s v="2026-04-13"/>
    <s v="Hospital São Lucas"/>
    <x v="1"/>
    <x v="1"/>
    <x v="1"/>
    <s v="Aspirador Cirúrgico de Secreção"/>
    <n v="1"/>
    <n v="27099.56"/>
    <n v="27099.56"/>
  </r>
  <r>
    <s v="2026-04-13"/>
    <s v="Clínica Vida"/>
    <x v="2"/>
    <x v="2"/>
    <x v="3"/>
    <s v="Bomba de Infusão"/>
    <n v="4"/>
    <n v="30511.42"/>
    <n v="122045.68"/>
  </r>
  <r>
    <s v="2026-04-13"/>
    <s v="Clínica Vida"/>
    <x v="0"/>
    <x v="2"/>
    <x v="0"/>
    <s v="Carro de Emergência (Crash Cart)"/>
    <n v="5"/>
    <n v="7313.05"/>
    <n v="36565.25"/>
  </r>
  <r>
    <s v="2026-04-14"/>
    <s v="Hospital São Lucas"/>
    <x v="3"/>
    <x v="3"/>
    <x v="3"/>
    <s v="Bomba de Infusão"/>
    <n v="7"/>
    <n v="30850.71"/>
    <n v="215954.97"/>
  </r>
  <r>
    <s v="2026-04-14"/>
    <s v="Hospital Metropolitano"/>
    <x v="2"/>
    <x v="3"/>
    <x v="2"/>
    <s v="Aparelho de Raio-X Móvel"/>
    <n v="5"/>
    <n v="48221.46"/>
    <n v="241107.3"/>
  </r>
  <r>
    <s v="2026-04-14"/>
    <s v="Clínica Vida"/>
    <x v="3"/>
    <x v="0"/>
    <x v="0"/>
    <s v="Poltrona de Coleta"/>
    <n v="1"/>
    <n v="7230.44"/>
    <n v="7230.44"/>
  </r>
  <r>
    <s v="2026-04-14"/>
    <s v="Centro Médico Avançado"/>
    <x v="2"/>
    <x v="1"/>
    <x v="0"/>
    <s v="Carro de Emergência (Crash Cart)"/>
    <n v="7"/>
    <n v="8187.94"/>
    <n v="57315.58"/>
  </r>
  <r>
    <s v="2026-04-14"/>
    <s v="Clínica Ortopédica Central"/>
    <x v="1"/>
    <x v="2"/>
    <x v="0"/>
    <s v="Cama Hospitalar Elétrica"/>
    <n v="8"/>
    <n v="10221.799999999999"/>
    <n v="81774.399999999994"/>
  </r>
  <r>
    <s v="2026-04-14"/>
    <s v="Clínica Ortopédica Central"/>
    <x v="0"/>
    <x v="3"/>
    <x v="1"/>
    <s v="Mesa Cirúrgica Eletromecânica"/>
    <n v="7"/>
    <n v="30448.86"/>
    <n v="213142.02"/>
  </r>
  <r>
    <s v="2026-04-15"/>
    <s v="Centro Médico Avançado"/>
    <x v="2"/>
    <x v="1"/>
    <x v="1"/>
    <s v="Mesa Cirúrgica Eletromecânica"/>
    <n v="4"/>
    <n v="30608.06"/>
    <n v="122432.24"/>
  </r>
  <r>
    <s v="2026-04-15"/>
    <s v="Hospital São Lucas"/>
    <x v="4"/>
    <x v="3"/>
    <x v="0"/>
    <s v="Poltrona de Coleta"/>
    <n v="8"/>
    <n v="8596.44"/>
    <n v="68771.520000000004"/>
  </r>
  <r>
    <s v="2026-04-15"/>
    <s v="Centro Médico Avançado"/>
    <x v="4"/>
    <x v="3"/>
    <x v="1"/>
    <s v="Bisturi Eletrônico"/>
    <n v="5"/>
    <n v="31376.49"/>
    <n v="156882.45000000001"/>
  </r>
  <r>
    <s v="2026-04-15"/>
    <s v="Hospital Regional"/>
    <x v="2"/>
    <x v="2"/>
    <x v="3"/>
    <s v="Desfibrilador Externo"/>
    <n v="9"/>
    <n v="29631.14"/>
    <n v="266680.26"/>
  </r>
  <r>
    <s v="2026-04-15"/>
    <s v="Hospital Regional"/>
    <x v="2"/>
    <x v="2"/>
    <x v="1"/>
    <s v="Mesa Cirúrgica Eletromecânica"/>
    <n v="5"/>
    <n v="32969.96"/>
    <n v="164849.79999999999"/>
  </r>
  <r>
    <s v="2026-04-15"/>
    <s v="Hospital São Lucas"/>
    <x v="2"/>
    <x v="3"/>
    <x v="1"/>
    <s v="Bisturi Eletrônico"/>
    <n v="1"/>
    <n v="25106.92"/>
    <n v="25106.92"/>
  </r>
  <r>
    <s v="2026-04-16"/>
    <s v="Centro Médico Avançado"/>
    <x v="4"/>
    <x v="4"/>
    <x v="0"/>
    <s v="Cama Hospitalar Elétrica"/>
    <n v="9"/>
    <n v="9455.4"/>
    <n v="85098.6"/>
  </r>
  <r>
    <s v="2026-04-16"/>
    <s v="Hospital Regional"/>
    <x v="4"/>
    <x v="3"/>
    <x v="2"/>
    <s v="Eletrocardiógrafo"/>
    <n v="5"/>
    <n v="44390.69"/>
    <n v="221953.45"/>
  </r>
  <r>
    <s v="2026-04-16"/>
    <s v="Hospital Metropolitano"/>
    <x v="2"/>
    <x v="3"/>
    <x v="2"/>
    <s v="Aparelho de Raio-X Móvel"/>
    <n v="6"/>
    <n v="51705.23"/>
    <n v="310231.38"/>
  </r>
  <r>
    <s v="2026-04-16"/>
    <s v="Centro Médico Avançado"/>
    <x v="3"/>
    <x v="0"/>
    <x v="2"/>
    <s v="Ultrassom Portátil"/>
    <n v="4"/>
    <n v="48145.760000000002"/>
    <n v="192583.04000000001"/>
  </r>
  <r>
    <s v="2026-04-16"/>
    <s v="Hospital Metropolitano"/>
    <x v="3"/>
    <x v="0"/>
    <x v="3"/>
    <s v="Bomba de Infusão"/>
    <n v="6"/>
    <n v="32990.120000000003"/>
    <n v="197940.72"/>
  </r>
  <r>
    <s v="2026-04-16"/>
    <s v="Hospital Regional"/>
    <x v="1"/>
    <x v="0"/>
    <x v="1"/>
    <s v="Foco Cirúrgico LED"/>
    <n v="8"/>
    <n v="25697.53"/>
    <n v="205580.24"/>
  </r>
  <r>
    <s v="2026-04-17"/>
    <s v="Clínica Ortopédica Central"/>
    <x v="0"/>
    <x v="4"/>
    <x v="2"/>
    <s v="Ultrassom Portátil"/>
    <n v="3"/>
    <n v="49712.79"/>
    <n v="149138.37"/>
  </r>
  <r>
    <s v="2026-04-17"/>
    <s v="Hospital Regional"/>
    <x v="3"/>
    <x v="4"/>
    <x v="0"/>
    <s v="Maca de Transporte"/>
    <n v="5"/>
    <n v="10539.22"/>
    <n v="52696.1"/>
  </r>
  <r>
    <s v="2026-04-17"/>
    <s v="Hospital Metropolitano"/>
    <x v="4"/>
    <x v="3"/>
    <x v="2"/>
    <s v="Ultrassom Portátil"/>
    <n v="2"/>
    <n v="53110.86"/>
    <n v="106221.72"/>
  </r>
  <r>
    <s v="2026-04-17"/>
    <s v="Hospital Santa Maria"/>
    <x v="3"/>
    <x v="0"/>
    <x v="2"/>
    <s v="Monitor de Pressão Arterial 24h"/>
    <n v="2"/>
    <n v="39330.15"/>
    <n v="78660.3"/>
  </r>
  <r>
    <s v="2026-04-17"/>
    <s v="Rede Saúde Total"/>
    <x v="1"/>
    <x v="4"/>
    <x v="1"/>
    <s v="Mesa Cirúrgica Eletromecânica"/>
    <n v="7"/>
    <n v="28013.77"/>
    <n v="196096.39"/>
  </r>
  <r>
    <s v="2026-04-17"/>
    <s v="Clínica Vida"/>
    <x v="1"/>
    <x v="2"/>
    <x v="1"/>
    <s v="Aspirador Cirúrgico de Secreção"/>
    <n v="6"/>
    <n v="34166.53"/>
    <n v="204999.18"/>
  </r>
  <r>
    <s v="2026-04-17"/>
    <s v="Centro Médico Avançado"/>
    <x v="0"/>
    <x v="3"/>
    <x v="1"/>
    <s v="Foco Cirúrgico LED"/>
    <n v="4"/>
    <n v="29434.09"/>
    <n v="117736.36"/>
  </r>
  <r>
    <s v="2026-04-18"/>
    <s v="Hospital Santa Maria"/>
    <x v="3"/>
    <x v="1"/>
    <x v="3"/>
    <s v="Desfibrilador Externo"/>
    <n v="5"/>
    <n v="35675.03"/>
    <n v="178375.15"/>
  </r>
  <r>
    <s v="2026-04-18"/>
    <s v="Hospital Regional"/>
    <x v="4"/>
    <x v="3"/>
    <x v="3"/>
    <s v="Bomba de Infusão"/>
    <n v="1"/>
    <n v="38881.269999999997"/>
    <n v="38881.269999999997"/>
  </r>
  <r>
    <s v="2026-04-18"/>
    <s v="Clínica Ortopédica Central"/>
    <x v="4"/>
    <x v="1"/>
    <x v="2"/>
    <s v="Ultrassom Portátil"/>
    <n v="7"/>
    <n v="53978.3"/>
    <n v="377848.1"/>
  </r>
  <r>
    <s v="2026-04-18"/>
    <s v="Hospital São Lucas"/>
    <x v="2"/>
    <x v="0"/>
    <x v="1"/>
    <s v="Bisturi Eletrônico"/>
    <n v="8"/>
    <n v="29420.39"/>
    <n v="235363.12"/>
  </r>
  <r>
    <s v="2026-04-18"/>
    <s v="Hospital Regional"/>
    <x v="4"/>
    <x v="1"/>
    <x v="2"/>
    <s v="Monitor de Pressão Arterial 24h"/>
    <n v="9"/>
    <n v="46127.63"/>
    <n v="415148.67"/>
  </r>
  <r>
    <s v="2026-04-18"/>
    <s v="Clínica Ortopédica Central"/>
    <x v="0"/>
    <x v="0"/>
    <x v="0"/>
    <s v="Carro de Emergência (Crash Cart)"/>
    <n v="8"/>
    <n v="8379.9500000000007"/>
    <n v="67039.600000000006"/>
  </r>
  <r>
    <s v="2026-04-19"/>
    <s v="Rede Saúde Total"/>
    <x v="0"/>
    <x v="2"/>
    <x v="0"/>
    <s v="Cama Hospitalar Elétrica"/>
    <n v="5"/>
    <n v="9669.67"/>
    <n v="48348.35"/>
  </r>
  <r>
    <s v="2026-04-19"/>
    <s v="Hospital Regional"/>
    <x v="4"/>
    <x v="1"/>
    <x v="1"/>
    <s v="Bisturi Eletrônico"/>
    <n v="3"/>
    <n v="27014.25"/>
    <n v="81042.75"/>
  </r>
  <r>
    <s v="2026-04-19"/>
    <s v="Hospital Metropolitano"/>
    <x v="4"/>
    <x v="3"/>
    <x v="1"/>
    <s v="Aspirador Cirúrgico de Secreção"/>
    <n v="9"/>
    <n v="26598.74"/>
    <n v="239388.66"/>
  </r>
  <r>
    <s v="2026-04-19"/>
    <s v="Hospital São Lucas"/>
    <x v="2"/>
    <x v="0"/>
    <x v="0"/>
    <s v="Poltrona de Coleta"/>
    <n v="6"/>
    <n v="8436.25"/>
    <n v="50617.5"/>
  </r>
  <r>
    <s v="2026-04-19"/>
    <s v="Clínica Ortopédica Central"/>
    <x v="4"/>
    <x v="3"/>
    <x v="1"/>
    <s v="Aspirador Cirúrgico de Secreção"/>
    <n v="5"/>
    <n v="25784.81"/>
    <n v="128924.05"/>
  </r>
  <r>
    <s v="2026-04-19"/>
    <s v="Clínica Ortopédica Central"/>
    <x v="2"/>
    <x v="4"/>
    <x v="3"/>
    <s v="Ventilador Pulmonar"/>
    <n v="3"/>
    <n v="36097.53"/>
    <n v="108292.59"/>
  </r>
  <r>
    <s v="2026-04-20"/>
    <s v="Clínica Ortopédica Central"/>
    <x v="2"/>
    <x v="0"/>
    <x v="3"/>
    <s v="Desfibrilador Externo"/>
    <n v="6"/>
    <n v="35087.879999999997"/>
    <n v="210527.28"/>
  </r>
  <r>
    <s v="2026-04-20"/>
    <s v="Rede Saúde Total"/>
    <x v="4"/>
    <x v="1"/>
    <x v="1"/>
    <s v="Foco Cirúrgico LED"/>
    <n v="3"/>
    <n v="29208.240000000002"/>
    <n v="87624.72"/>
  </r>
  <r>
    <s v="2026-04-20"/>
    <s v="Hospital Regional"/>
    <x v="1"/>
    <x v="0"/>
    <x v="0"/>
    <s v="Carro de Emergência (Crash Cart)"/>
    <n v="6"/>
    <n v="8552.11"/>
    <n v="51312.66"/>
  </r>
  <r>
    <s v="2026-04-20"/>
    <s v="Rede Saúde Total"/>
    <x v="1"/>
    <x v="3"/>
    <x v="2"/>
    <s v="Monitor de Pressão Arterial 24h"/>
    <n v="4"/>
    <n v="54613.13"/>
    <n v="218452.52"/>
  </r>
  <r>
    <s v="2026-04-20"/>
    <s v="Centro Médico Avançado"/>
    <x v="2"/>
    <x v="2"/>
    <x v="1"/>
    <s v="Bisturi Eletrônico"/>
    <n v="2"/>
    <n v="24126.19"/>
    <n v="48252.38"/>
  </r>
  <r>
    <s v="2026-04-20"/>
    <s v="Clínica Vida"/>
    <x v="4"/>
    <x v="0"/>
    <x v="1"/>
    <s v="Mesa Cirúrgica Eletromecânica"/>
    <n v="8"/>
    <n v="32414.01"/>
    <n v="259312.08"/>
  </r>
  <r>
    <s v="2026-04-21"/>
    <s v="Clínica Vida"/>
    <x v="1"/>
    <x v="1"/>
    <x v="2"/>
    <s v="Eletrocardiógrafo"/>
    <n v="4"/>
    <n v="54484.37"/>
    <n v="217937.48"/>
  </r>
  <r>
    <s v="2026-04-21"/>
    <s v="Centro Médico Avançado"/>
    <x v="4"/>
    <x v="4"/>
    <x v="1"/>
    <s v="Mesa Cirúrgica Eletromecânica"/>
    <n v="9"/>
    <n v="28799.17"/>
    <n v="259192.53"/>
  </r>
  <r>
    <s v="2026-04-21"/>
    <s v="Hospital Regional"/>
    <x v="4"/>
    <x v="2"/>
    <x v="2"/>
    <s v="Eletrocardiógrafo"/>
    <n v="7"/>
    <n v="48162.43"/>
    <n v="337137.01"/>
  </r>
  <r>
    <s v="2026-04-21"/>
    <s v="Hospital Metropolitano"/>
    <x v="4"/>
    <x v="4"/>
    <x v="0"/>
    <s v="Cama Hospitalar Elétrica"/>
    <n v="2"/>
    <n v="10436.18"/>
    <n v="20872.36"/>
  </r>
  <r>
    <s v="2026-04-21"/>
    <s v="Rede Saúde Total"/>
    <x v="3"/>
    <x v="0"/>
    <x v="3"/>
    <s v="Bomba de Infusão"/>
    <n v="4"/>
    <n v="29917.15"/>
    <n v="119668.6"/>
  </r>
  <r>
    <s v="2026-04-21"/>
    <s v="Hospital São Lucas"/>
    <x v="4"/>
    <x v="3"/>
    <x v="0"/>
    <s v="Cama Hospitalar Elétrica"/>
    <n v="5"/>
    <n v="8993.4599999999991"/>
    <n v="44967.3"/>
  </r>
  <r>
    <s v="2026-04-22"/>
    <s v="Clínica Ortopédica Central"/>
    <x v="3"/>
    <x v="3"/>
    <x v="3"/>
    <s v="Ventilador Pulmonar"/>
    <n v="3"/>
    <n v="33276.43"/>
    <n v="99829.29"/>
  </r>
  <r>
    <s v="2026-04-22"/>
    <s v="Clínica Ortopédica Central"/>
    <x v="2"/>
    <x v="1"/>
    <x v="2"/>
    <s v="Monitor de Pressão Arterial 24h"/>
    <n v="9"/>
    <n v="42901.07"/>
    <n v="386109.63"/>
  </r>
  <r>
    <s v="2026-04-22"/>
    <s v="Hospital Regional"/>
    <x v="1"/>
    <x v="3"/>
    <x v="3"/>
    <s v="Ventilador Pulmonar"/>
    <n v="5"/>
    <n v="37677.99"/>
    <n v="188389.95"/>
  </r>
  <r>
    <s v="2026-04-22"/>
    <s v="Hospital Metropolitano"/>
    <x v="1"/>
    <x v="2"/>
    <x v="0"/>
    <s v="Maca de Transporte"/>
    <n v="2"/>
    <n v="10283.64"/>
    <n v="20567.28"/>
  </r>
  <r>
    <s v="2026-04-22"/>
    <s v="Clínica Vida"/>
    <x v="1"/>
    <x v="3"/>
    <x v="3"/>
    <s v="Desfibrilador Externo"/>
    <n v="3"/>
    <n v="37208.74"/>
    <n v="111626.22"/>
  </r>
  <r>
    <s v="2026-04-22"/>
    <s v="Clínica Vida"/>
    <x v="1"/>
    <x v="1"/>
    <x v="2"/>
    <s v="Monitor de Pressão Arterial 24h"/>
    <n v="9"/>
    <n v="41766.46"/>
    <n v="375898.14"/>
  </r>
  <r>
    <s v="2026-04-23"/>
    <s v="Clínica Ortopédica Central"/>
    <x v="1"/>
    <x v="0"/>
    <x v="3"/>
    <s v="Bomba de Infusão"/>
    <n v="7"/>
    <n v="28310.38"/>
    <n v="198172.66"/>
  </r>
  <r>
    <s v="2026-04-23"/>
    <s v="Hospital Regional"/>
    <x v="1"/>
    <x v="0"/>
    <x v="1"/>
    <s v="Foco Cirúrgico LED"/>
    <n v="2"/>
    <n v="30580.98"/>
    <n v="61161.96"/>
  </r>
  <r>
    <s v="2026-04-23"/>
    <s v="Rede Saúde Total"/>
    <x v="1"/>
    <x v="3"/>
    <x v="0"/>
    <s v="Cama Hospitalar Elétrica"/>
    <n v="9"/>
    <n v="7419.12"/>
    <n v="66772.08"/>
  </r>
  <r>
    <s v="2026-04-23"/>
    <s v="Clínica Vida"/>
    <x v="2"/>
    <x v="4"/>
    <x v="1"/>
    <s v="Mesa Cirúrgica Eletromecânica"/>
    <n v="4"/>
    <n v="31335.65"/>
    <n v="125342.6"/>
  </r>
  <r>
    <s v="2026-04-23"/>
    <s v="Rede Saúde Total"/>
    <x v="4"/>
    <x v="0"/>
    <x v="2"/>
    <s v="Eletrocardiógrafo"/>
    <n v="9"/>
    <n v="47797.64"/>
    <n v="430178.76"/>
  </r>
  <r>
    <s v="2026-04-23"/>
    <s v="Hospital Metropolitano"/>
    <x v="0"/>
    <x v="3"/>
    <x v="3"/>
    <s v="Bomba de Infusão"/>
    <n v="2"/>
    <n v="35683.660000000003"/>
    <n v="71367.320000000007"/>
  </r>
  <r>
    <s v="2026-04-23"/>
    <s v="Clínica Vida"/>
    <x v="3"/>
    <x v="1"/>
    <x v="1"/>
    <s v="Aspirador Cirúrgico de Secreção"/>
    <n v="4"/>
    <n v="30409.91"/>
    <n v="121639.64"/>
  </r>
  <r>
    <s v="2026-04-24"/>
    <s v="Clínica Vida"/>
    <x v="0"/>
    <x v="3"/>
    <x v="1"/>
    <s v="Aspirador Cirúrgico de Secreção"/>
    <n v="5"/>
    <n v="28534.27"/>
    <n v="142671.35"/>
  </r>
  <r>
    <s v="2026-04-24"/>
    <s v="Hospital Santa Maria"/>
    <x v="0"/>
    <x v="0"/>
    <x v="3"/>
    <s v="Desfibrilador Externo"/>
    <n v="2"/>
    <n v="29771.23"/>
    <n v="59542.46"/>
  </r>
  <r>
    <s v="2026-04-24"/>
    <s v="Clínica Vida"/>
    <x v="4"/>
    <x v="1"/>
    <x v="3"/>
    <s v="Monitor Multiparamétrico"/>
    <n v="1"/>
    <n v="31112.99"/>
    <n v="31112.99"/>
  </r>
  <r>
    <s v="2026-04-24"/>
    <s v="Centro Médico Avançado"/>
    <x v="4"/>
    <x v="3"/>
    <x v="0"/>
    <s v="Maca de Transporte"/>
    <n v="7"/>
    <n v="9008.2999999999993"/>
    <n v="63058.1"/>
  </r>
  <r>
    <s v="2026-04-24"/>
    <s v="Hospital São Lucas"/>
    <x v="4"/>
    <x v="2"/>
    <x v="1"/>
    <s v="Aspirador Cirúrgico de Secreção"/>
    <n v="1"/>
    <n v="31100.92"/>
    <n v="31100.92"/>
  </r>
  <r>
    <s v="2026-04-24"/>
    <s v="Centro Médico Avançado"/>
    <x v="1"/>
    <x v="1"/>
    <x v="1"/>
    <s v="Bisturi Eletrônico"/>
    <n v="8"/>
    <n v="32530.21"/>
    <n v="260241.68"/>
  </r>
  <r>
    <s v="2026-04-25"/>
    <s v="Hospital Regional"/>
    <x v="2"/>
    <x v="2"/>
    <x v="2"/>
    <s v="Aparelho de Raio-X Móvel"/>
    <n v="3"/>
    <n v="52059.07"/>
    <n v="156177.21"/>
  </r>
  <r>
    <s v="2026-04-25"/>
    <s v="Hospital Regional"/>
    <x v="1"/>
    <x v="4"/>
    <x v="0"/>
    <s v="Carro de Emergência (Crash Cart)"/>
    <n v="6"/>
    <n v="10532.14"/>
    <n v="63192.84"/>
  </r>
  <r>
    <s v="2026-04-25"/>
    <s v="Rede Saúde Total"/>
    <x v="2"/>
    <x v="1"/>
    <x v="2"/>
    <s v="Eletrocardiógrafo"/>
    <n v="7"/>
    <n v="43395.15"/>
    <n v="303766.05"/>
  </r>
  <r>
    <s v="2026-04-25"/>
    <s v="Centro Médico Avançado"/>
    <x v="2"/>
    <x v="2"/>
    <x v="1"/>
    <s v="Foco Cirúrgico LED"/>
    <n v="1"/>
    <n v="24596.44"/>
    <n v="24596.44"/>
  </r>
  <r>
    <s v="2026-04-25"/>
    <s v="Centro Médico Avançado"/>
    <x v="0"/>
    <x v="0"/>
    <x v="2"/>
    <s v="Monitor de Pressão Arterial 24h"/>
    <n v="6"/>
    <n v="44471.82"/>
    <n v="266830.92"/>
  </r>
  <r>
    <s v="2026-04-25"/>
    <s v="Centro Médico Avançado"/>
    <x v="0"/>
    <x v="0"/>
    <x v="1"/>
    <s v="Foco Cirúrgico LED"/>
    <n v="7"/>
    <n v="32124.9"/>
    <n v="224874.3"/>
  </r>
  <r>
    <s v="2026-04-26"/>
    <s v="Hospital Metropolitano"/>
    <x v="2"/>
    <x v="4"/>
    <x v="1"/>
    <s v="Aspirador Cirúrgico de Secreção"/>
    <n v="6"/>
    <n v="28706.85"/>
    <n v="172241.1"/>
  </r>
  <r>
    <s v="2026-04-26"/>
    <s v="Clínica Vida"/>
    <x v="2"/>
    <x v="1"/>
    <x v="2"/>
    <s v="Monitor de Pressão Arterial 24h"/>
    <n v="4"/>
    <n v="52970.19"/>
    <n v="211880.76"/>
  </r>
  <r>
    <s v="2026-04-26"/>
    <s v="Hospital São Lucas"/>
    <x v="1"/>
    <x v="1"/>
    <x v="2"/>
    <s v="Eletrocardiógrafo"/>
    <n v="1"/>
    <n v="48137.87"/>
    <n v="48137.87"/>
  </r>
  <r>
    <s v="2026-04-26"/>
    <s v="Rede Saúde Total"/>
    <x v="1"/>
    <x v="1"/>
    <x v="3"/>
    <s v="Desfibrilador Externo"/>
    <n v="9"/>
    <n v="39101.33"/>
    <n v="351911.97"/>
  </r>
  <r>
    <s v="2026-04-26"/>
    <s v="Centro Médico Avançado"/>
    <x v="0"/>
    <x v="4"/>
    <x v="3"/>
    <s v="Bomba de Infusão"/>
    <n v="4"/>
    <n v="39332.65"/>
    <n v="157330.6"/>
  </r>
  <r>
    <s v="2026-04-26"/>
    <s v="Centro Médico Avançado"/>
    <x v="4"/>
    <x v="1"/>
    <x v="3"/>
    <s v="Bomba de Infusão"/>
    <n v="7"/>
    <n v="28087.1"/>
    <n v="196609.7"/>
  </r>
  <r>
    <s v="2026-04-27"/>
    <s v="Hospital Santa Maria"/>
    <x v="2"/>
    <x v="0"/>
    <x v="1"/>
    <s v="Aspirador Cirúrgico de Secreção"/>
    <n v="7"/>
    <n v="28911.83"/>
    <n v="202382.81"/>
  </r>
  <r>
    <s v="2026-04-27"/>
    <s v="Rede Saúde Total"/>
    <x v="1"/>
    <x v="2"/>
    <x v="2"/>
    <s v="Eletrocardiógrafo"/>
    <n v="2"/>
    <n v="49224.4"/>
    <n v="98448.8"/>
  </r>
  <r>
    <s v="2026-04-27"/>
    <s v="Centro Médico Avançado"/>
    <x v="0"/>
    <x v="0"/>
    <x v="0"/>
    <s v="Carro de Emergência (Crash Cart)"/>
    <n v="1"/>
    <n v="8094.97"/>
    <n v="8094.97"/>
  </r>
  <r>
    <s v="2026-04-27"/>
    <s v="Rede Saúde Total"/>
    <x v="1"/>
    <x v="0"/>
    <x v="1"/>
    <s v="Bisturi Eletrônico"/>
    <n v="8"/>
    <n v="28359.26"/>
    <n v="226874.08"/>
  </r>
  <r>
    <s v="2026-04-27"/>
    <s v="Clínica Vida"/>
    <x v="2"/>
    <x v="2"/>
    <x v="0"/>
    <s v="Maca de Transporte"/>
    <n v="8"/>
    <n v="9529.1200000000008"/>
    <n v="76232.960000000006"/>
  </r>
  <r>
    <s v="2026-04-27"/>
    <s v="Hospital Santa Maria"/>
    <x v="2"/>
    <x v="0"/>
    <x v="2"/>
    <s v="Eletrocardiógrafo"/>
    <n v="7"/>
    <n v="42331.22"/>
    <n v="296318.53999999998"/>
  </r>
  <r>
    <s v="2026-04-28"/>
    <s v="Rede Saúde Total"/>
    <x v="3"/>
    <x v="4"/>
    <x v="1"/>
    <s v="Mesa Cirúrgica Eletromecânica"/>
    <n v="8"/>
    <n v="30542.19"/>
    <n v="244337.52"/>
  </r>
  <r>
    <s v="2026-04-28"/>
    <s v="Hospital São Lucas"/>
    <x v="4"/>
    <x v="2"/>
    <x v="0"/>
    <s v="Maca de Transporte"/>
    <n v="3"/>
    <n v="9596.32"/>
    <n v="28788.959999999999"/>
  </r>
  <r>
    <s v="2026-04-28"/>
    <s v="Hospital São Lucas"/>
    <x v="3"/>
    <x v="0"/>
    <x v="0"/>
    <s v="Carro de Emergência (Crash Cart)"/>
    <n v="2"/>
    <n v="7532.69"/>
    <n v="15065.38"/>
  </r>
  <r>
    <s v="2026-04-28"/>
    <s v="Hospital Regional"/>
    <x v="0"/>
    <x v="3"/>
    <x v="3"/>
    <s v="Bomba de Infusão"/>
    <n v="7"/>
    <n v="33568.379999999997"/>
    <n v="234978.66"/>
  </r>
  <r>
    <s v="2026-04-28"/>
    <s v="Hospital Santa Maria"/>
    <x v="1"/>
    <x v="0"/>
    <x v="3"/>
    <s v="Monitor Multiparamétrico"/>
    <n v="8"/>
    <n v="30567.42"/>
    <n v="244539.36"/>
  </r>
  <r>
    <s v="2026-04-28"/>
    <s v="Hospital Santa Maria"/>
    <x v="0"/>
    <x v="4"/>
    <x v="3"/>
    <s v="Monitor Multiparamétrico"/>
    <n v="1"/>
    <n v="36472.15"/>
    <n v="36472.15"/>
  </r>
  <r>
    <s v="2026-04-29"/>
    <s v="Hospital Regional"/>
    <x v="2"/>
    <x v="1"/>
    <x v="1"/>
    <s v="Bisturi Eletrônico"/>
    <n v="9"/>
    <n v="25923.02"/>
    <n v="233307.18"/>
  </r>
  <r>
    <s v="2026-04-29"/>
    <s v="Rede Saúde Total"/>
    <x v="3"/>
    <x v="0"/>
    <x v="2"/>
    <s v="Eletrocardiógrafo"/>
    <n v="4"/>
    <n v="54310.28"/>
    <n v="217241.12"/>
  </r>
  <r>
    <s v="2026-04-29"/>
    <s v="Hospital Santa Maria"/>
    <x v="3"/>
    <x v="1"/>
    <x v="2"/>
    <s v="Monitor de Pressão Arterial 24h"/>
    <n v="4"/>
    <n v="46006.94"/>
    <n v="184027.76"/>
  </r>
  <r>
    <s v="2026-04-29"/>
    <s v="Hospital São Lucas"/>
    <x v="3"/>
    <x v="3"/>
    <x v="3"/>
    <s v="Monitor Multiparamétrico"/>
    <n v="3"/>
    <n v="29734.44"/>
    <n v="89203.32"/>
  </r>
  <r>
    <s v="2026-04-29"/>
    <s v="Hospital São Lucas"/>
    <x v="0"/>
    <x v="0"/>
    <x v="3"/>
    <s v="Monitor Multiparamétrico"/>
    <n v="6"/>
    <n v="32806.68"/>
    <n v="196840.08"/>
  </r>
  <r>
    <s v="2026-04-29"/>
    <s v="Centro Médico Avançado"/>
    <x v="2"/>
    <x v="2"/>
    <x v="3"/>
    <s v="Desfibrilador Externo"/>
    <n v="1"/>
    <n v="32431.919999999998"/>
    <n v="32431.919999999998"/>
  </r>
  <r>
    <s v="2026-04-29"/>
    <s v="Clínica Vida"/>
    <x v="1"/>
    <x v="1"/>
    <x v="0"/>
    <s v="Maca de Transporte"/>
    <n v="6"/>
    <n v="8683.32"/>
    <n v="52099.92"/>
  </r>
  <r>
    <s v="2026-04-30"/>
    <s v="Hospital Santa Maria"/>
    <x v="1"/>
    <x v="3"/>
    <x v="3"/>
    <s v="Ventilador Pulmonar"/>
    <n v="2"/>
    <n v="34695.18"/>
    <n v="69390.36"/>
  </r>
  <r>
    <s v="2026-04-30"/>
    <s v="Rede Saúde Total"/>
    <x v="0"/>
    <x v="2"/>
    <x v="0"/>
    <s v="Maca de Transporte"/>
    <n v="9"/>
    <n v="8996.99"/>
    <n v="80972.91"/>
  </r>
  <r>
    <s v="2026-04-30"/>
    <s v="Hospital Regional"/>
    <x v="3"/>
    <x v="2"/>
    <x v="2"/>
    <s v="Monitor de Pressão Arterial 24h"/>
    <n v="2"/>
    <n v="40945.99"/>
    <n v="81891.98"/>
  </r>
  <r>
    <s v="2026-04-30"/>
    <s v="Hospital Regional"/>
    <x v="4"/>
    <x v="2"/>
    <x v="1"/>
    <s v="Foco Cirúrgico LED"/>
    <n v="7"/>
    <n v="24534.49"/>
    <n v="171741.43"/>
  </r>
  <r>
    <s v="2026-04-30"/>
    <s v="Rede Saúde Total"/>
    <x v="0"/>
    <x v="2"/>
    <x v="1"/>
    <s v="Bisturi Eletrônico"/>
    <n v="1"/>
    <n v="31969.45"/>
    <n v="31969.45"/>
  </r>
  <r>
    <s v="2026-04-30"/>
    <s v="Hospital Metropolitano"/>
    <x v="0"/>
    <x v="0"/>
    <x v="1"/>
    <s v="Aspirador Cirúrgico de Secreção"/>
    <n v="7"/>
    <n v="30068.84"/>
    <n v="210481.88"/>
  </r>
  <r>
    <s v="2026-05-01"/>
    <s v="Clínica Ortopédica Central"/>
    <x v="2"/>
    <x v="0"/>
    <x v="1"/>
    <s v="Aspirador Cirúrgico de Secreção"/>
    <n v="5"/>
    <n v="27820.81"/>
    <n v="139104.04999999999"/>
  </r>
  <r>
    <s v="2026-05-01"/>
    <s v="Clínica Vida"/>
    <x v="1"/>
    <x v="0"/>
    <x v="0"/>
    <s v="Carro de Emergência (Crash Cart)"/>
    <n v="8"/>
    <n v="9973.42"/>
    <n v="79787.360000000001"/>
  </r>
  <r>
    <s v="2026-05-01"/>
    <s v="Hospital Regional"/>
    <x v="0"/>
    <x v="3"/>
    <x v="0"/>
    <s v="Poltrona de Coleta"/>
    <n v="4"/>
    <n v="8544.4"/>
    <n v="34177.599999999999"/>
  </r>
  <r>
    <s v="2026-05-01"/>
    <s v="Hospital Santa Maria"/>
    <x v="0"/>
    <x v="3"/>
    <x v="3"/>
    <s v="Monitor Multiparamétrico"/>
    <n v="7"/>
    <n v="37388.35"/>
    <n v="261718.45"/>
  </r>
  <r>
    <s v="2026-05-01"/>
    <s v="Clínica Vida"/>
    <x v="3"/>
    <x v="3"/>
    <x v="0"/>
    <s v="Carro de Emergência (Crash Cart)"/>
    <n v="6"/>
    <n v="8264.57"/>
    <n v="49587.42"/>
  </r>
  <r>
    <s v="2026-05-01"/>
    <s v="Hospital Santa Maria"/>
    <x v="3"/>
    <x v="4"/>
    <x v="3"/>
    <s v="Desfibrilador Externo"/>
    <n v="5"/>
    <n v="28132.42"/>
    <n v="140662.1"/>
  </r>
  <r>
    <s v="2026-05-02"/>
    <s v="Hospital Metropolitano"/>
    <x v="4"/>
    <x v="3"/>
    <x v="3"/>
    <s v="Bomba de Infusão"/>
    <n v="4"/>
    <n v="39137.79"/>
    <n v="156551.16"/>
  </r>
  <r>
    <s v="2026-05-02"/>
    <s v="Hospital São Lucas"/>
    <x v="2"/>
    <x v="0"/>
    <x v="1"/>
    <s v="Bisturi Eletrônico"/>
    <n v="7"/>
    <n v="28218.97"/>
    <n v="197532.79"/>
  </r>
  <r>
    <s v="2026-05-02"/>
    <s v="Clínica Vida"/>
    <x v="4"/>
    <x v="0"/>
    <x v="0"/>
    <s v="Carro de Emergência (Crash Cart)"/>
    <n v="5"/>
    <n v="9920.15"/>
    <n v="49600.75"/>
  </r>
  <r>
    <s v="2026-05-02"/>
    <s v="Centro Médico Avançado"/>
    <x v="3"/>
    <x v="4"/>
    <x v="0"/>
    <s v="Cama Hospitalar Elétrica"/>
    <n v="5"/>
    <n v="8174.09"/>
    <n v="40870.449999999997"/>
  </r>
  <r>
    <s v="2026-05-02"/>
    <s v="Hospital Regional"/>
    <x v="1"/>
    <x v="4"/>
    <x v="3"/>
    <s v="Desfibrilador Externo"/>
    <n v="1"/>
    <n v="35473.47"/>
    <n v="35473.47"/>
  </r>
  <r>
    <s v="2026-05-02"/>
    <s v="Clínica Vida"/>
    <x v="3"/>
    <x v="3"/>
    <x v="3"/>
    <s v="Ventilador Pulmonar"/>
    <n v="2"/>
    <n v="38378.379999999997"/>
    <n v="76756.759999999995"/>
  </r>
  <r>
    <s v="2026-05-03"/>
    <s v="Clínica Vida"/>
    <x v="2"/>
    <x v="1"/>
    <x v="2"/>
    <s v="Monitor de Pressão Arterial 24h"/>
    <n v="5"/>
    <n v="38999.589999999997"/>
    <n v="194997.95"/>
  </r>
  <r>
    <s v="2026-05-03"/>
    <s v="Clínica Vida"/>
    <x v="3"/>
    <x v="4"/>
    <x v="2"/>
    <s v="Aparelho de Raio-X Móvel"/>
    <n v="3"/>
    <n v="53201.440000000002"/>
    <n v="159604.32"/>
  </r>
  <r>
    <s v="2026-05-03"/>
    <s v="Clínica Ortopédica Central"/>
    <x v="2"/>
    <x v="2"/>
    <x v="3"/>
    <s v="Monitor Multiparamétrico"/>
    <n v="2"/>
    <n v="34513.06"/>
    <n v="69026.12"/>
  </r>
  <r>
    <s v="2026-05-03"/>
    <s v="Clínica Vida"/>
    <x v="2"/>
    <x v="0"/>
    <x v="2"/>
    <s v="Aparelho de Raio-X Móvel"/>
    <n v="4"/>
    <n v="49184.49"/>
    <n v="196737.96"/>
  </r>
  <r>
    <s v="2026-05-03"/>
    <s v="Hospital Santa Maria"/>
    <x v="2"/>
    <x v="2"/>
    <x v="2"/>
    <s v="Monitor de Pressão Arterial 24h"/>
    <n v="4"/>
    <n v="47666.84"/>
    <n v="190667.36"/>
  </r>
  <r>
    <s v="2026-05-03"/>
    <s v="Hospital São Lucas"/>
    <x v="2"/>
    <x v="0"/>
    <x v="3"/>
    <s v="Bomba de Infusão"/>
    <n v="4"/>
    <n v="38393.279999999999"/>
    <n v="153573.12"/>
  </r>
  <r>
    <s v="2026-05-04"/>
    <s v="Hospital Metropolitano"/>
    <x v="2"/>
    <x v="0"/>
    <x v="3"/>
    <s v="Bomba de Infusão"/>
    <n v="4"/>
    <n v="27755.95"/>
    <n v="111023.8"/>
  </r>
  <r>
    <s v="2026-05-04"/>
    <s v="Rede Saúde Total"/>
    <x v="1"/>
    <x v="4"/>
    <x v="0"/>
    <s v="Cama Hospitalar Elétrica"/>
    <n v="3"/>
    <n v="8112.5"/>
    <n v="24337.5"/>
  </r>
  <r>
    <s v="2026-05-04"/>
    <s v="Clínica Vida"/>
    <x v="4"/>
    <x v="4"/>
    <x v="3"/>
    <s v="Ventilador Pulmonar"/>
    <n v="7"/>
    <n v="38409.760000000002"/>
    <n v="268868.32"/>
  </r>
  <r>
    <s v="2026-05-04"/>
    <s v="Hospital Regional"/>
    <x v="0"/>
    <x v="2"/>
    <x v="3"/>
    <s v="Monitor Multiparamétrico"/>
    <n v="9"/>
    <n v="36830.019999999997"/>
    <n v="331470.18"/>
  </r>
  <r>
    <s v="2026-05-04"/>
    <s v="Clínica Vida"/>
    <x v="4"/>
    <x v="0"/>
    <x v="1"/>
    <s v="Foco Cirúrgico LED"/>
    <n v="5"/>
    <n v="23997.63"/>
    <n v="119988.15"/>
  </r>
  <r>
    <s v="2026-05-04"/>
    <s v="Hospital Regional"/>
    <x v="2"/>
    <x v="2"/>
    <x v="0"/>
    <s v="Poltrona de Coleta"/>
    <n v="4"/>
    <n v="8982.82"/>
    <n v="35931.279999999999"/>
  </r>
  <r>
    <s v="2026-05-05"/>
    <s v="Hospital Santa Maria"/>
    <x v="1"/>
    <x v="1"/>
    <x v="0"/>
    <s v="Poltrona de Coleta"/>
    <n v="2"/>
    <n v="9025.5499999999993"/>
    <n v="18051.099999999999"/>
  </r>
  <r>
    <s v="2026-05-05"/>
    <s v="Hospital Regional"/>
    <x v="3"/>
    <x v="2"/>
    <x v="0"/>
    <s v="Cama Hospitalar Elétrica"/>
    <n v="2"/>
    <n v="8588"/>
    <n v="17176"/>
  </r>
  <r>
    <s v="2026-05-05"/>
    <s v="Centro Médico Avançado"/>
    <x v="1"/>
    <x v="3"/>
    <x v="1"/>
    <s v="Foco Cirúrgico LED"/>
    <n v="5"/>
    <n v="27130.81"/>
    <n v="135654.04999999999"/>
  </r>
  <r>
    <s v="2026-05-05"/>
    <s v="Rede Saúde Total"/>
    <x v="2"/>
    <x v="2"/>
    <x v="3"/>
    <s v="Ventilador Pulmonar"/>
    <n v="7"/>
    <n v="35926.080000000002"/>
    <n v="251482.56"/>
  </r>
  <r>
    <s v="2026-05-05"/>
    <s v="Hospital São Lucas"/>
    <x v="1"/>
    <x v="3"/>
    <x v="0"/>
    <s v="Cama Hospitalar Elétrica"/>
    <n v="9"/>
    <n v="7931.49"/>
    <n v="71383.41"/>
  </r>
  <r>
    <s v="2026-05-05"/>
    <s v="Hospital Regional"/>
    <x v="1"/>
    <x v="3"/>
    <x v="0"/>
    <s v="Maca de Transporte"/>
    <n v="7"/>
    <n v="9941.43"/>
    <n v="69590.009999999995"/>
  </r>
  <r>
    <s v="2026-05-05"/>
    <s v="Hospital Regional"/>
    <x v="2"/>
    <x v="3"/>
    <x v="2"/>
    <s v="Aparelho de Raio-X Móvel"/>
    <n v="5"/>
    <n v="52704.67"/>
    <n v="263523.34999999998"/>
  </r>
  <r>
    <s v="2026-05-06"/>
    <s v="Hospital São Lucas"/>
    <x v="1"/>
    <x v="1"/>
    <x v="0"/>
    <s v="Cama Hospitalar Elétrica"/>
    <n v="6"/>
    <n v="8636.89"/>
    <n v="51821.34"/>
  </r>
  <r>
    <s v="2026-05-06"/>
    <s v="Rede Saúde Total"/>
    <x v="0"/>
    <x v="2"/>
    <x v="3"/>
    <s v="Desfibrilador Externo"/>
    <n v="3"/>
    <n v="30829.41"/>
    <n v="92488.23"/>
  </r>
  <r>
    <s v="2026-05-06"/>
    <s v="Clínica Vida"/>
    <x v="0"/>
    <x v="2"/>
    <x v="3"/>
    <s v="Monitor Multiparamétrico"/>
    <n v="5"/>
    <n v="30833.64"/>
    <n v="154168.20000000001"/>
  </r>
  <r>
    <s v="2026-05-06"/>
    <s v="Hospital Regional"/>
    <x v="1"/>
    <x v="1"/>
    <x v="2"/>
    <s v="Monitor de Pressão Arterial 24h"/>
    <n v="8"/>
    <n v="46931.24"/>
    <n v="375449.92"/>
  </r>
  <r>
    <s v="2026-05-06"/>
    <s v="Hospital São Lucas"/>
    <x v="3"/>
    <x v="0"/>
    <x v="0"/>
    <s v="Carro de Emergência (Crash Cart)"/>
    <n v="1"/>
    <n v="9671.57"/>
    <n v="9671.57"/>
  </r>
  <r>
    <s v="2026-05-06"/>
    <s v="Centro Médico Avançado"/>
    <x v="2"/>
    <x v="4"/>
    <x v="0"/>
    <s v="Poltrona de Coleta"/>
    <n v="1"/>
    <n v="8445.15"/>
    <n v="8445.15"/>
  </r>
  <r>
    <s v="2026-05-07"/>
    <s v="Centro Médico Avançado"/>
    <x v="0"/>
    <x v="2"/>
    <x v="0"/>
    <s v="Cama Hospitalar Elétrica"/>
    <n v="7"/>
    <n v="9299.15"/>
    <n v="65094.05"/>
  </r>
  <r>
    <s v="2026-05-07"/>
    <s v="Hospital Santa Maria"/>
    <x v="3"/>
    <x v="4"/>
    <x v="1"/>
    <s v="Bisturi Eletrônico"/>
    <n v="5"/>
    <n v="28083.83"/>
    <n v="140419.15"/>
  </r>
  <r>
    <s v="2026-05-07"/>
    <s v="Hospital São Lucas"/>
    <x v="1"/>
    <x v="1"/>
    <x v="0"/>
    <s v="Maca de Transporte"/>
    <n v="5"/>
    <n v="8260.3799999999992"/>
    <n v="41301.9"/>
  </r>
  <r>
    <s v="2026-05-07"/>
    <s v="Hospital Santa Maria"/>
    <x v="3"/>
    <x v="0"/>
    <x v="3"/>
    <s v="Monitor Multiparamétrico"/>
    <n v="1"/>
    <n v="27518.2"/>
    <n v="27518.2"/>
  </r>
  <r>
    <s v="2026-05-07"/>
    <s v="Centro Médico Avançado"/>
    <x v="4"/>
    <x v="0"/>
    <x v="3"/>
    <s v="Bomba de Infusão"/>
    <n v="9"/>
    <n v="27250.1"/>
    <n v="245250.9"/>
  </r>
  <r>
    <s v="2026-05-07"/>
    <s v="Rede Saúde Total"/>
    <x v="0"/>
    <x v="0"/>
    <x v="1"/>
    <s v="Aspirador Cirúrgico de Secreção"/>
    <n v="1"/>
    <n v="26344.73"/>
    <n v="26344.73"/>
  </r>
  <r>
    <s v="2026-05-08"/>
    <s v="Clínica Vida"/>
    <x v="1"/>
    <x v="1"/>
    <x v="1"/>
    <s v="Mesa Cirúrgica Eletromecânica"/>
    <n v="5"/>
    <n v="28351.75"/>
    <n v="141758.75"/>
  </r>
  <r>
    <s v="2026-05-08"/>
    <s v="Hospital São Lucas"/>
    <x v="2"/>
    <x v="3"/>
    <x v="0"/>
    <s v="Cama Hospitalar Elétrica"/>
    <n v="9"/>
    <n v="10119.290000000001"/>
    <n v="91073.61"/>
  </r>
  <r>
    <s v="2026-05-08"/>
    <s v="Hospital Metropolitano"/>
    <x v="1"/>
    <x v="3"/>
    <x v="2"/>
    <s v="Eletrocardiógrafo"/>
    <n v="4"/>
    <n v="52622.720000000001"/>
    <n v="210490.88"/>
  </r>
  <r>
    <s v="2026-05-08"/>
    <s v="Centro Médico Avançado"/>
    <x v="2"/>
    <x v="4"/>
    <x v="1"/>
    <s v="Foco Cirúrgico LED"/>
    <n v="8"/>
    <n v="26792.25"/>
    <n v="214338"/>
  </r>
  <r>
    <s v="2026-05-08"/>
    <s v="Centro Médico Avançado"/>
    <x v="1"/>
    <x v="3"/>
    <x v="1"/>
    <s v="Bisturi Eletrônico"/>
    <n v="6"/>
    <n v="26538.85"/>
    <n v="159233.1"/>
  </r>
  <r>
    <s v="2026-05-08"/>
    <s v="Hospital Metropolitano"/>
    <x v="3"/>
    <x v="3"/>
    <x v="0"/>
    <s v="Maca de Transporte"/>
    <n v="3"/>
    <n v="7997.9"/>
    <n v="23993.7"/>
  </r>
  <r>
    <s v="2026-05-09"/>
    <s v="Clínica Ortopédica Central"/>
    <x v="3"/>
    <x v="0"/>
    <x v="0"/>
    <s v="Poltrona de Coleta"/>
    <n v="4"/>
    <n v="8378.41"/>
    <n v="33513.64"/>
  </r>
  <r>
    <s v="2026-05-09"/>
    <s v="Centro Médico Avançado"/>
    <x v="3"/>
    <x v="0"/>
    <x v="1"/>
    <s v="Bisturi Eletrônico"/>
    <n v="2"/>
    <n v="29379.83"/>
    <n v="58759.66"/>
  </r>
  <r>
    <s v="2026-05-09"/>
    <s v="Hospital Regional"/>
    <x v="4"/>
    <x v="4"/>
    <x v="2"/>
    <s v="Eletrocardiógrafo"/>
    <n v="1"/>
    <n v="46146.02"/>
    <n v="46146.02"/>
  </r>
  <r>
    <s v="2026-05-09"/>
    <s v="Rede Saúde Total"/>
    <x v="2"/>
    <x v="2"/>
    <x v="1"/>
    <s v="Foco Cirúrgico LED"/>
    <n v="8"/>
    <n v="26244.66"/>
    <n v="209957.28"/>
  </r>
  <r>
    <s v="2026-05-09"/>
    <s v="Hospital São Lucas"/>
    <x v="3"/>
    <x v="4"/>
    <x v="0"/>
    <s v="Maca de Transporte"/>
    <n v="1"/>
    <n v="7668.53"/>
    <n v="7668.53"/>
  </r>
  <r>
    <s v="2026-05-09"/>
    <s v="Hospital Metropolitano"/>
    <x v="4"/>
    <x v="4"/>
    <x v="0"/>
    <s v="Cama Hospitalar Elétrica"/>
    <n v="1"/>
    <n v="7267.76"/>
    <n v="7267.76"/>
  </r>
  <r>
    <s v="2026-05-10"/>
    <s v="Hospital Regional"/>
    <x v="2"/>
    <x v="1"/>
    <x v="1"/>
    <s v="Mesa Cirúrgica Eletromecânica"/>
    <n v="4"/>
    <n v="25524.39"/>
    <n v="102097.56"/>
  </r>
  <r>
    <s v="2026-05-10"/>
    <s v="Hospital Metropolitano"/>
    <x v="1"/>
    <x v="1"/>
    <x v="2"/>
    <s v="Ultrassom Portátil"/>
    <n v="6"/>
    <n v="50946.41"/>
    <n v="305678.46000000002"/>
  </r>
  <r>
    <s v="2026-05-10"/>
    <s v="Hospital São Lucas"/>
    <x v="4"/>
    <x v="4"/>
    <x v="1"/>
    <s v="Bisturi Eletrônico"/>
    <n v="9"/>
    <n v="26528.75"/>
    <n v="238758.75"/>
  </r>
  <r>
    <s v="2026-05-10"/>
    <s v="Hospital Santa Maria"/>
    <x v="0"/>
    <x v="4"/>
    <x v="1"/>
    <s v="Foco Cirúrgico LED"/>
    <n v="1"/>
    <n v="29048.34"/>
    <n v="29048.34"/>
  </r>
  <r>
    <s v="2026-05-10"/>
    <s v="Hospital São Lucas"/>
    <x v="4"/>
    <x v="4"/>
    <x v="0"/>
    <s v="Poltrona de Coleta"/>
    <n v="7"/>
    <n v="9235.42"/>
    <n v="64647.94"/>
  </r>
  <r>
    <s v="2026-05-10"/>
    <s v="Clínica Ortopédica Central"/>
    <x v="4"/>
    <x v="3"/>
    <x v="2"/>
    <s v="Aparelho de Raio-X Móvel"/>
    <n v="5"/>
    <n v="54213.14"/>
    <n v="271065.7"/>
  </r>
  <r>
    <s v="2026-05-11"/>
    <s v="Hospital São Lucas"/>
    <x v="2"/>
    <x v="1"/>
    <x v="3"/>
    <s v="Monitor Multiparamétrico"/>
    <n v="8"/>
    <n v="38577.35"/>
    <n v="308618.8"/>
  </r>
  <r>
    <s v="2026-05-11"/>
    <s v="Hospital São Lucas"/>
    <x v="1"/>
    <x v="4"/>
    <x v="2"/>
    <s v="Eletrocardiógrafo"/>
    <n v="7"/>
    <n v="51673.21"/>
    <n v="361712.47"/>
  </r>
  <r>
    <s v="2026-05-11"/>
    <s v="Clínica Ortopédica Central"/>
    <x v="0"/>
    <x v="0"/>
    <x v="1"/>
    <s v="Mesa Cirúrgica Eletromecânica"/>
    <n v="4"/>
    <n v="24193.759999999998"/>
    <n v="96775.039999999994"/>
  </r>
  <r>
    <s v="2026-05-11"/>
    <s v="Rede Saúde Total"/>
    <x v="3"/>
    <x v="0"/>
    <x v="1"/>
    <s v="Aspirador Cirúrgico de Secreção"/>
    <n v="4"/>
    <n v="30240.79"/>
    <n v="120963.16"/>
  </r>
  <r>
    <s v="2026-05-11"/>
    <s v="Centro Médico Avançado"/>
    <x v="3"/>
    <x v="3"/>
    <x v="1"/>
    <s v="Foco Cirúrgico LED"/>
    <n v="6"/>
    <n v="32609.73"/>
    <n v="195658.38"/>
  </r>
  <r>
    <s v="2026-05-11"/>
    <s v="Hospital São Lucas"/>
    <x v="4"/>
    <x v="3"/>
    <x v="2"/>
    <s v="Eletrocardiógrafo"/>
    <n v="6"/>
    <n v="38561.18"/>
    <n v="231367.08"/>
  </r>
  <r>
    <s v="2026-05-11"/>
    <s v="Clínica Ortopédica Central"/>
    <x v="2"/>
    <x v="2"/>
    <x v="0"/>
    <s v="Poltrona de Coleta"/>
    <n v="9"/>
    <n v="9093.93"/>
    <n v="81845.37"/>
  </r>
  <r>
    <s v="2026-05-12"/>
    <s v="Hospital Regional"/>
    <x v="2"/>
    <x v="2"/>
    <x v="1"/>
    <s v="Mesa Cirúrgica Eletromecânica"/>
    <n v="5"/>
    <n v="33406.959999999999"/>
    <n v="167034.79999999999"/>
  </r>
  <r>
    <s v="2026-05-12"/>
    <s v="Hospital Santa Maria"/>
    <x v="3"/>
    <x v="2"/>
    <x v="1"/>
    <s v="Mesa Cirúrgica Eletromecânica"/>
    <n v="8"/>
    <n v="29109.94"/>
    <n v="232879.52"/>
  </r>
  <r>
    <s v="2026-05-12"/>
    <s v="Hospital Santa Maria"/>
    <x v="0"/>
    <x v="3"/>
    <x v="2"/>
    <s v="Monitor de Pressão Arterial 24h"/>
    <n v="5"/>
    <n v="38323.910000000003"/>
    <n v="191619.55"/>
  </r>
  <r>
    <s v="2026-05-12"/>
    <s v="Hospital São Lucas"/>
    <x v="1"/>
    <x v="3"/>
    <x v="3"/>
    <s v="Ventilador Pulmonar"/>
    <n v="2"/>
    <n v="27340.97"/>
    <n v="54681.94"/>
  </r>
  <r>
    <s v="2026-05-12"/>
    <s v="Rede Saúde Total"/>
    <x v="0"/>
    <x v="3"/>
    <x v="3"/>
    <s v="Ventilador Pulmonar"/>
    <n v="6"/>
    <n v="32532.94"/>
    <n v="195197.64"/>
  </r>
  <r>
    <s v="2026-05-12"/>
    <s v="Rede Saúde Total"/>
    <x v="1"/>
    <x v="0"/>
    <x v="0"/>
    <s v="Carro de Emergência (Crash Cart)"/>
    <n v="9"/>
    <n v="7752.03"/>
    <n v="69768.27"/>
  </r>
  <r>
    <s v="2026-05-13"/>
    <s v="Hospital Regional"/>
    <x v="3"/>
    <x v="3"/>
    <x v="0"/>
    <s v="Maca de Transporte"/>
    <n v="3"/>
    <n v="9484.1299999999992"/>
    <n v="28452.39"/>
  </r>
  <r>
    <s v="2026-05-13"/>
    <s v="Hospital São Lucas"/>
    <x v="1"/>
    <x v="0"/>
    <x v="1"/>
    <s v="Aspirador Cirúrgico de Secreção"/>
    <n v="1"/>
    <n v="31738.55"/>
    <n v="31738.55"/>
  </r>
  <r>
    <s v="2026-05-13"/>
    <s v="Hospital Santa Maria"/>
    <x v="2"/>
    <x v="2"/>
    <x v="2"/>
    <s v="Ultrassom Portátil"/>
    <n v="1"/>
    <n v="41451.839999999997"/>
    <n v="41451.839999999997"/>
  </r>
  <r>
    <s v="2026-05-13"/>
    <s v="Rede Saúde Total"/>
    <x v="4"/>
    <x v="2"/>
    <x v="1"/>
    <s v="Bisturi Eletrônico"/>
    <n v="3"/>
    <n v="33751.57"/>
    <n v="101254.71"/>
  </r>
  <r>
    <s v="2026-05-13"/>
    <s v="Hospital São Lucas"/>
    <x v="4"/>
    <x v="2"/>
    <x v="0"/>
    <s v="Maca de Transporte"/>
    <n v="5"/>
    <n v="8727.49"/>
    <n v="43637.45"/>
  </r>
  <r>
    <s v="2026-05-13"/>
    <s v="Hospital Metropolitano"/>
    <x v="3"/>
    <x v="4"/>
    <x v="2"/>
    <s v="Aparelho de Raio-X Móvel"/>
    <n v="3"/>
    <n v="40821.230000000003"/>
    <n v="122463.69"/>
  </r>
  <r>
    <s v="2026-05-14"/>
    <s v="Rede Saúde Total"/>
    <x v="2"/>
    <x v="4"/>
    <x v="2"/>
    <s v="Eletrocardiógrafo"/>
    <n v="9"/>
    <n v="52006.53"/>
    <n v="468058.77"/>
  </r>
  <r>
    <s v="2026-05-14"/>
    <s v="Clínica Ortopédica Central"/>
    <x v="0"/>
    <x v="1"/>
    <x v="0"/>
    <s v="Carro de Emergência (Crash Cart)"/>
    <n v="8"/>
    <n v="9910.91"/>
    <n v="79287.28"/>
  </r>
  <r>
    <s v="2026-05-14"/>
    <s v="Hospital Metropolitano"/>
    <x v="2"/>
    <x v="1"/>
    <x v="3"/>
    <s v="Ventilador Pulmonar"/>
    <n v="3"/>
    <n v="35382.980000000003"/>
    <n v="106148.94"/>
  </r>
  <r>
    <s v="2026-05-14"/>
    <s v="Centro Médico Avançado"/>
    <x v="4"/>
    <x v="1"/>
    <x v="3"/>
    <s v="Desfibrilador Externo"/>
    <n v="9"/>
    <n v="38124.36"/>
    <n v="343119.24"/>
  </r>
  <r>
    <s v="2026-05-14"/>
    <s v="Rede Saúde Total"/>
    <x v="4"/>
    <x v="4"/>
    <x v="2"/>
    <s v="Aparelho de Raio-X Móvel"/>
    <n v="6"/>
    <n v="51522.71"/>
    <n v="309136.26"/>
  </r>
  <r>
    <s v="2026-05-14"/>
    <s v="Hospital Santa Maria"/>
    <x v="2"/>
    <x v="4"/>
    <x v="1"/>
    <s v="Aspirador Cirúrgico de Secreção"/>
    <n v="7"/>
    <n v="33680.699999999997"/>
    <n v="235764.9"/>
  </r>
  <r>
    <s v="2026-05-15"/>
    <s v="Clínica Vida"/>
    <x v="2"/>
    <x v="1"/>
    <x v="3"/>
    <s v="Monitor Multiparamétrico"/>
    <n v="4"/>
    <n v="32753.77"/>
    <n v="131015.08"/>
  </r>
  <r>
    <s v="2026-05-15"/>
    <s v="Hospital Metropolitano"/>
    <x v="4"/>
    <x v="1"/>
    <x v="1"/>
    <s v="Mesa Cirúrgica Eletromecânica"/>
    <n v="4"/>
    <n v="32173.09"/>
    <n v="128692.36"/>
  </r>
  <r>
    <s v="2026-05-15"/>
    <s v="Centro Médico Avançado"/>
    <x v="0"/>
    <x v="3"/>
    <x v="3"/>
    <s v="Desfibrilador Externo"/>
    <n v="2"/>
    <n v="39996.82"/>
    <n v="79993.64"/>
  </r>
  <r>
    <s v="2026-05-15"/>
    <s v="Hospital Regional"/>
    <x v="3"/>
    <x v="1"/>
    <x v="3"/>
    <s v="Bomba de Infusão"/>
    <n v="5"/>
    <n v="36479.120000000003"/>
    <n v="182395.6"/>
  </r>
  <r>
    <s v="2026-05-15"/>
    <s v="Hospital Regional"/>
    <x v="3"/>
    <x v="3"/>
    <x v="1"/>
    <s v="Foco Cirúrgico LED"/>
    <n v="8"/>
    <n v="25078.86"/>
    <n v="200630.88"/>
  </r>
  <r>
    <s v="2026-05-15"/>
    <s v="Hospital Santa Maria"/>
    <x v="2"/>
    <x v="0"/>
    <x v="0"/>
    <s v="Maca de Transporte"/>
    <n v="7"/>
    <n v="8987.2800000000007"/>
    <n v="62910.96"/>
  </r>
  <r>
    <s v="2026-05-16"/>
    <s v="Rede Saúde Total"/>
    <x v="3"/>
    <x v="4"/>
    <x v="3"/>
    <s v="Bomba de Infusão"/>
    <n v="7"/>
    <n v="34718.050000000003"/>
    <n v="243026.35"/>
  </r>
  <r>
    <s v="2026-05-16"/>
    <s v="Hospital São Lucas"/>
    <x v="4"/>
    <x v="1"/>
    <x v="3"/>
    <s v="Monitor Multiparamétrico"/>
    <n v="6"/>
    <n v="29429.9"/>
    <n v="176579.4"/>
  </r>
  <r>
    <s v="2026-05-16"/>
    <s v="Rede Saúde Total"/>
    <x v="4"/>
    <x v="4"/>
    <x v="1"/>
    <s v="Foco Cirúrgico LED"/>
    <n v="3"/>
    <n v="34584.39"/>
    <n v="103753.17"/>
  </r>
  <r>
    <s v="2026-05-16"/>
    <s v="Hospital Santa Maria"/>
    <x v="2"/>
    <x v="4"/>
    <x v="0"/>
    <s v="Maca de Transporte"/>
    <n v="5"/>
    <n v="7821.97"/>
    <n v="39109.85"/>
  </r>
  <r>
    <s v="2026-05-16"/>
    <s v="Hospital Regional"/>
    <x v="2"/>
    <x v="4"/>
    <x v="3"/>
    <s v="Ventilador Pulmonar"/>
    <n v="1"/>
    <n v="29472.74"/>
    <n v="29472.74"/>
  </r>
  <r>
    <s v="2026-05-16"/>
    <s v="Rede Saúde Total"/>
    <x v="2"/>
    <x v="0"/>
    <x v="3"/>
    <s v="Ventilador Pulmonar"/>
    <n v="7"/>
    <n v="38914.14"/>
    <n v="272398.98"/>
  </r>
  <r>
    <s v="2026-05-17"/>
    <s v="Hospital Regional"/>
    <x v="0"/>
    <x v="2"/>
    <x v="0"/>
    <s v="Maca de Transporte"/>
    <n v="9"/>
    <n v="8806.7000000000007"/>
    <n v="79260.3"/>
  </r>
  <r>
    <s v="2026-05-17"/>
    <s v="Hospital Metropolitano"/>
    <x v="3"/>
    <x v="1"/>
    <x v="3"/>
    <s v="Monitor Multiparamétrico"/>
    <n v="1"/>
    <n v="28008.81"/>
    <n v="28008.81"/>
  </r>
  <r>
    <s v="2026-05-17"/>
    <s v="Centro Médico Avançado"/>
    <x v="2"/>
    <x v="2"/>
    <x v="0"/>
    <s v="Cama Hospitalar Elétrica"/>
    <n v="2"/>
    <n v="9258.84"/>
    <n v="18517.68"/>
  </r>
  <r>
    <s v="2026-05-17"/>
    <s v="Hospital São Lucas"/>
    <x v="1"/>
    <x v="2"/>
    <x v="0"/>
    <s v="Carro de Emergência (Crash Cart)"/>
    <n v="3"/>
    <n v="9271.2099999999991"/>
    <n v="27813.63"/>
  </r>
  <r>
    <s v="2026-05-17"/>
    <s v="Hospital Metropolitano"/>
    <x v="1"/>
    <x v="2"/>
    <x v="1"/>
    <s v="Aspirador Cirúrgico de Secreção"/>
    <n v="3"/>
    <n v="24522.41"/>
    <n v="73567.23"/>
  </r>
  <r>
    <s v="2026-05-17"/>
    <s v="Hospital Regional"/>
    <x v="4"/>
    <x v="4"/>
    <x v="2"/>
    <s v="Ultrassom Portátil"/>
    <n v="8"/>
    <n v="55755.4"/>
    <n v="446043.2"/>
  </r>
  <r>
    <s v="2026-05-17"/>
    <s v="Hospital Regional"/>
    <x v="3"/>
    <x v="3"/>
    <x v="0"/>
    <s v="Maca de Transporte"/>
    <n v="7"/>
    <n v="9074.7000000000007"/>
    <n v="63522.9"/>
  </r>
  <r>
    <s v="2026-05-18"/>
    <s v="Clínica Vida"/>
    <x v="2"/>
    <x v="4"/>
    <x v="1"/>
    <s v="Mesa Cirúrgica Eletromecânica"/>
    <n v="6"/>
    <n v="30069.71"/>
    <n v="180418.26"/>
  </r>
  <r>
    <s v="2026-05-18"/>
    <s v="Clínica Vida"/>
    <x v="1"/>
    <x v="4"/>
    <x v="2"/>
    <s v="Eletrocardiógrafo"/>
    <n v="4"/>
    <n v="47612.08"/>
    <n v="190448.32"/>
  </r>
  <r>
    <s v="2026-05-18"/>
    <s v="Hospital Metropolitano"/>
    <x v="3"/>
    <x v="2"/>
    <x v="3"/>
    <s v="Desfibrilador Externo"/>
    <n v="9"/>
    <n v="35017.370000000003"/>
    <n v="315156.33"/>
  </r>
  <r>
    <s v="2026-05-18"/>
    <s v="Clínica Ortopédica Central"/>
    <x v="4"/>
    <x v="4"/>
    <x v="2"/>
    <s v="Ultrassom Portátil"/>
    <n v="1"/>
    <n v="43007.4"/>
    <n v="43007.4"/>
  </r>
  <r>
    <s v="2026-05-18"/>
    <s v="Hospital Metropolitano"/>
    <x v="0"/>
    <x v="2"/>
    <x v="0"/>
    <s v="Cama Hospitalar Elétrica"/>
    <n v="2"/>
    <n v="8201.6200000000008"/>
    <n v="16403.240000000002"/>
  </r>
  <r>
    <s v="2026-05-18"/>
    <s v="Clínica Vida"/>
    <x v="3"/>
    <x v="3"/>
    <x v="0"/>
    <s v="Poltrona de Coleta"/>
    <n v="4"/>
    <n v="8963.5499999999993"/>
    <n v="35854.199999999997"/>
  </r>
  <r>
    <s v="2026-05-19"/>
    <s v="Hospital Regional"/>
    <x v="3"/>
    <x v="1"/>
    <x v="0"/>
    <s v="Cama Hospitalar Elétrica"/>
    <n v="3"/>
    <n v="9967.73"/>
    <n v="29903.19"/>
  </r>
  <r>
    <s v="2026-05-19"/>
    <s v="Hospital Santa Maria"/>
    <x v="0"/>
    <x v="2"/>
    <x v="0"/>
    <s v="Poltrona de Coleta"/>
    <n v="1"/>
    <n v="7394.54"/>
    <n v="7394.54"/>
  </r>
  <r>
    <s v="2026-05-19"/>
    <s v="Hospital Metropolitano"/>
    <x v="3"/>
    <x v="3"/>
    <x v="0"/>
    <s v="Maca de Transporte"/>
    <n v="5"/>
    <n v="9276.57"/>
    <n v="46382.85"/>
  </r>
  <r>
    <s v="2026-05-19"/>
    <s v="Hospital Regional"/>
    <x v="4"/>
    <x v="1"/>
    <x v="1"/>
    <s v="Aspirador Cirúrgico de Secreção"/>
    <n v="7"/>
    <n v="32835.919999999998"/>
    <n v="229851.44"/>
  </r>
  <r>
    <s v="2026-05-19"/>
    <s v="Hospital Santa Maria"/>
    <x v="4"/>
    <x v="0"/>
    <x v="0"/>
    <s v="Cama Hospitalar Elétrica"/>
    <n v="2"/>
    <n v="7758.52"/>
    <n v="15517.04"/>
  </r>
  <r>
    <s v="2026-05-19"/>
    <s v="Hospital Santa Maria"/>
    <x v="0"/>
    <x v="2"/>
    <x v="1"/>
    <s v="Aspirador Cirúrgico de Secreção"/>
    <n v="5"/>
    <n v="23968.25"/>
    <n v="119841.25"/>
  </r>
  <r>
    <s v="2026-05-20"/>
    <s v="Clínica Vida"/>
    <x v="2"/>
    <x v="2"/>
    <x v="3"/>
    <s v="Bomba de Infusão"/>
    <n v="6"/>
    <n v="31202.73"/>
    <n v="187216.38"/>
  </r>
  <r>
    <s v="2026-05-20"/>
    <s v="Hospital Metropolitano"/>
    <x v="1"/>
    <x v="0"/>
    <x v="0"/>
    <s v="Maca de Transporte"/>
    <n v="7"/>
    <n v="9224.69"/>
    <n v="64572.83"/>
  </r>
  <r>
    <s v="2026-05-20"/>
    <s v="Rede Saúde Total"/>
    <x v="2"/>
    <x v="0"/>
    <x v="0"/>
    <s v="Maca de Transporte"/>
    <n v="1"/>
    <n v="7695.16"/>
    <n v="7695.16"/>
  </r>
  <r>
    <s v="2026-05-20"/>
    <s v="Hospital São Lucas"/>
    <x v="3"/>
    <x v="2"/>
    <x v="2"/>
    <s v="Monitor de Pressão Arterial 24h"/>
    <n v="7"/>
    <n v="45920.2"/>
    <n v="321441.40000000002"/>
  </r>
  <r>
    <s v="2026-05-20"/>
    <s v="Clínica Vida"/>
    <x v="1"/>
    <x v="0"/>
    <x v="3"/>
    <s v="Ventilador Pulmonar"/>
    <n v="4"/>
    <n v="34269.72"/>
    <n v="137078.88"/>
  </r>
  <r>
    <s v="2026-05-20"/>
    <s v="Clínica Vida"/>
    <x v="0"/>
    <x v="4"/>
    <x v="0"/>
    <s v="Carro de Emergência (Crash Cart)"/>
    <n v="8"/>
    <n v="9261.2000000000007"/>
    <n v="74089.600000000006"/>
  </r>
  <r>
    <s v="2026-05-21"/>
    <s v="Rede Saúde Total"/>
    <x v="0"/>
    <x v="1"/>
    <x v="0"/>
    <s v="Maca de Transporte"/>
    <n v="4"/>
    <n v="8158"/>
    <n v="32632"/>
  </r>
  <r>
    <s v="2026-05-21"/>
    <s v="Hospital São Lucas"/>
    <x v="1"/>
    <x v="1"/>
    <x v="3"/>
    <s v="Monitor Multiparamétrico"/>
    <n v="6"/>
    <n v="32320.38"/>
    <n v="193922.28"/>
  </r>
  <r>
    <s v="2026-05-21"/>
    <s v="Hospital Regional"/>
    <x v="4"/>
    <x v="1"/>
    <x v="1"/>
    <s v="Foco Cirúrgico LED"/>
    <n v="9"/>
    <n v="32517.4"/>
    <n v="292656.59999999998"/>
  </r>
  <r>
    <s v="2026-05-21"/>
    <s v="Clínica Ortopédica Central"/>
    <x v="1"/>
    <x v="4"/>
    <x v="0"/>
    <s v="Cama Hospitalar Elétrica"/>
    <n v="5"/>
    <n v="10425.129999999999"/>
    <n v="52125.65"/>
  </r>
  <r>
    <s v="2026-05-21"/>
    <s v="Hospital Metropolitano"/>
    <x v="3"/>
    <x v="0"/>
    <x v="2"/>
    <s v="Eletrocardiógrafo"/>
    <n v="4"/>
    <n v="53763.85"/>
    <n v="215055.4"/>
  </r>
  <r>
    <s v="2026-05-21"/>
    <s v="Clínica Ortopédica Central"/>
    <x v="4"/>
    <x v="3"/>
    <x v="0"/>
    <s v="Poltrona de Coleta"/>
    <n v="8"/>
    <n v="9143.56"/>
    <n v="73148.479999999996"/>
  </r>
  <r>
    <s v="2026-05-22"/>
    <s v="Hospital Regional"/>
    <x v="0"/>
    <x v="0"/>
    <x v="2"/>
    <s v="Ultrassom Portátil"/>
    <n v="9"/>
    <n v="45635.27"/>
    <n v="410717.43"/>
  </r>
  <r>
    <s v="2026-05-22"/>
    <s v="Centro Médico Avançado"/>
    <x v="1"/>
    <x v="2"/>
    <x v="2"/>
    <s v="Monitor de Pressão Arterial 24h"/>
    <n v="4"/>
    <n v="44243.22"/>
    <n v="176972.88"/>
  </r>
  <r>
    <s v="2026-05-22"/>
    <s v="Clínica Vida"/>
    <x v="2"/>
    <x v="1"/>
    <x v="0"/>
    <s v="Carro de Emergência (Crash Cart)"/>
    <n v="3"/>
    <n v="7649.85"/>
    <n v="22949.55"/>
  </r>
  <r>
    <s v="2026-05-22"/>
    <s v="Hospital São Lucas"/>
    <x v="2"/>
    <x v="0"/>
    <x v="0"/>
    <s v="Poltrona de Coleta"/>
    <n v="8"/>
    <n v="7587.27"/>
    <n v="60698.16"/>
  </r>
  <r>
    <s v="2026-05-22"/>
    <s v="Clínica Vida"/>
    <x v="3"/>
    <x v="3"/>
    <x v="2"/>
    <s v="Aparelho de Raio-X Móvel"/>
    <n v="5"/>
    <n v="50640.44"/>
    <n v="253202.2"/>
  </r>
  <r>
    <s v="2026-05-22"/>
    <s v="Hospital Santa Maria"/>
    <x v="2"/>
    <x v="2"/>
    <x v="3"/>
    <s v="Desfibrilador Externo"/>
    <n v="2"/>
    <n v="30525.37"/>
    <n v="61050.74"/>
  </r>
  <r>
    <s v="2026-05-23"/>
    <s v="Clínica Vida"/>
    <x v="1"/>
    <x v="4"/>
    <x v="3"/>
    <s v="Bomba de Infusão"/>
    <n v="9"/>
    <n v="30459.67"/>
    <n v="274137.03000000003"/>
  </r>
  <r>
    <s v="2026-05-23"/>
    <s v="Clínica Vida"/>
    <x v="1"/>
    <x v="4"/>
    <x v="0"/>
    <s v="Carro de Emergência (Crash Cart)"/>
    <n v="3"/>
    <n v="10618.86"/>
    <n v="31856.58"/>
  </r>
  <r>
    <s v="2026-05-23"/>
    <s v="Hospital Regional"/>
    <x v="2"/>
    <x v="3"/>
    <x v="1"/>
    <s v="Bisturi Eletrônico"/>
    <n v="2"/>
    <n v="25904.77"/>
    <n v="51809.54"/>
  </r>
  <r>
    <s v="2026-05-23"/>
    <s v="Hospital Regional"/>
    <x v="1"/>
    <x v="2"/>
    <x v="3"/>
    <s v="Desfibrilador Externo"/>
    <n v="1"/>
    <n v="29095.16"/>
    <n v="29095.16"/>
  </r>
  <r>
    <s v="2026-05-23"/>
    <s v="Hospital Regional"/>
    <x v="3"/>
    <x v="1"/>
    <x v="0"/>
    <s v="Maca de Transporte"/>
    <n v="8"/>
    <n v="7560.53"/>
    <n v="60484.24"/>
  </r>
  <r>
    <s v="2026-05-23"/>
    <s v="Clínica Ortopédica Central"/>
    <x v="4"/>
    <x v="0"/>
    <x v="3"/>
    <s v="Ventilador Pulmonar"/>
    <n v="3"/>
    <n v="34621.51"/>
    <n v="103864.53"/>
  </r>
  <r>
    <s v="2026-05-23"/>
    <s v="Hospital Santa Maria"/>
    <x v="3"/>
    <x v="2"/>
    <x v="1"/>
    <s v="Mesa Cirúrgica Eletromecânica"/>
    <n v="7"/>
    <n v="30832.07"/>
    <n v="215824.49"/>
  </r>
  <r>
    <s v="2026-05-24"/>
    <s v="Centro Médico Avançado"/>
    <x v="3"/>
    <x v="4"/>
    <x v="0"/>
    <s v="Poltrona de Coleta"/>
    <n v="1"/>
    <n v="8466.77"/>
    <n v="8466.77"/>
  </r>
  <r>
    <s v="2026-05-24"/>
    <s v="Centro Médico Avançado"/>
    <x v="1"/>
    <x v="3"/>
    <x v="1"/>
    <s v="Aspirador Cirúrgico de Secreção"/>
    <n v="1"/>
    <n v="29796.63"/>
    <n v="29796.63"/>
  </r>
  <r>
    <s v="2026-05-24"/>
    <s v="Hospital Regional"/>
    <x v="4"/>
    <x v="3"/>
    <x v="0"/>
    <s v="Cama Hospitalar Elétrica"/>
    <n v="9"/>
    <n v="9905.56"/>
    <n v="89150.04"/>
  </r>
  <r>
    <s v="2026-05-24"/>
    <s v="Hospital São Lucas"/>
    <x v="1"/>
    <x v="0"/>
    <x v="1"/>
    <s v="Aspirador Cirúrgico de Secreção"/>
    <n v="8"/>
    <n v="32962.769999999997"/>
    <n v="263702.15999999997"/>
  </r>
  <r>
    <s v="2026-05-24"/>
    <s v="Clínica Ortopédica Central"/>
    <x v="0"/>
    <x v="3"/>
    <x v="3"/>
    <s v="Bomba de Infusão"/>
    <n v="3"/>
    <n v="39461.269999999997"/>
    <n v="118383.81"/>
  </r>
  <r>
    <s v="2026-05-24"/>
    <s v="Rede Saúde Total"/>
    <x v="1"/>
    <x v="3"/>
    <x v="3"/>
    <s v="Bomba de Infusão"/>
    <n v="6"/>
    <n v="37750.629999999997"/>
    <n v="226503.78"/>
  </r>
  <r>
    <s v="2026-05-25"/>
    <s v="Hospital São Lucas"/>
    <x v="1"/>
    <x v="2"/>
    <x v="1"/>
    <s v="Bisturi Eletrônico"/>
    <n v="3"/>
    <n v="30126.22"/>
    <n v="90378.66"/>
  </r>
  <r>
    <s v="2026-05-25"/>
    <s v="Hospital Metropolitano"/>
    <x v="1"/>
    <x v="1"/>
    <x v="1"/>
    <s v="Bisturi Eletrônico"/>
    <n v="4"/>
    <n v="25812.16"/>
    <n v="103248.64"/>
  </r>
  <r>
    <s v="2026-05-25"/>
    <s v="Hospital Metropolitano"/>
    <x v="4"/>
    <x v="0"/>
    <x v="1"/>
    <s v="Bisturi Eletrônico"/>
    <n v="1"/>
    <n v="24917.35"/>
    <n v="24917.35"/>
  </r>
  <r>
    <s v="2026-05-25"/>
    <s v="Hospital São Lucas"/>
    <x v="1"/>
    <x v="2"/>
    <x v="0"/>
    <s v="Poltrona de Coleta"/>
    <n v="5"/>
    <n v="7410.34"/>
    <n v="37051.699999999997"/>
  </r>
  <r>
    <s v="2026-05-25"/>
    <s v="Hospital Regional"/>
    <x v="4"/>
    <x v="1"/>
    <x v="3"/>
    <s v="Ventilador Pulmonar"/>
    <n v="1"/>
    <n v="35731.53"/>
    <n v="35731.53"/>
  </r>
  <r>
    <s v="2026-05-25"/>
    <s v="Rede Saúde Total"/>
    <x v="2"/>
    <x v="2"/>
    <x v="0"/>
    <s v="Cama Hospitalar Elétrica"/>
    <n v="1"/>
    <n v="9970.6200000000008"/>
    <n v="9970.6200000000008"/>
  </r>
  <r>
    <s v="2026-05-26"/>
    <s v="Rede Saúde Total"/>
    <x v="0"/>
    <x v="2"/>
    <x v="3"/>
    <s v="Bomba de Infusão"/>
    <n v="7"/>
    <n v="33711.15"/>
    <n v="235978.05"/>
  </r>
  <r>
    <s v="2026-05-26"/>
    <s v="Clínica Ortopédica Central"/>
    <x v="4"/>
    <x v="3"/>
    <x v="2"/>
    <s v="Monitor de Pressão Arterial 24h"/>
    <n v="6"/>
    <n v="39234.86"/>
    <n v="235409.16"/>
  </r>
  <r>
    <s v="2026-05-26"/>
    <s v="Rede Saúde Total"/>
    <x v="2"/>
    <x v="1"/>
    <x v="0"/>
    <s v="Maca de Transporte"/>
    <n v="2"/>
    <n v="9045.6"/>
    <n v="18091.2"/>
  </r>
  <r>
    <s v="2026-05-26"/>
    <s v="Hospital Metropolitano"/>
    <x v="4"/>
    <x v="0"/>
    <x v="3"/>
    <s v="Monitor Multiparamétrico"/>
    <n v="2"/>
    <n v="39177.589999999997"/>
    <n v="78355.179999999993"/>
  </r>
  <r>
    <s v="2026-05-26"/>
    <s v="Hospital Santa Maria"/>
    <x v="4"/>
    <x v="0"/>
    <x v="3"/>
    <s v="Desfibrilador Externo"/>
    <n v="7"/>
    <n v="34849.449999999997"/>
    <n v="243946.15"/>
  </r>
  <r>
    <s v="2026-05-26"/>
    <s v="Hospital Regional"/>
    <x v="0"/>
    <x v="1"/>
    <x v="0"/>
    <s v="Carro de Emergência (Crash Cart)"/>
    <n v="1"/>
    <n v="9977.0499999999993"/>
    <n v="9977.0499999999993"/>
  </r>
  <r>
    <s v="2026-05-27"/>
    <s v="Rede Saúde Total"/>
    <x v="3"/>
    <x v="3"/>
    <x v="0"/>
    <s v="Cama Hospitalar Elétrica"/>
    <n v="2"/>
    <n v="9945.52"/>
    <n v="19891.04"/>
  </r>
  <r>
    <s v="2026-05-27"/>
    <s v="Clínica Ortopédica Central"/>
    <x v="3"/>
    <x v="4"/>
    <x v="3"/>
    <s v="Desfibrilador Externo"/>
    <n v="8"/>
    <n v="39131.25"/>
    <n v="313050"/>
  </r>
  <r>
    <s v="2026-05-27"/>
    <s v="Hospital Metropolitano"/>
    <x v="4"/>
    <x v="2"/>
    <x v="0"/>
    <s v="Maca de Transporte"/>
    <n v="6"/>
    <n v="9843.7800000000007"/>
    <n v="59062.68"/>
  </r>
  <r>
    <s v="2026-05-27"/>
    <s v="Hospital Santa Maria"/>
    <x v="1"/>
    <x v="3"/>
    <x v="1"/>
    <s v="Mesa Cirúrgica Eletromecânica"/>
    <n v="2"/>
    <n v="32174.25"/>
    <n v="64348.5"/>
  </r>
  <r>
    <s v="2026-05-27"/>
    <s v="Clínica Vida"/>
    <x v="2"/>
    <x v="1"/>
    <x v="0"/>
    <s v="Maca de Transporte"/>
    <n v="7"/>
    <n v="8020.95"/>
    <n v="56146.65"/>
  </r>
  <r>
    <s v="2026-05-27"/>
    <s v="Clínica Vida"/>
    <x v="1"/>
    <x v="2"/>
    <x v="0"/>
    <s v="Carro de Emergência (Crash Cart)"/>
    <n v="4"/>
    <n v="7428.75"/>
    <n v="29715"/>
  </r>
  <r>
    <s v="2026-05-28"/>
    <s v="Hospital Santa Maria"/>
    <x v="1"/>
    <x v="0"/>
    <x v="0"/>
    <s v="Maca de Transporte"/>
    <n v="2"/>
    <n v="8984.84"/>
    <n v="17969.68"/>
  </r>
  <r>
    <s v="2026-05-28"/>
    <s v="Hospital Metropolitano"/>
    <x v="4"/>
    <x v="4"/>
    <x v="3"/>
    <s v="Desfibrilador Externo"/>
    <n v="6"/>
    <n v="28792.76"/>
    <n v="172756.56"/>
  </r>
  <r>
    <s v="2026-05-28"/>
    <s v="Clínica Ortopédica Central"/>
    <x v="4"/>
    <x v="0"/>
    <x v="1"/>
    <s v="Aspirador Cirúrgico de Secreção"/>
    <n v="9"/>
    <n v="34576.589999999997"/>
    <n v="311189.31"/>
  </r>
  <r>
    <s v="2026-05-28"/>
    <s v="Hospital Santa Maria"/>
    <x v="4"/>
    <x v="1"/>
    <x v="2"/>
    <s v="Aparelho de Raio-X Móvel"/>
    <n v="9"/>
    <n v="43468.65"/>
    <n v="391217.85"/>
  </r>
  <r>
    <s v="2026-05-28"/>
    <s v="Hospital Regional"/>
    <x v="4"/>
    <x v="2"/>
    <x v="2"/>
    <s v="Monitor de Pressão Arterial 24h"/>
    <n v="8"/>
    <n v="53603"/>
    <n v="428824"/>
  </r>
  <r>
    <s v="2026-05-28"/>
    <s v="Hospital Regional"/>
    <x v="3"/>
    <x v="1"/>
    <x v="1"/>
    <s v="Mesa Cirúrgica Eletromecânica"/>
    <n v="3"/>
    <n v="28141.4"/>
    <n v="84424.2"/>
  </r>
  <r>
    <s v="2026-05-29"/>
    <s v="Clínica Vida"/>
    <x v="4"/>
    <x v="2"/>
    <x v="1"/>
    <s v="Mesa Cirúrgica Eletromecânica"/>
    <n v="3"/>
    <n v="27419.78"/>
    <n v="82259.34"/>
  </r>
  <r>
    <s v="2026-05-29"/>
    <s v="Rede Saúde Total"/>
    <x v="3"/>
    <x v="3"/>
    <x v="1"/>
    <s v="Foco Cirúrgico LED"/>
    <n v="2"/>
    <n v="34273.78"/>
    <n v="68547.56"/>
  </r>
  <r>
    <s v="2026-05-29"/>
    <s v="Clínica Ortopédica Central"/>
    <x v="3"/>
    <x v="4"/>
    <x v="3"/>
    <s v="Bomba de Infusão"/>
    <n v="5"/>
    <n v="31850.53"/>
    <n v="159252.65"/>
  </r>
  <r>
    <s v="2026-05-29"/>
    <s v="Clínica Vida"/>
    <x v="4"/>
    <x v="3"/>
    <x v="2"/>
    <s v="Eletrocardiógrafo"/>
    <n v="4"/>
    <n v="45275.18"/>
    <n v="181100.72"/>
  </r>
  <r>
    <s v="2026-05-29"/>
    <s v="Rede Saúde Total"/>
    <x v="0"/>
    <x v="3"/>
    <x v="1"/>
    <s v="Foco Cirúrgico LED"/>
    <n v="7"/>
    <n v="24988.23"/>
    <n v="174917.61"/>
  </r>
  <r>
    <s v="2026-05-29"/>
    <s v="Rede Saúde Total"/>
    <x v="2"/>
    <x v="1"/>
    <x v="3"/>
    <s v="Ventilador Pulmonar"/>
    <n v="4"/>
    <n v="35781.72"/>
    <n v="143126.88"/>
  </r>
  <r>
    <s v="2026-05-29"/>
    <s v="Centro Médico Avançado"/>
    <x v="1"/>
    <x v="4"/>
    <x v="2"/>
    <s v="Eletrocardiógrafo"/>
    <n v="9"/>
    <n v="43449.11"/>
    <n v="391041.99"/>
  </r>
  <r>
    <s v="2026-05-30"/>
    <s v="Hospital Regional"/>
    <x v="3"/>
    <x v="2"/>
    <x v="0"/>
    <s v="Maca de Transporte"/>
    <n v="2"/>
    <n v="9216.0499999999993"/>
    <n v="18432.099999999999"/>
  </r>
  <r>
    <s v="2026-05-30"/>
    <s v="Hospital Metropolitano"/>
    <x v="2"/>
    <x v="2"/>
    <x v="3"/>
    <s v="Monitor Multiparamétrico"/>
    <n v="6"/>
    <n v="34769.300000000003"/>
    <n v="208615.8"/>
  </r>
  <r>
    <s v="2026-05-30"/>
    <s v="Hospital São Lucas"/>
    <x v="0"/>
    <x v="0"/>
    <x v="2"/>
    <s v="Eletrocardiógrafo"/>
    <n v="7"/>
    <n v="51195.59"/>
    <n v="358369.13"/>
  </r>
  <r>
    <s v="2026-05-30"/>
    <s v="Hospital Metropolitano"/>
    <x v="1"/>
    <x v="2"/>
    <x v="3"/>
    <s v="Monitor Multiparamétrico"/>
    <n v="4"/>
    <n v="36739.089999999997"/>
    <n v="146956.35999999999"/>
  </r>
  <r>
    <s v="2026-05-30"/>
    <s v="Hospital São Lucas"/>
    <x v="1"/>
    <x v="1"/>
    <x v="2"/>
    <s v="Ultrassom Portátil"/>
    <n v="6"/>
    <n v="47510.14"/>
    <n v="285060.84000000003"/>
  </r>
  <r>
    <s v="2026-05-30"/>
    <s v="Hospital Santa Maria"/>
    <x v="3"/>
    <x v="3"/>
    <x v="2"/>
    <s v="Aparelho de Raio-X Móvel"/>
    <n v="7"/>
    <n v="44207.86"/>
    <n v="309455.02"/>
  </r>
  <r>
    <s v="2026-05-31"/>
    <s v="Hospital Regional"/>
    <x v="4"/>
    <x v="3"/>
    <x v="0"/>
    <s v="Maca de Transporte"/>
    <n v="4"/>
    <n v="10072.33"/>
    <n v="40289.32"/>
  </r>
  <r>
    <s v="2026-05-31"/>
    <s v="Rede Saúde Total"/>
    <x v="0"/>
    <x v="3"/>
    <x v="3"/>
    <s v="Desfibrilador Externo"/>
    <n v="8"/>
    <n v="31166.28"/>
    <n v="249330.24"/>
  </r>
  <r>
    <s v="2026-05-31"/>
    <s v="Clínica Ortopédica Central"/>
    <x v="3"/>
    <x v="4"/>
    <x v="1"/>
    <s v="Aspirador Cirúrgico de Secreção"/>
    <n v="9"/>
    <n v="29484.1"/>
    <n v="265356.90000000002"/>
  </r>
  <r>
    <s v="2026-05-31"/>
    <s v="Hospital São Lucas"/>
    <x v="0"/>
    <x v="2"/>
    <x v="0"/>
    <s v="Poltrona de Coleta"/>
    <n v="1"/>
    <n v="8589.26"/>
    <n v="8589.26"/>
  </r>
  <r>
    <s v="2026-05-31"/>
    <s v="Hospital Metropolitano"/>
    <x v="4"/>
    <x v="1"/>
    <x v="0"/>
    <s v="Maca de Transporte"/>
    <n v="7"/>
    <n v="10132.27"/>
    <n v="70925.89"/>
  </r>
  <r>
    <s v="2026-05-31"/>
    <s v="Rede Saúde Total"/>
    <x v="4"/>
    <x v="4"/>
    <x v="2"/>
    <s v="Eletrocardiógrafo"/>
    <n v="9"/>
    <n v="46024.53"/>
    <n v="414220.77"/>
  </r>
  <r>
    <s v="2026-06-01"/>
    <s v="Hospital São Lucas"/>
    <x v="3"/>
    <x v="0"/>
    <x v="1"/>
    <s v="Foco Cirúrgico LED"/>
    <n v="5"/>
    <n v="28124.31"/>
    <n v="140621.54999999999"/>
  </r>
  <r>
    <s v="2026-06-01"/>
    <s v="Hospital São Lucas"/>
    <x v="4"/>
    <x v="1"/>
    <x v="3"/>
    <s v="Monitor Multiparamétrico"/>
    <n v="2"/>
    <n v="36029.74"/>
    <n v="72059.48"/>
  </r>
  <r>
    <s v="2026-06-01"/>
    <s v="Centro Médico Avançado"/>
    <x v="2"/>
    <x v="1"/>
    <x v="1"/>
    <s v="Bisturi Eletrônico"/>
    <n v="6"/>
    <n v="30547.34"/>
    <n v="183284.04"/>
  </r>
  <r>
    <s v="2026-06-01"/>
    <s v="Hospital São Lucas"/>
    <x v="1"/>
    <x v="1"/>
    <x v="1"/>
    <s v="Mesa Cirúrgica Eletromecânica"/>
    <n v="7"/>
    <n v="25001.16"/>
    <n v="175008.12"/>
  </r>
  <r>
    <s v="2026-06-01"/>
    <s v="Clínica Ortopédica Central"/>
    <x v="3"/>
    <x v="3"/>
    <x v="1"/>
    <s v="Foco Cirúrgico LED"/>
    <n v="2"/>
    <n v="29491.49"/>
    <n v="58982.98"/>
  </r>
  <r>
    <s v="2026-06-01"/>
    <s v="Hospital Regional"/>
    <x v="0"/>
    <x v="1"/>
    <x v="1"/>
    <s v="Mesa Cirúrgica Eletromecânica"/>
    <n v="2"/>
    <n v="32037.360000000001"/>
    <n v="64074.720000000001"/>
  </r>
  <r>
    <s v="2026-06-02"/>
    <s v="Clínica Ortopédica Central"/>
    <x v="2"/>
    <x v="2"/>
    <x v="1"/>
    <s v="Foco Cirúrgico LED"/>
    <n v="1"/>
    <n v="34911.24"/>
    <n v="34911.24"/>
  </r>
  <r>
    <s v="2026-06-02"/>
    <s v="Clínica Vida"/>
    <x v="3"/>
    <x v="1"/>
    <x v="2"/>
    <s v="Aparelho de Raio-X Móvel"/>
    <n v="4"/>
    <n v="49574.64"/>
    <n v="198298.56"/>
  </r>
  <r>
    <s v="2026-06-02"/>
    <s v="Rede Saúde Total"/>
    <x v="4"/>
    <x v="3"/>
    <x v="2"/>
    <s v="Ultrassom Portátil"/>
    <n v="7"/>
    <n v="44915.28"/>
    <n v="314406.96000000002"/>
  </r>
  <r>
    <s v="2026-06-02"/>
    <s v="Hospital Regional"/>
    <x v="4"/>
    <x v="1"/>
    <x v="0"/>
    <s v="Maca de Transporte"/>
    <n v="9"/>
    <n v="7993.92"/>
    <n v="71945.279999999999"/>
  </r>
  <r>
    <s v="2026-06-02"/>
    <s v="Centro Médico Avançado"/>
    <x v="4"/>
    <x v="0"/>
    <x v="2"/>
    <s v="Ultrassom Portátil"/>
    <n v="3"/>
    <n v="53960.94"/>
    <n v="161882.82"/>
  </r>
  <r>
    <s v="2026-06-02"/>
    <s v="Hospital Regional"/>
    <x v="4"/>
    <x v="0"/>
    <x v="0"/>
    <s v="Poltrona de Coleta"/>
    <n v="7"/>
    <n v="9994.52"/>
    <n v="69961.64"/>
  </r>
  <r>
    <s v="2026-06-03"/>
    <s v="Hospital Regional"/>
    <x v="0"/>
    <x v="3"/>
    <x v="0"/>
    <s v="Maca de Transporte"/>
    <n v="7"/>
    <n v="8020.34"/>
    <n v="56142.38"/>
  </r>
  <r>
    <s v="2026-06-03"/>
    <s v="Hospital Metropolitano"/>
    <x v="2"/>
    <x v="2"/>
    <x v="3"/>
    <s v="Monitor Multiparamétrico"/>
    <n v="7"/>
    <n v="29768.09"/>
    <n v="208376.63"/>
  </r>
  <r>
    <s v="2026-06-03"/>
    <s v="Hospital Regional"/>
    <x v="1"/>
    <x v="2"/>
    <x v="1"/>
    <s v="Bisturi Eletrônico"/>
    <n v="2"/>
    <n v="31809.53"/>
    <n v="63619.06"/>
  </r>
  <r>
    <s v="2026-06-03"/>
    <s v="Centro Médico Avançado"/>
    <x v="0"/>
    <x v="4"/>
    <x v="2"/>
    <s v="Eletrocardiógrafo"/>
    <n v="6"/>
    <n v="43919.14"/>
    <n v="263514.84000000003"/>
  </r>
  <r>
    <s v="2026-06-03"/>
    <s v="Clínica Ortopédica Central"/>
    <x v="0"/>
    <x v="3"/>
    <x v="3"/>
    <s v="Ventilador Pulmonar"/>
    <n v="2"/>
    <n v="31121.9"/>
    <n v="62243.8"/>
  </r>
  <r>
    <s v="2026-06-03"/>
    <s v="Hospital Regional"/>
    <x v="1"/>
    <x v="1"/>
    <x v="2"/>
    <s v="Aparelho de Raio-X Móvel"/>
    <n v="6"/>
    <n v="40991.22"/>
    <n v="245947.32"/>
  </r>
  <r>
    <s v="2026-06-04"/>
    <s v="Hospital Santa Maria"/>
    <x v="1"/>
    <x v="3"/>
    <x v="0"/>
    <s v="Cama Hospitalar Elétrica"/>
    <n v="3"/>
    <n v="8122.52"/>
    <n v="24367.56"/>
  </r>
  <r>
    <s v="2026-06-04"/>
    <s v="Rede Saúde Total"/>
    <x v="4"/>
    <x v="4"/>
    <x v="2"/>
    <s v="Monitor de Pressão Arterial 24h"/>
    <n v="2"/>
    <n v="45945.14"/>
    <n v="91890.28"/>
  </r>
  <r>
    <s v="2026-06-04"/>
    <s v="Hospital Regional"/>
    <x v="0"/>
    <x v="3"/>
    <x v="1"/>
    <s v="Bisturi Eletrônico"/>
    <n v="6"/>
    <n v="32007.79"/>
    <n v="192046.74"/>
  </r>
  <r>
    <s v="2026-06-04"/>
    <s v="Rede Saúde Total"/>
    <x v="3"/>
    <x v="3"/>
    <x v="0"/>
    <s v="Cama Hospitalar Elétrica"/>
    <n v="2"/>
    <n v="8368.4500000000007"/>
    <n v="16736.900000000001"/>
  </r>
  <r>
    <s v="2026-06-04"/>
    <s v="Hospital Santa Maria"/>
    <x v="1"/>
    <x v="4"/>
    <x v="0"/>
    <s v="Cama Hospitalar Elétrica"/>
    <n v="5"/>
    <n v="8342.25"/>
    <n v="41711.25"/>
  </r>
  <r>
    <s v="2026-06-04"/>
    <s v="Hospital Santa Maria"/>
    <x v="1"/>
    <x v="2"/>
    <x v="3"/>
    <s v="Bomba de Infusão"/>
    <n v="2"/>
    <n v="30846.89"/>
    <n v="61693.78"/>
  </r>
  <r>
    <s v="2026-06-04"/>
    <s v="Rede Saúde Total"/>
    <x v="2"/>
    <x v="1"/>
    <x v="1"/>
    <s v="Mesa Cirúrgica Eletromecânica"/>
    <n v="3"/>
    <n v="29156.78"/>
    <n v="87470.34"/>
  </r>
  <r>
    <s v="2026-06-05"/>
    <s v="Hospital São Lucas"/>
    <x v="3"/>
    <x v="4"/>
    <x v="0"/>
    <s v="Cama Hospitalar Elétrica"/>
    <n v="3"/>
    <n v="7839.16"/>
    <n v="23517.48"/>
  </r>
  <r>
    <s v="2026-06-05"/>
    <s v="Clínica Vida"/>
    <x v="3"/>
    <x v="0"/>
    <x v="1"/>
    <s v="Bisturi Eletrônico"/>
    <n v="6"/>
    <n v="29239.06"/>
    <n v="175434.36"/>
  </r>
  <r>
    <s v="2026-06-05"/>
    <s v="Hospital Metropolitano"/>
    <x v="1"/>
    <x v="2"/>
    <x v="2"/>
    <s v="Aparelho de Raio-X Móvel"/>
    <n v="6"/>
    <n v="50925.16"/>
    <n v="305550.96000000002"/>
  </r>
  <r>
    <s v="2026-06-05"/>
    <s v="Hospital São Lucas"/>
    <x v="4"/>
    <x v="0"/>
    <x v="1"/>
    <s v="Aspirador Cirúrgico de Secreção"/>
    <n v="3"/>
    <n v="24133.65"/>
    <n v="72400.95"/>
  </r>
  <r>
    <s v="2026-06-05"/>
    <s v="Hospital São Lucas"/>
    <x v="2"/>
    <x v="2"/>
    <x v="0"/>
    <s v="Carro de Emergência (Crash Cart)"/>
    <n v="3"/>
    <n v="7258.25"/>
    <n v="21774.75"/>
  </r>
  <r>
    <s v="2026-06-05"/>
    <s v="Clínica Ortopédica Central"/>
    <x v="3"/>
    <x v="1"/>
    <x v="3"/>
    <s v="Ventilador Pulmonar"/>
    <n v="1"/>
    <n v="28161.57"/>
    <n v="28161.57"/>
  </r>
  <r>
    <s v="2026-06-06"/>
    <s v="Hospital Metropolitano"/>
    <x v="1"/>
    <x v="1"/>
    <x v="0"/>
    <s v="Poltrona de Coleta"/>
    <n v="7"/>
    <n v="9046.24"/>
    <n v="63323.68"/>
  </r>
  <r>
    <s v="2026-06-06"/>
    <s v="Hospital Metropolitano"/>
    <x v="3"/>
    <x v="3"/>
    <x v="1"/>
    <s v="Mesa Cirúrgica Eletromecânica"/>
    <n v="8"/>
    <n v="33369.9"/>
    <n v="266959.2"/>
  </r>
  <r>
    <s v="2026-06-06"/>
    <s v="Hospital São Lucas"/>
    <x v="2"/>
    <x v="0"/>
    <x v="1"/>
    <s v="Mesa Cirúrgica Eletromecânica"/>
    <n v="2"/>
    <n v="23854.71"/>
    <n v="47709.42"/>
  </r>
  <r>
    <s v="2026-06-06"/>
    <s v="Hospital Regional"/>
    <x v="2"/>
    <x v="2"/>
    <x v="0"/>
    <s v="Carro de Emergência (Crash Cart)"/>
    <n v="4"/>
    <n v="10409.65"/>
    <n v="41638.6"/>
  </r>
  <r>
    <s v="2026-06-06"/>
    <s v="Clínica Ortopédica Central"/>
    <x v="0"/>
    <x v="1"/>
    <x v="1"/>
    <s v="Bisturi Eletrônico"/>
    <n v="7"/>
    <n v="24990.32"/>
    <n v="174932.24"/>
  </r>
  <r>
    <s v="2026-06-06"/>
    <s v="Clínica Ortopédica Central"/>
    <x v="1"/>
    <x v="4"/>
    <x v="2"/>
    <s v="Eletrocardiógrafo"/>
    <n v="8"/>
    <n v="53405.7"/>
    <n v="427245.6"/>
  </r>
  <r>
    <s v="2026-06-07"/>
    <s v="Hospital Santa Maria"/>
    <x v="2"/>
    <x v="1"/>
    <x v="0"/>
    <s v="Maca de Transporte"/>
    <n v="1"/>
    <n v="8866.7099999999991"/>
    <n v="8866.7099999999991"/>
  </r>
  <r>
    <s v="2026-06-07"/>
    <s v="Centro Médico Avançado"/>
    <x v="0"/>
    <x v="4"/>
    <x v="3"/>
    <s v="Desfibrilador Externo"/>
    <n v="4"/>
    <n v="35639.769999999997"/>
    <n v="142559.07999999999"/>
  </r>
  <r>
    <s v="2026-06-07"/>
    <s v="Hospital Metropolitano"/>
    <x v="0"/>
    <x v="2"/>
    <x v="0"/>
    <s v="Maca de Transporte"/>
    <n v="6"/>
    <n v="8961.32"/>
    <n v="53767.92"/>
  </r>
  <r>
    <s v="2026-06-07"/>
    <s v="Hospital São Lucas"/>
    <x v="3"/>
    <x v="1"/>
    <x v="2"/>
    <s v="Ultrassom Portátil"/>
    <n v="3"/>
    <n v="46836.87"/>
    <n v="140510.60999999999"/>
  </r>
  <r>
    <s v="2026-06-07"/>
    <s v="Hospital Santa Maria"/>
    <x v="3"/>
    <x v="1"/>
    <x v="2"/>
    <s v="Aparelho de Raio-X Móvel"/>
    <n v="5"/>
    <n v="53278.19"/>
    <n v="266390.95"/>
  </r>
  <r>
    <s v="2026-06-07"/>
    <s v="Rede Saúde Total"/>
    <x v="0"/>
    <x v="2"/>
    <x v="2"/>
    <s v="Ultrassom Portátil"/>
    <n v="9"/>
    <n v="51855.95"/>
    <n v="466703.55"/>
  </r>
  <r>
    <s v="2026-06-08"/>
    <s v="Clínica Vida"/>
    <x v="3"/>
    <x v="1"/>
    <x v="2"/>
    <s v="Monitor de Pressão Arterial 24h"/>
    <n v="3"/>
    <n v="46951.24"/>
    <n v="140853.72"/>
  </r>
  <r>
    <s v="2026-06-08"/>
    <s v="Centro Médico Avançado"/>
    <x v="2"/>
    <x v="4"/>
    <x v="2"/>
    <s v="Eletrocardiógrafo"/>
    <n v="5"/>
    <n v="40259.449999999997"/>
    <n v="201297.25"/>
  </r>
  <r>
    <s v="2026-06-08"/>
    <s v="Centro Médico Avançado"/>
    <x v="4"/>
    <x v="1"/>
    <x v="3"/>
    <s v="Bomba de Infusão"/>
    <n v="8"/>
    <n v="28677.16"/>
    <n v="229417.28"/>
  </r>
  <r>
    <s v="2026-06-08"/>
    <s v="Centro Médico Avançado"/>
    <x v="2"/>
    <x v="0"/>
    <x v="1"/>
    <s v="Mesa Cirúrgica Eletromecânica"/>
    <n v="6"/>
    <n v="32777.24"/>
    <n v="196663.44"/>
  </r>
  <r>
    <s v="2026-06-08"/>
    <s v="Clínica Ortopédica Central"/>
    <x v="0"/>
    <x v="3"/>
    <x v="2"/>
    <s v="Eletrocardiógrafo"/>
    <n v="4"/>
    <n v="47779.03"/>
    <n v="191116.12"/>
  </r>
  <r>
    <s v="2026-06-08"/>
    <s v="Rede Saúde Total"/>
    <x v="0"/>
    <x v="4"/>
    <x v="2"/>
    <s v="Monitor de Pressão Arterial 24h"/>
    <n v="8"/>
    <n v="46918.6"/>
    <n v="375348.8"/>
  </r>
  <r>
    <s v="2026-06-09"/>
    <s v="Centro Médico Avançado"/>
    <x v="2"/>
    <x v="0"/>
    <x v="0"/>
    <s v="Carro de Emergência (Crash Cart)"/>
    <n v="3"/>
    <n v="9538.93"/>
    <n v="28616.79"/>
  </r>
  <r>
    <s v="2026-06-09"/>
    <s v="Rede Saúde Total"/>
    <x v="3"/>
    <x v="2"/>
    <x v="3"/>
    <s v="Monitor Multiparamétrico"/>
    <n v="3"/>
    <n v="38193.17"/>
    <n v="114579.51"/>
  </r>
  <r>
    <s v="2026-06-09"/>
    <s v="Hospital Regional"/>
    <x v="3"/>
    <x v="4"/>
    <x v="3"/>
    <s v="Desfibrilador Externo"/>
    <n v="4"/>
    <n v="35249.58"/>
    <n v="140998.32"/>
  </r>
  <r>
    <s v="2026-06-09"/>
    <s v="Centro Médico Avançado"/>
    <x v="0"/>
    <x v="3"/>
    <x v="1"/>
    <s v="Foco Cirúrgico LED"/>
    <n v="9"/>
    <n v="32343.9"/>
    <n v="291095.09999999998"/>
  </r>
  <r>
    <s v="2026-06-09"/>
    <s v="Clínica Vida"/>
    <x v="1"/>
    <x v="3"/>
    <x v="3"/>
    <s v="Monitor Multiparamétrico"/>
    <n v="5"/>
    <n v="36995.46"/>
    <n v="184977.3"/>
  </r>
  <r>
    <s v="2026-06-09"/>
    <s v="Rede Saúde Total"/>
    <x v="3"/>
    <x v="2"/>
    <x v="0"/>
    <s v="Cama Hospitalar Elétrica"/>
    <n v="8"/>
    <n v="8436.2900000000009"/>
    <n v="67490.320000000007"/>
  </r>
  <r>
    <s v="2026-06-10"/>
    <s v="Rede Saúde Total"/>
    <x v="2"/>
    <x v="2"/>
    <x v="0"/>
    <s v="Poltrona de Coleta"/>
    <n v="6"/>
    <n v="8156.88"/>
    <n v="48941.279999999999"/>
  </r>
  <r>
    <s v="2026-06-10"/>
    <s v="Clínica Vida"/>
    <x v="3"/>
    <x v="4"/>
    <x v="1"/>
    <s v="Mesa Cirúrgica Eletromecânica"/>
    <n v="3"/>
    <n v="32773.040000000001"/>
    <n v="98319.12"/>
  </r>
  <r>
    <s v="2026-06-10"/>
    <s v="Centro Médico Avançado"/>
    <x v="2"/>
    <x v="1"/>
    <x v="0"/>
    <s v="Maca de Transporte"/>
    <n v="8"/>
    <n v="8507.41"/>
    <n v="68059.28"/>
  </r>
  <r>
    <s v="2026-06-10"/>
    <s v="Clínica Vida"/>
    <x v="0"/>
    <x v="2"/>
    <x v="2"/>
    <s v="Monitor de Pressão Arterial 24h"/>
    <n v="9"/>
    <n v="54510.05"/>
    <n v="490590.45"/>
  </r>
  <r>
    <s v="2026-06-10"/>
    <s v="Rede Saúde Total"/>
    <x v="3"/>
    <x v="1"/>
    <x v="2"/>
    <s v="Eletrocardiógrafo"/>
    <n v="8"/>
    <n v="39504.43"/>
    <n v="316035.44"/>
  </r>
  <r>
    <s v="2026-06-10"/>
    <s v="Clínica Vida"/>
    <x v="2"/>
    <x v="0"/>
    <x v="0"/>
    <s v="Maca de Transporte"/>
    <n v="4"/>
    <n v="7422.94"/>
    <n v="29691.759999999998"/>
  </r>
  <r>
    <s v="2026-06-10"/>
    <s v="Rede Saúde Total"/>
    <x v="0"/>
    <x v="3"/>
    <x v="1"/>
    <s v="Mesa Cirúrgica Eletromecânica"/>
    <n v="6"/>
    <n v="34182.449999999997"/>
    <n v="205094.7"/>
  </r>
  <r>
    <s v="2026-06-11"/>
    <s v="Rede Saúde Total"/>
    <x v="1"/>
    <x v="1"/>
    <x v="3"/>
    <s v="Ventilador Pulmonar"/>
    <n v="1"/>
    <n v="35500.22"/>
    <n v="35500.22"/>
  </r>
  <r>
    <s v="2026-06-11"/>
    <s v="Hospital Regional"/>
    <x v="2"/>
    <x v="3"/>
    <x v="1"/>
    <s v="Bisturi Eletrônico"/>
    <n v="4"/>
    <n v="28051.51"/>
    <n v="112206.04"/>
  </r>
  <r>
    <s v="2026-06-11"/>
    <s v="Hospital São Lucas"/>
    <x v="1"/>
    <x v="1"/>
    <x v="3"/>
    <s v="Ventilador Pulmonar"/>
    <n v="8"/>
    <n v="36864.769999999997"/>
    <n v="294918.15999999997"/>
  </r>
  <r>
    <s v="2026-06-11"/>
    <s v="Rede Saúde Total"/>
    <x v="1"/>
    <x v="0"/>
    <x v="0"/>
    <s v="Cama Hospitalar Elétrica"/>
    <n v="1"/>
    <n v="9510.91"/>
    <n v="9510.91"/>
  </r>
  <r>
    <s v="2026-06-11"/>
    <s v="Centro Médico Avançado"/>
    <x v="4"/>
    <x v="2"/>
    <x v="0"/>
    <s v="Carro de Emergência (Crash Cart)"/>
    <n v="3"/>
    <n v="9031.08"/>
    <n v="27093.24"/>
  </r>
  <r>
    <s v="2026-06-11"/>
    <s v="Hospital Santa Maria"/>
    <x v="3"/>
    <x v="0"/>
    <x v="2"/>
    <s v="Eletrocardiógrafo"/>
    <n v="1"/>
    <n v="40029.72"/>
    <n v="40029.72"/>
  </r>
  <r>
    <s v="2026-06-12"/>
    <s v="Clínica Ortopédica Central"/>
    <x v="2"/>
    <x v="2"/>
    <x v="3"/>
    <s v="Desfibrilador Externo"/>
    <n v="9"/>
    <n v="37595.9"/>
    <n v="338363.1"/>
  </r>
  <r>
    <s v="2026-06-12"/>
    <s v="Hospital Metropolitano"/>
    <x v="1"/>
    <x v="2"/>
    <x v="1"/>
    <s v="Bisturi Eletrônico"/>
    <n v="2"/>
    <n v="33499.46"/>
    <n v="66998.92"/>
  </r>
  <r>
    <s v="2026-06-12"/>
    <s v="Hospital São Lucas"/>
    <x v="4"/>
    <x v="3"/>
    <x v="0"/>
    <s v="Maca de Transporte"/>
    <n v="9"/>
    <n v="7810.37"/>
    <n v="70293.33"/>
  </r>
  <r>
    <s v="2026-06-12"/>
    <s v="Hospital São Lucas"/>
    <x v="0"/>
    <x v="0"/>
    <x v="1"/>
    <s v="Bisturi Eletrônico"/>
    <n v="4"/>
    <n v="33325.730000000003"/>
    <n v="133302.92000000001"/>
  </r>
  <r>
    <s v="2026-06-12"/>
    <s v="Hospital São Lucas"/>
    <x v="2"/>
    <x v="1"/>
    <x v="2"/>
    <s v="Monitor de Pressão Arterial 24h"/>
    <n v="2"/>
    <n v="54051.25"/>
    <n v="108102.5"/>
  </r>
  <r>
    <s v="2026-06-12"/>
    <s v="Hospital Regional"/>
    <x v="1"/>
    <x v="0"/>
    <x v="3"/>
    <s v="Desfibrilador Externo"/>
    <n v="4"/>
    <n v="34232.69"/>
    <n v="136930.76"/>
  </r>
  <r>
    <s v="2026-06-13"/>
    <s v="Rede Saúde Total"/>
    <x v="3"/>
    <x v="3"/>
    <x v="3"/>
    <s v="Desfibrilador Externo"/>
    <n v="6"/>
    <n v="35599.089999999997"/>
    <n v="213594.54"/>
  </r>
  <r>
    <s v="2026-06-13"/>
    <s v="Hospital Regional"/>
    <x v="4"/>
    <x v="2"/>
    <x v="0"/>
    <s v="Carro de Emergência (Crash Cart)"/>
    <n v="7"/>
    <n v="8524.61"/>
    <n v="59672.27"/>
  </r>
  <r>
    <s v="2026-06-13"/>
    <s v="Rede Saúde Total"/>
    <x v="1"/>
    <x v="3"/>
    <x v="3"/>
    <s v="Bomba de Infusão"/>
    <n v="3"/>
    <n v="30806.93"/>
    <n v="92420.79"/>
  </r>
  <r>
    <s v="2026-06-13"/>
    <s v="Centro Médico Avançado"/>
    <x v="3"/>
    <x v="4"/>
    <x v="0"/>
    <s v="Cama Hospitalar Elétrica"/>
    <n v="3"/>
    <n v="9679.74"/>
    <n v="29039.22"/>
  </r>
  <r>
    <s v="2026-06-13"/>
    <s v="Hospital Regional"/>
    <x v="1"/>
    <x v="4"/>
    <x v="2"/>
    <s v="Ultrassom Portátil"/>
    <n v="8"/>
    <n v="53763.75"/>
    <n v="430110"/>
  </r>
  <r>
    <s v="2026-06-13"/>
    <s v="Hospital Regional"/>
    <x v="2"/>
    <x v="1"/>
    <x v="3"/>
    <s v="Monitor Multiparamétrico"/>
    <n v="5"/>
    <n v="35572.19"/>
    <n v="177860.95"/>
  </r>
  <r>
    <s v="2026-06-14"/>
    <s v="Clínica Ortopédica Central"/>
    <x v="2"/>
    <x v="3"/>
    <x v="0"/>
    <s v="Cama Hospitalar Elétrica"/>
    <n v="4"/>
    <n v="8964.41"/>
    <n v="35857.64"/>
  </r>
  <r>
    <s v="2026-06-14"/>
    <s v="Hospital Santa Maria"/>
    <x v="2"/>
    <x v="1"/>
    <x v="1"/>
    <s v="Mesa Cirúrgica Eletromecânica"/>
    <n v="7"/>
    <n v="25579.96"/>
    <n v="179059.72"/>
  </r>
  <r>
    <s v="2026-06-14"/>
    <s v="Hospital Regional"/>
    <x v="4"/>
    <x v="1"/>
    <x v="0"/>
    <s v="Poltrona de Coleta"/>
    <n v="7"/>
    <n v="7406.76"/>
    <n v="51847.32"/>
  </r>
  <r>
    <s v="2026-06-14"/>
    <s v="Clínica Ortopédica Central"/>
    <x v="2"/>
    <x v="4"/>
    <x v="3"/>
    <s v="Ventilador Pulmonar"/>
    <n v="9"/>
    <n v="32904.85"/>
    <n v="296143.65000000002"/>
  </r>
  <r>
    <s v="2026-06-14"/>
    <s v="Clínica Vida"/>
    <x v="3"/>
    <x v="1"/>
    <x v="2"/>
    <s v="Eletrocardiógrafo"/>
    <n v="9"/>
    <n v="39138.29"/>
    <n v="352244.61"/>
  </r>
  <r>
    <s v="2026-06-14"/>
    <s v="Hospital Santa Maria"/>
    <x v="1"/>
    <x v="4"/>
    <x v="3"/>
    <s v="Ventilador Pulmonar"/>
    <n v="5"/>
    <n v="34487.480000000003"/>
    <n v="172437.4"/>
  </r>
  <r>
    <s v="2026-06-15"/>
    <s v="Centro Médico Avançado"/>
    <x v="0"/>
    <x v="2"/>
    <x v="3"/>
    <s v="Monitor Multiparamétrico"/>
    <n v="8"/>
    <n v="32098.93"/>
    <n v="256791.44"/>
  </r>
  <r>
    <s v="2026-06-15"/>
    <s v="Hospital Regional"/>
    <x v="3"/>
    <x v="3"/>
    <x v="0"/>
    <s v="Cama Hospitalar Elétrica"/>
    <n v="1"/>
    <n v="9799.44"/>
    <n v="9799.44"/>
  </r>
  <r>
    <s v="2026-06-15"/>
    <s v="Hospital Metropolitano"/>
    <x v="3"/>
    <x v="1"/>
    <x v="1"/>
    <s v="Aspirador Cirúrgico de Secreção"/>
    <n v="9"/>
    <n v="27223.26"/>
    <n v="245009.34"/>
  </r>
  <r>
    <s v="2026-06-15"/>
    <s v="Hospital São Lucas"/>
    <x v="2"/>
    <x v="4"/>
    <x v="3"/>
    <s v="Bomba de Infusão"/>
    <n v="8"/>
    <n v="34790.18"/>
    <n v="278321.44"/>
  </r>
  <r>
    <s v="2026-06-15"/>
    <s v="Clínica Vida"/>
    <x v="4"/>
    <x v="0"/>
    <x v="1"/>
    <s v="Mesa Cirúrgica Eletromecânica"/>
    <n v="6"/>
    <n v="29822.06"/>
    <n v="178932.36"/>
  </r>
  <r>
    <s v="2026-06-15"/>
    <s v="Clínica Vida"/>
    <x v="1"/>
    <x v="1"/>
    <x v="0"/>
    <s v="Carro de Emergência (Crash Cart)"/>
    <n v="3"/>
    <n v="7241.02"/>
    <n v="21723.06"/>
  </r>
  <r>
    <s v="2026-06-15"/>
    <s v="Centro Médico Avançado"/>
    <x v="4"/>
    <x v="2"/>
    <x v="1"/>
    <s v="Bisturi Eletrônico"/>
    <n v="3"/>
    <n v="24610.76"/>
    <n v="73832.28"/>
  </r>
  <r>
    <s v="2026-06-16"/>
    <s v="Clínica Ortopédica Central"/>
    <x v="1"/>
    <x v="2"/>
    <x v="0"/>
    <s v="Maca de Transporte"/>
    <n v="8"/>
    <n v="8212.25"/>
    <n v="65698"/>
  </r>
  <r>
    <s v="2026-06-16"/>
    <s v="Clínica Vida"/>
    <x v="1"/>
    <x v="0"/>
    <x v="2"/>
    <s v="Eletrocardiógrafo"/>
    <n v="5"/>
    <n v="54130.23"/>
    <n v="270651.15000000002"/>
  </r>
  <r>
    <s v="2026-06-16"/>
    <s v="Hospital Santa Maria"/>
    <x v="4"/>
    <x v="4"/>
    <x v="1"/>
    <s v="Bisturi Eletrônico"/>
    <n v="7"/>
    <n v="25446.57"/>
    <n v="178125.99"/>
  </r>
  <r>
    <s v="2026-06-16"/>
    <s v="Hospital Regional"/>
    <x v="3"/>
    <x v="1"/>
    <x v="1"/>
    <s v="Foco Cirúrgico LED"/>
    <n v="5"/>
    <n v="31762.02"/>
    <n v="158810.1"/>
  </r>
  <r>
    <s v="2026-06-16"/>
    <s v="Hospital Regional"/>
    <x v="1"/>
    <x v="4"/>
    <x v="2"/>
    <s v="Eletrocardiógrafo"/>
    <n v="8"/>
    <n v="55770.6"/>
    <n v="446164.8"/>
  </r>
  <r>
    <s v="2026-06-16"/>
    <s v="Hospital Metropolitano"/>
    <x v="4"/>
    <x v="2"/>
    <x v="1"/>
    <s v="Bisturi Eletrônico"/>
    <n v="4"/>
    <n v="32654.36"/>
    <n v="130617.44"/>
  </r>
  <r>
    <s v="2026-06-17"/>
    <s v="Centro Médico Avançado"/>
    <x v="1"/>
    <x v="4"/>
    <x v="2"/>
    <s v="Eletrocardiógrafo"/>
    <n v="2"/>
    <n v="42623.02"/>
    <n v="85246.04"/>
  </r>
  <r>
    <s v="2026-06-17"/>
    <s v="Hospital São Lucas"/>
    <x v="0"/>
    <x v="2"/>
    <x v="3"/>
    <s v="Bomba de Infusão"/>
    <n v="3"/>
    <n v="38827.08"/>
    <n v="116481.24"/>
  </r>
  <r>
    <s v="2026-06-17"/>
    <s v="Clínica Ortopédica Central"/>
    <x v="3"/>
    <x v="4"/>
    <x v="0"/>
    <s v="Maca de Transporte"/>
    <n v="8"/>
    <n v="7541.56"/>
    <n v="60332.480000000003"/>
  </r>
  <r>
    <s v="2026-06-17"/>
    <s v="Hospital São Lucas"/>
    <x v="2"/>
    <x v="0"/>
    <x v="2"/>
    <s v="Monitor de Pressão Arterial 24h"/>
    <n v="7"/>
    <n v="46676.55"/>
    <n v="326735.84999999998"/>
  </r>
  <r>
    <s v="2026-06-17"/>
    <s v="Clínica Vida"/>
    <x v="1"/>
    <x v="3"/>
    <x v="1"/>
    <s v="Foco Cirúrgico LED"/>
    <n v="2"/>
    <n v="33740.47"/>
    <n v="67480.94"/>
  </r>
  <r>
    <s v="2026-06-17"/>
    <s v="Centro Médico Avançado"/>
    <x v="0"/>
    <x v="0"/>
    <x v="2"/>
    <s v="Eletrocardiógrafo"/>
    <n v="6"/>
    <n v="49792.78"/>
    <n v="298756.68"/>
  </r>
  <r>
    <s v="2026-06-18"/>
    <s v="Hospital Metropolitano"/>
    <x v="2"/>
    <x v="0"/>
    <x v="1"/>
    <s v="Bisturi Eletrônico"/>
    <n v="9"/>
    <n v="28432.82"/>
    <n v="255895.38"/>
  </r>
  <r>
    <s v="2026-06-18"/>
    <s v="Hospital São Lucas"/>
    <x v="2"/>
    <x v="3"/>
    <x v="3"/>
    <s v="Monitor Multiparamétrico"/>
    <n v="4"/>
    <n v="30948"/>
    <n v="123792"/>
  </r>
  <r>
    <s v="2026-06-18"/>
    <s v="Hospital Santa Maria"/>
    <x v="1"/>
    <x v="3"/>
    <x v="2"/>
    <s v="Monitor de Pressão Arterial 24h"/>
    <n v="9"/>
    <n v="45001.79"/>
    <n v="405016.11"/>
  </r>
  <r>
    <s v="2026-06-18"/>
    <s v="Hospital Regional"/>
    <x v="4"/>
    <x v="1"/>
    <x v="3"/>
    <s v="Bomba de Infusão"/>
    <n v="2"/>
    <n v="33714.449999999997"/>
    <n v="67428.899999999994"/>
  </r>
  <r>
    <s v="2026-06-18"/>
    <s v="Clínica Vida"/>
    <x v="1"/>
    <x v="1"/>
    <x v="0"/>
    <s v="Maca de Transporte"/>
    <n v="2"/>
    <n v="8309.75"/>
    <n v="16619.5"/>
  </r>
  <r>
    <s v="2026-06-18"/>
    <s v="Hospital Metropolitano"/>
    <x v="0"/>
    <x v="0"/>
    <x v="1"/>
    <s v="Foco Cirúrgico LED"/>
    <n v="9"/>
    <n v="34652.44"/>
    <n v="311871.96000000002"/>
  </r>
  <r>
    <s v="2026-06-19"/>
    <s v="Hospital São Lucas"/>
    <x v="2"/>
    <x v="0"/>
    <x v="1"/>
    <s v="Foco Cirúrgico LED"/>
    <n v="7"/>
    <n v="34250.47"/>
    <n v="239753.29"/>
  </r>
  <r>
    <s v="2026-06-19"/>
    <s v="Clínica Ortopédica Central"/>
    <x v="1"/>
    <x v="2"/>
    <x v="3"/>
    <s v="Bomba de Infusão"/>
    <n v="7"/>
    <n v="38344.589999999997"/>
    <n v="268412.13"/>
  </r>
  <r>
    <s v="2026-06-19"/>
    <s v="Hospital Santa Maria"/>
    <x v="4"/>
    <x v="2"/>
    <x v="0"/>
    <s v="Carro de Emergência (Crash Cart)"/>
    <n v="1"/>
    <n v="8659.2199999999993"/>
    <n v="8659.2199999999993"/>
  </r>
  <r>
    <s v="2026-06-19"/>
    <s v="Hospital Santa Maria"/>
    <x v="1"/>
    <x v="1"/>
    <x v="2"/>
    <s v="Monitor de Pressão Arterial 24h"/>
    <n v="6"/>
    <n v="50693.43"/>
    <n v="304160.58"/>
  </r>
  <r>
    <s v="2026-06-19"/>
    <s v="Hospital São Lucas"/>
    <x v="3"/>
    <x v="1"/>
    <x v="2"/>
    <s v="Monitor de Pressão Arterial 24h"/>
    <n v="7"/>
    <n v="54500.93"/>
    <n v="381506.51"/>
  </r>
  <r>
    <s v="2026-06-19"/>
    <s v="Hospital Regional"/>
    <x v="4"/>
    <x v="2"/>
    <x v="1"/>
    <s v="Bisturi Eletrônico"/>
    <n v="6"/>
    <n v="33324.81"/>
    <n v="199948.86"/>
  </r>
  <r>
    <s v="2026-06-20"/>
    <s v="Hospital São Lucas"/>
    <x v="0"/>
    <x v="2"/>
    <x v="3"/>
    <s v="Monitor Multiparamétrico"/>
    <n v="6"/>
    <n v="32503.39"/>
    <n v="195020.34"/>
  </r>
  <r>
    <s v="2026-06-20"/>
    <s v="Clínica Vida"/>
    <x v="2"/>
    <x v="4"/>
    <x v="3"/>
    <s v="Desfibrilador Externo"/>
    <n v="2"/>
    <n v="28638.54"/>
    <n v="57277.08"/>
  </r>
  <r>
    <s v="2026-06-20"/>
    <s v="Hospital São Lucas"/>
    <x v="1"/>
    <x v="4"/>
    <x v="2"/>
    <s v="Eletrocardiógrafo"/>
    <n v="6"/>
    <n v="39611.35"/>
    <n v="237668.1"/>
  </r>
  <r>
    <s v="2026-06-20"/>
    <s v="Hospital Santa Maria"/>
    <x v="4"/>
    <x v="2"/>
    <x v="0"/>
    <s v="Poltrona de Coleta"/>
    <n v="4"/>
    <n v="9187.02"/>
    <n v="36748.080000000002"/>
  </r>
  <r>
    <s v="2026-06-20"/>
    <s v="Hospital Metropolitano"/>
    <x v="3"/>
    <x v="4"/>
    <x v="0"/>
    <s v="Carro de Emergência (Crash Cart)"/>
    <n v="9"/>
    <n v="9409.93"/>
    <n v="84689.37"/>
  </r>
  <r>
    <s v="2026-06-20"/>
    <s v="Hospital São Lucas"/>
    <x v="4"/>
    <x v="3"/>
    <x v="2"/>
    <s v="Ultrassom Portátil"/>
    <n v="1"/>
    <n v="53547.17"/>
    <n v="53547.17"/>
  </r>
  <r>
    <s v="2026-06-21"/>
    <s v="Hospital Regional"/>
    <x v="3"/>
    <x v="1"/>
    <x v="2"/>
    <s v="Eletrocardiógrafo"/>
    <n v="8"/>
    <n v="43515.27"/>
    <n v="348122.16"/>
  </r>
  <r>
    <s v="2026-06-21"/>
    <s v="Centro Médico Avançado"/>
    <x v="0"/>
    <x v="1"/>
    <x v="3"/>
    <s v="Ventilador Pulmonar"/>
    <n v="5"/>
    <n v="29343.62"/>
    <n v="146718.1"/>
  </r>
  <r>
    <s v="2026-06-21"/>
    <s v="Hospital Metropolitano"/>
    <x v="2"/>
    <x v="2"/>
    <x v="0"/>
    <s v="Poltrona de Coleta"/>
    <n v="1"/>
    <n v="8513.6200000000008"/>
    <n v="8513.6200000000008"/>
  </r>
  <r>
    <s v="2026-06-21"/>
    <s v="Clínica Ortopédica Central"/>
    <x v="0"/>
    <x v="0"/>
    <x v="2"/>
    <s v="Eletrocardiógrafo"/>
    <n v="4"/>
    <n v="44614.35"/>
    <n v="178457.4"/>
  </r>
  <r>
    <s v="2026-06-21"/>
    <s v="Rede Saúde Total"/>
    <x v="1"/>
    <x v="2"/>
    <x v="2"/>
    <s v="Monitor de Pressão Arterial 24h"/>
    <n v="1"/>
    <n v="40634.44"/>
    <n v="40634.44"/>
  </r>
  <r>
    <s v="2026-06-21"/>
    <s v="Hospital São Lucas"/>
    <x v="4"/>
    <x v="4"/>
    <x v="1"/>
    <s v="Foco Cirúrgico LED"/>
    <n v="6"/>
    <n v="31329.57"/>
    <n v="187977.42"/>
  </r>
  <r>
    <s v="2026-06-21"/>
    <s v="Hospital Regional"/>
    <x v="3"/>
    <x v="0"/>
    <x v="2"/>
    <s v="Eletrocardiógrafo"/>
    <n v="2"/>
    <n v="47406.45"/>
    <n v="94812.9"/>
  </r>
  <r>
    <s v="2026-06-22"/>
    <s v="Hospital Metropolitano"/>
    <x v="3"/>
    <x v="4"/>
    <x v="2"/>
    <s v="Monitor de Pressão Arterial 24h"/>
    <n v="5"/>
    <n v="51230.21"/>
    <n v="256151.05"/>
  </r>
  <r>
    <s v="2026-06-22"/>
    <s v="Hospital Regional"/>
    <x v="4"/>
    <x v="3"/>
    <x v="0"/>
    <s v="Cama Hospitalar Elétrica"/>
    <n v="7"/>
    <n v="8424.15"/>
    <n v="58969.05"/>
  </r>
  <r>
    <s v="2026-06-22"/>
    <s v="Clínica Ortopédica Central"/>
    <x v="4"/>
    <x v="4"/>
    <x v="3"/>
    <s v="Desfibrilador Externo"/>
    <n v="2"/>
    <n v="31368.99"/>
    <n v="62737.98"/>
  </r>
  <r>
    <s v="2026-06-22"/>
    <s v="Hospital Santa Maria"/>
    <x v="1"/>
    <x v="3"/>
    <x v="0"/>
    <s v="Maca de Transporte"/>
    <n v="6"/>
    <n v="8831.76"/>
    <n v="52990.559999999998"/>
  </r>
  <r>
    <s v="2026-06-22"/>
    <s v="Hospital Regional"/>
    <x v="0"/>
    <x v="3"/>
    <x v="3"/>
    <s v="Ventilador Pulmonar"/>
    <n v="6"/>
    <n v="38430.81"/>
    <n v="230584.86"/>
  </r>
  <r>
    <s v="2026-06-22"/>
    <s v="Hospital Metropolitano"/>
    <x v="3"/>
    <x v="4"/>
    <x v="1"/>
    <s v="Foco Cirúrgico LED"/>
    <n v="5"/>
    <n v="24251.15"/>
    <n v="121255.75"/>
  </r>
  <r>
    <s v="2026-06-23"/>
    <s v="Hospital Regional"/>
    <x v="1"/>
    <x v="4"/>
    <x v="2"/>
    <s v="Ultrassom Portátil"/>
    <n v="5"/>
    <n v="52736.99"/>
    <n v="263684.95"/>
  </r>
  <r>
    <s v="2026-06-23"/>
    <s v="Hospital Regional"/>
    <x v="0"/>
    <x v="3"/>
    <x v="1"/>
    <s v="Bisturi Eletrônico"/>
    <n v="3"/>
    <n v="27932.66"/>
    <n v="83797.98"/>
  </r>
  <r>
    <s v="2026-06-23"/>
    <s v="Hospital Regional"/>
    <x v="1"/>
    <x v="0"/>
    <x v="3"/>
    <s v="Bomba de Infusão"/>
    <n v="2"/>
    <n v="38139.120000000003"/>
    <n v="76278.240000000005"/>
  </r>
  <r>
    <s v="2026-06-23"/>
    <s v="Clínica Vida"/>
    <x v="3"/>
    <x v="3"/>
    <x v="0"/>
    <s v="Carro de Emergência (Crash Cart)"/>
    <n v="7"/>
    <n v="9952.49"/>
    <n v="69667.429999999993"/>
  </r>
  <r>
    <s v="2026-06-23"/>
    <s v="Clínica Vida"/>
    <x v="4"/>
    <x v="1"/>
    <x v="0"/>
    <s v="Maca de Transporte"/>
    <n v="1"/>
    <n v="8410.7900000000009"/>
    <n v="8410.7900000000009"/>
  </r>
  <r>
    <s v="2026-06-23"/>
    <s v="Hospital Santa Maria"/>
    <x v="4"/>
    <x v="3"/>
    <x v="1"/>
    <s v="Mesa Cirúrgica Eletromecânica"/>
    <n v="6"/>
    <n v="31571.42"/>
    <n v="189428.52"/>
  </r>
  <r>
    <s v="2026-06-24"/>
    <s v="Hospital São Lucas"/>
    <x v="0"/>
    <x v="0"/>
    <x v="3"/>
    <s v="Ventilador Pulmonar"/>
    <n v="6"/>
    <n v="29243.3"/>
    <n v="175459.8"/>
  </r>
  <r>
    <s v="2026-06-24"/>
    <s v="Hospital Regional"/>
    <x v="2"/>
    <x v="1"/>
    <x v="1"/>
    <s v="Mesa Cirúrgica Eletromecânica"/>
    <n v="3"/>
    <n v="33838.35"/>
    <n v="101515.05"/>
  </r>
  <r>
    <s v="2026-06-24"/>
    <s v="Clínica Ortopédica Central"/>
    <x v="0"/>
    <x v="2"/>
    <x v="1"/>
    <s v="Aspirador Cirúrgico de Secreção"/>
    <n v="2"/>
    <n v="28330.3"/>
    <n v="56660.6"/>
  </r>
  <r>
    <s v="2026-06-24"/>
    <s v="Hospital São Lucas"/>
    <x v="2"/>
    <x v="2"/>
    <x v="2"/>
    <s v="Ultrassom Portátil"/>
    <n v="2"/>
    <n v="46451.26"/>
    <n v="92902.52"/>
  </r>
  <r>
    <s v="2026-06-24"/>
    <s v="Clínica Ortopédica Central"/>
    <x v="1"/>
    <x v="0"/>
    <x v="1"/>
    <s v="Foco Cirúrgico LED"/>
    <n v="9"/>
    <n v="31704.5"/>
    <n v="285340.5"/>
  </r>
  <r>
    <s v="2026-06-24"/>
    <s v="Hospital São Lucas"/>
    <x v="1"/>
    <x v="3"/>
    <x v="2"/>
    <s v="Monitor de Pressão Arterial 24h"/>
    <n v="5"/>
    <n v="53025.120000000003"/>
    <n v="265125.59999999998"/>
  </r>
  <r>
    <s v="2026-06-25"/>
    <s v="Hospital Santa Maria"/>
    <x v="3"/>
    <x v="4"/>
    <x v="2"/>
    <s v="Ultrassom Portátil"/>
    <n v="7"/>
    <n v="42504.17"/>
    <n v="297529.19"/>
  </r>
  <r>
    <s v="2026-06-25"/>
    <s v="Hospital Regional"/>
    <x v="2"/>
    <x v="0"/>
    <x v="0"/>
    <s v="Maca de Transporte"/>
    <n v="5"/>
    <n v="9473.59"/>
    <n v="47367.95"/>
  </r>
  <r>
    <s v="2026-06-25"/>
    <s v="Hospital Regional"/>
    <x v="3"/>
    <x v="1"/>
    <x v="2"/>
    <s v="Eletrocardiógrafo"/>
    <n v="7"/>
    <n v="45305.96"/>
    <n v="317141.71999999997"/>
  </r>
  <r>
    <s v="2026-06-25"/>
    <s v="Rede Saúde Total"/>
    <x v="4"/>
    <x v="1"/>
    <x v="2"/>
    <s v="Monitor de Pressão Arterial 24h"/>
    <n v="4"/>
    <n v="44886.65"/>
    <n v="179546.6"/>
  </r>
  <r>
    <s v="2026-06-25"/>
    <s v="Clínica Ortopédica Central"/>
    <x v="2"/>
    <x v="2"/>
    <x v="0"/>
    <s v="Maca de Transporte"/>
    <n v="8"/>
    <n v="9571.09"/>
    <n v="76568.72"/>
  </r>
  <r>
    <s v="2026-06-25"/>
    <s v="Hospital São Lucas"/>
    <x v="0"/>
    <x v="1"/>
    <x v="1"/>
    <s v="Aspirador Cirúrgico de Secreção"/>
    <n v="7"/>
    <n v="28136.45"/>
    <n v="196955.15"/>
  </r>
  <r>
    <s v="2026-06-26"/>
    <s v="Hospital São Lucas"/>
    <x v="4"/>
    <x v="0"/>
    <x v="3"/>
    <s v="Desfibrilador Externo"/>
    <n v="5"/>
    <n v="31630.19"/>
    <n v="158150.95000000001"/>
  </r>
  <r>
    <s v="2026-06-26"/>
    <s v="Centro Médico Avançado"/>
    <x v="4"/>
    <x v="1"/>
    <x v="3"/>
    <s v="Ventilador Pulmonar"/>
    <n v="6"/>
    <n v="37899.370000000003"/>
    <n v="227396.22"/>
  </r>
  <r>
    <s v="2026-06-26"/>
    <s v="Centro Médico Avançado"/>
    <x v="0"/>
    <x v="0"/>
    <x v="3"/>
    <s v="Ventilador Pulmonar"/>
    <n v="5"/>
    <n v="28496.33"/>
    <n v="142481.65"/>
  </r>
  <r>
    <s v="2026-06-26"/>
    <s v="Clínica Vida"/>
    <x v="4"/>
    <x v="4"/>
    <x v="1"/>
    <s v="Mesa Cirúrgica Eletromecânica"/>
    <n v="7"/>
    <n v="31370"/>
    <n v="219590"/>
  </r>
  <r>
    <s v="2026-06-26"/>
    <s v="Rede Saúde Total"/>
    <x v="2"/>
    <x v="2"/>
    <x v="2"/>
    <s v="Monitor de Pressão Arterial 24h"/>
    <n v="2"/>
    <n v="42727.06"/>
    <n v="85454.12"/>
  </r>
  <r>
    <s v="2026-06-26"/>
    <s v="Hospital Metropolitano"/>
    <x v="3"/>
    <x v="1"/>
    <x v="3"/>
    <s v="Ventilador Pulmonar"/>
    <n v="5"/>
    <n v="27398.38"/>
    <n v="136991.9"/>
  </r>
  <r>
    <s v="2026-06-27"/>
    <s v="Centro Médico Avançado"/>
    <x v="4"/>
    <x v="0"/>
    <x v="1"/>
    <s v="Foco Cirúrgico LED"/>
    <n v="3"/>
    <n v="25667.759999999998"/>
    <n v="77003.28"/>
  </r>
  <r>
    <s v="2026-06-27"/>
    <s v="Hospital Metropolitano"/>
    <x v="2"/>
    <x v="3"/>
    <x v="2"/>
    <s v="Monitor de Pressão Arterial 24h"/>
    <n v="9"/>
    <n v="49169.91"/>
    <n v="442529.19"/>
  </r>
  <r>
    <s v="2026-06-27"/>
    <s v="Clínica Vida"/>
    <x v="1"/>
    <x v="2"/>
    <x v="0"/>
    <s v="Maca de Transporte"/>
    <n v="6"/>
    <n v="9636.0300000000007"/>
    <n v="57816.18"/>
  </r>
  <r>
    <s v="2026-06-27"/>
    <s v="Clínica Vida"/>
    <x v="2"/>
    <x v="4"/>
    <x v="3"/>
    <s v="Monitor Multiparamétrico"/>
    <n v="3"/>
    <n v="27469.54"/>
    <n v="82408.62"/>
  </r>
  <r>
    <s v="2026-06-27"/>
    <s v="Clínica Vida"/>
    <x v="3"/>
    <x v="0"/>
    <x v="2"/>
    <s v="Monitor de Pressão Arterial 24h"/>
    <n v="7"/>
    <n v="38905.660000000003"/>
    <n v="272339.62"/>
  </r>
  <r>
    <s v="2026-06-27"/>
    <s v="Clínica Ortopédica Central"/>
    <x v="2"/>
    <x v="4"/>
    <x v="3"/>
    <s v="Monitor Multiparamétrico"/>
    <n v="4"/>
    <n v="38752.54"/>
    <n v="155010.16"/>
  </r>
  <r>
    <s v="2026-06-27"/>
    <s v="Clínica Ortopédica Central"/>
    <x v="0"/>
    <x v="4"/>
    <x v="3"/>
    <s v="Ventilador Pulmonar"/>
    <n v="3"/>
    <n v="28138.31"/>
    <n v="84414.93"/>
  </r>
  <r>
    <s v="2026-06-28"/>
    <s v="Hospital Santa Maria"/>
    <x v="3"/>
    <x v="1"/>
    <x v="3"/>
    <s v="Desfibrilador Externo"/>
    <n v="8"/>
    <n v="38645.53"/>
    <n v="309164.24"/>
  </r>
  <r>
    <s v="2026-06-28"/>
    <s v="Hospital Santa Maria"/>
    <x v="1"/>
    <x v="1"/>
    <x v="2"/>
    <s v="Ultrassom Portátil"/>
    <n v="4"/>
    <n v="42356.99"/>
    <n v="169427.96"/>
  </r>
  <r>
    <s v="2026-06-28"/>
    <s v="Clínica Vida"/>
    <x v="0"/>
    <x v="0"/>
    <x v="1"/>
    <s v="Bisturi Eletrônico"/>
    <n v="1"/>
    <n v="32088.2"/>
    <n v="32088.2"/>
  </r>
  <r>
    <s v="2026-06-28"/>
    <s v="Rede Saúde Total"/>
    <x v="2"/>
    <x v="3"/>
    <x v="2"/>
    <s v="Eletrocardiógrafo"/>
    <n v="6"/>
    <n v="43825.2"/>
    <n v="262951.2"/>
  </r>
  <r>
    <s v="2026-06-28"/>
    <s v="Hospital São Lucas"/>
    <x v="3"/>
    <x v="0"/>
    <x v="3"/>
    <s v="Monitor Multiparamétrico"/>
    <n v="1"/>
    <n v="38192.03"/>
    <n v="38192.03"/>
  </r>
  <r>
    <s v="2026-06-28"/>
    <s v="Clínica Ortopédica Central"/>
    <x v="1"/>
    <x v="3"/>
    <x v="2"/>
    <s v="Eletrocardiógrafo"/>
    <n v="5"/>
    <n v="50858.19"/>
    <n v="254290.95"/>
  </r>
  <r>
    <s v="2026-06-29"/>
    <s v="Rede Saúde Total"/>
    <x v="0"/>
    <x v="4"/>
    <x v="0"/>
    <s v="Cama Hospitalar Elétrica"/>
    <n v="7"/>
    <n v="8591.17"/>
    <n v="60138.19"/>
  </r>
  <r>
    <s v="2026-06-29"/>
    <s v="Hospital Regional"/>
    <x v="1"/>
    <x v="2"/>
    <x v="1"/>
    <s v="Bisturi Eletrônico"/>
    <n v="6"/>
    <n v="24654.59"/>
    <n v="147927.54"/>
  </r>
  <r>
    <s v="2026-06-29"/>
    <s v="Clínica Ortopédica Central"/>
    <x v="2"/>
    <x v="0"/>
    <x v="2"/>
    <s v="Ultrassom Portátil"/>
    <n v="2"/>
    <n v="51438.6"/>
    <n v="102877.2"/>
  </r>
  <r>
    <s v="2026-06-29"/>
    <s v="Clínica Ortopédica Central"/>
    <x v="1"/>
    <x v="0"/>
    <x v="0"/>
    <s v="Maca de Transporte"/>
    <n v="4"/>
    <n v="9322.41"/>
    <n v="37289.64"/>
  </r>
  <r>
    <s v="2026-06-29"/>
    <s v="Hospital Santa Maria"/>
    <x v="4"/>
    <x v="3"/>
    <x v="1"/>
    <s v="Mesa Cirúrgica Eletromecânica"/>
    <n v="2"/>
    <n v="23832.61"/>
    <n v="47665.22"/>
  </r>
  <r>
    <s v="2026-06-29"/>
    <s v="Hospital São Lucas"/>
    <x v="0"/>
    <x v="4"/>
    <x v="0"/>
    <s v="Cama Hospitalar Elétrica"/>
    <n v="1"/>
    <n v="7257.03"/>
    <n v="7257.03"/>
  </r>
  <r>
    <s v="2026-06-30"/>
    <s v="Hospital São Lucas"/>
    <x v="1"/>
    <x v="4"/>
    <x v="1"/>
    <s v="Bisturi Eletrônico"/>
    <n v="3"/>
    <n v="32858.480000000003"/>
    <n v="98575.44"/>
  </r>
  <r>
    <s v="2026-06-30"/>
    <s v="Centro Médico Avançado"/>
    <x v="2"/>
    <x v="3"/>
    <x v="2"/>
    <s v="Aparelho de Raio-X Móvel"/>
    <n v="3"/>
    <n v="42919.199999999997"/>
    <n v="128757.6"/>
  </r>
  <r>
    <s v="2026-06-30"/>
    <s v="Hospital Metropolitano"/>
    <x v="2"/>
    <x v="4"/>
    <x v="0"/>
    <s v="Poltrona de Coleta"/>
    <n v="7"/>
    <n v="9387.85"/>
    <n v="65714.95"/>
  </r>
  <r>
    <s v="2026-06-30"/>
    <s v="Hospital Metropolitano"/>
    <x v="1"/>
    <x v="1"/>
    <x v="3"/>
    <s v="Monitor Multiparamétrico"/>
    <n v="1"/>
    <n v="33013.94"/>
    <n v="33013.94"/>
  </r>
  <r>
    <s v="2026-06-30"/>
    <s v="Hospital Metropolitano"/>
    <x v="2"/>
    <x v="2"/>
    <x v="0"/>
    <s v="Carro de Emergência (Crash Cart)"/>
    <n v="9"/>
    <n v="10160.66"/>
    <n v="91445.94"/>
  </r>
  <r>
    <s v="2026-06-30"/>
    <s v="Hospital Metropolitano"/>
    <x v="3"/>
    <x v="0"/>
    <x v="1"/>
    <s v="Aspirador Cirúrgico de Secreção"/>
    <n v="6"/>
    <n v="34069.96"/>
    <n v="204419.76"/>
  </r>
  <r>
    <s v="2026-07-01"/>
    <s v="Hospital Regional"/>
    <x v="3"/>
    <x v="2"/>
    <x v="2"/>
    <s v="Eletrocardiógrafo"/>
    <n v="4"/>
    <n v="56192.54"/>
    <n v="224770.16"/>
  </r>
  <r>
    <s v="2026-07-01"/>
    <s v="Hospital Regional"/>
    <x v="3"/>
    <x v="0"/>
    <x v="1"/>
    <s v="Foco Cirúrgico LED"/>
    <n v="3"/>
    <n v="25521.26"/>
    <n v="76563.78"/>
  </r>
  <r>
    <s v="2026-07-01"/>
    <s v="Clínica Ortopédica Central"/>
    <x v="4"/>
    <x v="1"/>
    <x v="0"/>
    <s v="Poltrona de Coleta"/>
    <n v="3"/>
    <n v="10159.08"/>
    <n v="30477.24"/>
  </r>
  <r>
    <s v="2026-07-01"/>
    <s v="Clínica Vida"/>
    <x v="1"/>
    <x v="4"/>
    <x v="0"/>
    <s v="Carro de Emergência (Crash Cart)"/>
    <n v="2"/>
    <n v="8129.47"/>
    <n v="16258.94"/>
  </r>
  <r>
    <s v="2026-07-01"/>
    <s v="Hospital Santa Maria"/>
    <x v="4"/>
    <x v="3"/>
    <x v="3"/>
    <s v="Desfibrilador Externo"/>
    <n v="2"/>
    <n v="34762.44"/>
    <n v="69524.88"/>
  </r>
  <r>
    <s v="2026-07-01"/>
    <s v="Hospital Santa Maria"/>
    <x v="2"/>
    <x v="1"/>
    <x v="2"/>
    <s v="Eletrocardiógrafo"/>
    <n v="5"/>
    <n v="47353.91"/>
    <n v="236769.55"/>
  </r>
  <r>
    <s v="2026-07-02"/>
    <s v="Hospital Metropolitano"/>
    <x v="4"/>
    <x v="2"/>
    <x v="2"/>
    <s v="Monitor de Pressão Arterial 24h"/>
    <n v="9"/>
    <n v="38573.79"/>
    <n v="347164.11"/>
  </r>
  <r>
    <s v="2026-07-02"/>
    <s v="Clínica Ortopédica Central"/>
    <x v="2"/>
    <x v="3"/>
    <x v="0"/>
    <s v="Carro de Emergência (Crash Cart)"/>
    <n v="2"/>
    <n v="10396.42"/>
    <n v="20792.84"/>
  </r>
  <r>
    <s v="2026-07-02"/>
    <s v="Centro Médico Avançado"/>
    <x v="2"/>
    <x v="4"/>
    <x v="2"/>
    <s v="Ultrassom Portátil"/>
    <n v="2"/>
    <n v="39659.89"/>
    <n v="79319.78"/>
  </r>
  <r>
    <s v="2026-07-02"/>
    <s v="Rede Saúde Total"/>
    <x v="0"/>
    <x v="1"/>
    <x v="3"/>
    <s v="Desfibrilador Externo"/>
    <n v="6"/>
    <n v="36009.199999999997"/>
    <n v="216055.2"/>
  </r>
  <r>
    <s v="2026-07-02"/>
    <s v="Clínica Vida"/>
    <x v="3"/>
    <x v="3"/>
    <x v="1"/>
    <s v="Aspirador Cirúrgico de Secreção"/>
    <n v="2"/>
    <n v="32592.080000000002"/>
    <n v="65184.160000000003"/>
  </r>
  <r>
    <s v="2026-07-02"/>
    <s v="Clínica Ortopédica Central"/>
    <x v="2"/>
    <x v="1"/>
    <x v="2"/>
    <s v="Monitor de Pressão Arterial 24h"/>
    <n v="4"/>
    <n v="52565.18"/>
    <n v="210260.72"/>
  </r>
  <r>
    <s v="2026-07-03"/>
    <s v="Clínica Vida"/>
    <x v="0"/>
    <x v="1"/>
    <x v="0"/>
    <s v="Poltrona de Coleta"/>
    <n v="6"/>
    <n v="7685.68"/>
    <n v="46114.080000000002"/>
  </r>
  <r>
    <s v="2026-07-03"/>
    <s v="Clínica Vida"/>
    <x v="3"/>
    <x v="4"/>
    <x v="1"/>
    <s v="Foco Cirúrgico LED"/>
    <n v="5"/>
    <n v="28812.78"/>
    <n v="144063.9"/>
  </r>
  <r>
    <s v="2026-07-03"/>
    <s v="Clínica Vida"/>
    <x v="2"/>
    <x v="0"/>
    <x v="1"/>
    <s v="Aspirador Cirúrgico de Secreção"/>
    <n v="1"/>
    <n v="33089.599999999999"/>
    <n v="33089.599999999999"/>
  </r>
  <r>
    <s v="2026-07-03"/>
    <s v="Clínica Ortopédica Central"/>
    <x v="2"/>
    <x v="3"/>
    <x v="3"/>
    <s v="Monitor Multiparamétrico"/>
    <n v="6"/>
    <n v="31074.29"/>
    <n v="186445.74"/>
  </r>
  <r>
    <s v="2026-07-03"/>
    <s v="Hospital Metropolitano"/>
    <x v="4"/>
    <x v="4"/>
    <x v="0"/>
    <s v="Cama Hospitalar Elétrica"/>
    <n v="1"/>
    <n v="8815.35"/>
    <n v="8815.35"/>
  </r>
  <r>
    <s v="2026-07-03"/>
    <s v="Hospital Santa Maria"/>
    <x v="4"/>
    <x v="1"/>
    <x v="2"/>
    <s v="Aparelho de Raio-X Móvel"/>
    <n v="3"/>
    <n v="43160.29"/>
    <n v="129480.87"/>
  </r>
  <r>
    <s v="2026-07-03"/>
    <s v="Hospital Santa Maria"/>
    <x v="3"/>
    <x v="4"/>
    <x v="0"/>
    <s v="Poltrona de Coleta"/>
    <n v="5"/>
    <n v="8801.07"/>
    <n v="44005.35"/>
  </r>
  <r>
    <s v="2026-07-04"/>
    <s v="Hospital Metropolitano"/>
    <x v="2"/>
    <x v="0"/>
    <x v="1"/>
    <s v="Bisturi Eletrônico"/>
    <n v="5"/>
    <n v="33743.78"/>
    <n v="168718.9"/>
  </r>
  <r>
    <s v="2026-07-04"/>
    <s v="Clínica Vida"/>
    <x v="1"/>
    <x v="3"/>
    <x v="0"/>
    <s v="Maca de Transporte"/>
    <n v="6"/>
    <n v="8772.42"/>
    <n v="52634.52"/>
  </r>
  <r>
    <s v="2026-07-04"/>
    <s v="Rede Saúde Total"/>
    <x v="4"/>
    <x v="0"/>
    <x v="2"/>
    <s v="Monitor de Pressão Arterial 24h"/>
    <n v="8"/>
    <n v="48256.42"/>
    <n v="386051.36"/>
  </r>
  <r>
    <s v="2026-07-04"/>
    <s v="Hospital São Lucas"/>
    <x v="3"/>
    <x v="2"/>
    <x v="2"/>
    <s v="Aparelho de Raio-X Móvel"/>
    <n v="5"/>
    <n v="45521.57"/>
    <n v="227607.85"/>
  </r>
  <r>
    <s v="2026-07-04"/>
    <s v="Clínica Ortopédica Central"/>
    <x v="2"/>
    <x v="3"/>
    <x v="3"/>
    <s v="Desfibrilador Externo"/>
    <n v="1"/>
    <n v="33089.5"/>
    <n v="33089.5"/>
  </r>
  <r>
    <s v="2026-07-04"/>
    <s v="Hospital São Lucas"/>
    <x v="2"/>
    <x v="0"/>
    <x v="2"/>
    <s v="Monitor de Pressão Arterial 24h"/>
    <n v="5"/>
    <n v="38523.14"/>
    <n v="192615.7"/>
  </r>
  <r>
    <s v="2026-07-05"/>
    <s v="Centro Médico Avançado"/>
    <x v="1"/>
    <x v="1"/>
    <x v="2"/>
    <s v="Monitor de Pressão Arterial 24h"/>
    <n v="3"/>
    <n v="43357.42"/>
    <n v="130072.26"/>
  </r>
  <r>
    <s v="2026-07-05"/>
    <s v="Hospital Metropolitano"/>
    <x v="3"/>
    <x v="3"/>
    <x v="0"/>
    <s v="Carro de Emergência (Crash Cart)"/>
    <n v="4"/>
    <n v="8709.3799999999992"/>
    <n v="34837.519999999997"/>
  </r>
  <r>
    <s v="2026-07-05"/>
    <s v="Rede Saúde Total"/>
    <x v="2"/>
    <x v="3"/>
    <x v="0"/>
    <s v="Maca de Transporte"/>
    <n v="8"/>
    <n v="9379.91"/>
    <n v="75039.28"/>
  </r>
  <r>
    <s v="2026-07-05"/>
    <s v="Clínica Ortopédica Central"/>
    <x v="4"/>
    <x v="4"/>
    <x v="1"/>
    <s v="Foco Cirúrgico LED"/>
    <n v="7"/>
    <n v="28840.58"/>
    <n v="201884.06"/>
  </r>
  <r>
    <s v="2026-07-05"/>
    <s v="Hospital Metropolitano"/>
    <x v="1"/>
    <x v="1"/>
    <x v="3"/>
    <s v="Ventilador Pulmonar"/>
    <n v="5"/>
    <n v="31524.06"/>
    <n v="157620.29999999999"/>
  </r>
  <r>
    <s v="2026-07-05"/>
    <s v="Clínica Vida"/>
    <x v="3"/>
    <x v="2"/>
    <x v="0"/>
    <s v="Cama Hospitalar Elétrica"/>
    <n v="2"/>
    <n v="8544.5400000000009"/>
    <n v="17089.080000000002"/>
  </r>
  <r>
    <s v="2026-07-06"/>
    <s v="Hospital Santa Maria"/>
    <x v="1"/>
    <x v="0"/>
    <x v="2"/>
    <s v="Ultrassom Portátil"/>
    <n v="6"/>
    <n v="42611.28"/>
    <n v="255667.68"/>
  </r>
  <r>
    <s v="2026-07-06"/>
    <s v="Hospital São Lucas"/>
    <x v="4"/>
    <x v="4"/>
    <x v="1"/>
    <s v="Aspirador Cirúrgico de Secreção"/>
    <n v="6"/>
    <n v="34154.339999999997"/>
    <n v="204926.04"/>
  </r>
  <r>
    <s v="2026-07-06"/>
    <s v="Hospital Regional"/>
    <x v="3"/>
    <x v="0"/>
    <x v="0"/>
    <s v="Maca de Transporte"/>
    <n v="6"/>
    <n v="8998.93"/>
    <n v="53993.58"/>
  </r>
  <r>
    <s v="2026-07-06"/>
    <s v="Hospital Regional"/>
    <x v="1"/>
    <x v="2"/>
    <x v="3"/>
    <s v="Monitor Multiparamétrico"/>
    <n v="9"/>
    <n v="27371.64"/>
    <n v="246344.76"/>
  </r>
  <r>
    <s v="2026-07-06"/>
    <s v="Rede Saúde Total"/>
    <x v="0"/>
    <x v="2"/>
    <x v="3"/>
    <s v="Bomba de Infusão"/>
    <n v="8"/>
    <n v="27448.91"/>
    <n v="219591.28"/>
  </r>
  <r>
    <s v="2026-07-06"/>
    <s v="Clínica Vida"/>
    <x v="4"/>
    <x v="3"/>
    <x v="1"/>
    <s v="Mesa Cirúrgica Eletromecânica"/>
    <n v="8"/>
    <n v="34697.17"/>
    <n v="277577.36"/>
  </r>
  <r>
    <s v="2026-07-07"/>
    <s v="Centro Médico Avançado"/>
    <x v="4"/>
    <x v="2"/>
    <x v="1"/>
    <s v="Mesa Cirúrgica Eletromecânica"/>
    <n v="1"/>
    <n v="26280.25"/>
    <n v="26280.25"/>
  </r>
  <r>
    <s v="2026-07-07"/>
    <s v="Hospital São Lucas"/>
    <x v="4"/>
    <x v="0"/>
    <x v="1"/>
    <s v="Mesa Cirúrgica Eletromecânica"/>
    <n v="5"/>
    <n v="32822.81"/>
    <n v="164114.04999999999"/>
  </r>
  <r>
    <s v="2026-07-07"/>
    <s v="Clínica Vida"/>
    <x v="0"/>
    <x v="1"/>
    <x v="1"/>
    <s v="Bisturi Eletrônico"/>
    <n v="7"/>
    <n v="24452.68"/>
    <n v="171168.76"/>
  </r>
  <r>
    <s v="2026-07-07"/>
    <s v="Hospital São Lucas"/>
    <x v="0"/>
    <x v="1"/>
    <x v="1"/>
    <s v="Foco Cirúrgico LED"/>
    <n v="6"/>
    <n v="34117.019999999997"/>
    <n v="204702.12"/>
  </r>
  <r>
    <s v="2026-07-07"/>
    <s v="Rede Saúde Total"/>
    <x v="2"/>
    <x v="3"/>
    <x v="2"/>
    <s v="Aparelho de Raio-X Móvel"/>
    <n v="5"/>
    <n v="53989.51"/>
    <n v="269947.55"/>
  </r>
  <r>
    <s v="2026-07-07"/>
    <s v="Rede Saúde Total"/>
    <x v="1"/>
    <x v="0"/>
    <x v="2"/>
    <s v="Eletrocardiógrafo"/>
    <n v="8"/>
    <n v="48529.68"/>
    <n v="388237.44"/>
  </r>
  <r>
    <s v="2026-07-08"/>
    <s v="Centro Médico Avançado"/>
    <x v="2"/>
    <x v="0"/>
    <x v="0"/>
    <s v="Carro de Emergência (Crash Cart)"/>
    <n v="3"/>
    <n v="7255.6"/>
    <n v="21766.799999999999"/>
  </r>
  <r>
    <s v="2026-07-08"/>
    <s v="Hospital Regional"/>
    <x v="1"/>
    <x v="2"/>
    <x v="3"/>
    <s v="Desfibrilador Externo"/>
    <n v="6"/>
    <n v="30499.98"/>
    <n v="182999.88"/>
  </r>
  <r>
    <s v="2026-07-08"/>
    <s v="Clínica Vida"/>
    <x v="0"/>
    <x v="0"/>
    <x v="2"/>
    <s v="Eletrocardiógrafo"/>
    <n v="5"/>
    <n v="45572.81"/>
    <n v="227864.05"/>
  </r>
  <r>
    <s v="2026-07-08"/>
    <s v="Clínica Ortopédica Central"/>
    <x v="0"/>
    <x v="4"/>
    <x v="2"/>
    <s v="Ultrassom Portátil"/>
    <n v="8"/>
    <n v="46531.15"/>
    <n v="372249.2"/>
  </r>
  <r>
    <s v="2026-07-08"/>
    <s v="Hospital Regional"/>
    <x v="2"/>
    <x v="2"/>
    <x v="2"/>
    <s v="Aparelho de Raio-X Móvel"/>
    <n v="4"/>
    <n v="43608.22"/>
    <n v="174432.88"/>
  </r>
  <r>
    <s v="2026-07-08"/>
    <s v="Clínica Vida"/>
    <x v="3"/>
    <x v="4"/>
    <x v="0"/>
    <s v="Carro de Emergência (Crash Cart)"/>
    <n v="8"/>
    <n v="7337.02"/>
    <n v="58696.160000000003"/>
  </r>
  <r>
    <s v="2026-07-09"/>
    <s v="Hospital Regional"/>
    <x v="2"/>
    <x v="3"/>
    <x v="1"/>
    <s v="Foco Cirúrgico LED"/>
    <n v="2"/>
    <n v="30409.43"/>
    <n v="60818.86"/>
  </r>
  <r>
    <s v="2026-07-09"/>
    <s v="Clínica Ortopédica Central"/>
    <x v="1"/>
    <x v="1"/>
    <x v="0"/>
    <s v="Carro de Emergência (Crash Cart)"/>
    <n v="9"/>
    <n v="9007.1299999999992"/>
    <n v="81064.17"/>
  </r>
  <r>
    <s v="2026-07-09"/>
    <s v="Hospital Santa Maria"/>
    <x v="2"/>
    <x v="3"/>
    <x v="3"/>
    <s v="Bomba de Infusão"/>
    <n v="9"/>
    <n v="30822.41"/>
    <n v="277401.69"/>
  </r>
  <r>
    <s v="2026-07-09"/>
    <s v="Hospital Santa Maria"/>
    <x v="4"/>
    <x v="1"/>
    <x v="3"/>
    <s v="Bomba de Infusão"/>
    <n v="6"/>
    <n v="27686.09"/>
    <n v="166116.54"/>
  </r>
  <r>
    <s v="2026-07-09"/>
    <s v="Centro Médico Avançado"/>
    <x v="1"/>
    <x v="3"/>
    <x v="3"/>
    <s v="Bomba de Infusão"/>
    <n v="4"/>
    <n v="39930.81"/>
    <n v="159723.24"/>
  </r>
  <r>
    <s v="2026-07-09"/>
    <s v="Hospital Santa Maria"/>
    <x v="1"/>
    <x v="0"/>
    <x v="3"/>
    <s v="Bomba de Infusão"/>
    <n v="4"/>
    <n v="33369.42"/>
    <n v="133477.68"/>
  </r>
  <r>
    <s v="2026-07-09"/>
    <s v="Hospital Santa Maria"/>
    <x v="3"/>
    <x v="4"/>
    <x v="2"/>
    <s v="Ultrassom Portátil"/>
    <n v="6"/>
    <n v="51858.080000000002"/>
    <n v="311148.48"/>
  </r>
  <r>
    <s v="2026-07-10"/>
    <s v="Hospital Metropolitano"/>
    <x v="0"/>
    <x v="1"/>
    <x v="2"/>
    <s v="Aparelho de Raio-X Móvel"/>
    <n v="5"/>
    <n v="46391.65"/>
    <n v="231958.25"/>
  </r>
  <r>
    <s v="2026-07-10"/>
    <s v="Hospital São Lucas"/>
    <x v="1"/>
    <x v="2"/>
    <x v="0"/>
    <s v="Maca de Transporte"/>
    <n v="6"/>
    <n v="7371.78"/>
    <n v="44230.68"/>
  </r>
  <r>
    <s v="2026-07-10"/>
    <s v="Hospital Metropolitano"/>
    <x v="0"/>
    <x v="4"/>
    <x v="1"/>
    <s v="Mesa Cirúrgica Eletromecânica"/>
    <n v="7"/>
    <n v="27267.53"/>
    <n v="190872.71"/>
  </r>
  <r>
    <s v="2026-07-10"/>
    <s v="Hospital Metropolitano"/>
    <x v="2"/>
    <x v="2"/>
    <x v="3"/>
    <s v="Monitor Multiparamétrico"/>
    <n v="7"/>
    <n v="31297.41"/>
    <n v="219081.87"/>
  </r>
  <r>
    <s v="2026-07-10"/>
    <s v="Centro Médico Avançado"/>
    <x v="4"/>
    <x v="4"/>
    <x v="0"/>
    <s v="Cama Hospitalar Elétrica"/>
    <n v="9"/>
    <n v="10075.4"/>
    <n v="90678.6"/>
  </r>
  <r>
    <s v="2026-07-10"/>
    <s v="Hospital Metropolitano"/>
    <x v="3"/>
    <x v="4"/>
    <x v="2"/>
    <s v="Monitor de Pressão Arterial 24h"/>
    <n v="8"/>
    <n v="50026.14"/>
    <n v="400209.12"/>
  </r>
  <r>
    <s v="2026-07-11"/>
    <s v="Hospital Santa Maria"/>
    <x v="0"/>
    <x v="3"/>
    <x v="2"/>
    <s v="Monitor de Pressão Arterial 24h"/>
    <n v="6"/>
    <n v="43207.74"/>
    <n v="259246.44"/>
  </r>
  <r>
    <s v="2026-07-11"/>
    <s v="Clínica Ortopédica Central"/>
    <x v="1"/>
    <x v="1"/>
    <x v="1"/>
    <s v="Foco Cirúrgico LED"/>
    <n v="6"/>
    <n v="34638.69"/>
    <n v="207832.14"/>
  </r>
  <r>
    <s v="2026-07-11"/>
    <s v="Centro Médico Avançado"/>
    <x v="0"/>
    <x v="1"/>
    <x v="1"/>
    <s v="Foco Cirúrgico LED"/>
    <n v="5"/>
    <n v="27401.27"/>
    <n v="137006.35"/>
  </r>
  <r>
    <s v="2026-07-11"/>
    <s v="Centro Médico Avançado"/>
    <x v="1"/>
    <x v="4"/>
    <x v="1"/>
    <s v="Bisturi Eletrônico"/>
    <n v="1"/>
    <n v="34980.22"/>
    <n v="34980.22"/>
  </r>
  <r>
    <s v="2026-07-11"/>
    <s v="Rede Saúde Total"/>
    <x v="0"/>
    <x v="0"/>
    <x v="0"/>
    <s v="Carro de Emergência (Crash Cart)"/>
    <n v="9"/>
    <n v="10611.96"/>
    <n v="95507.64"/>
  </r>
  <r>
    <s v="2026-07-11"/>
    <s v="Centro Médico Avançado"/>
    <x v="1"/>
    <x v="0"/>
    <x v="2"/>
    <s v="Eletrocardiógrafo"/>
    <n v="9"/>
    <n v="41691.79"/>
    <n v="375226.11"/>
  </r>
  <r>
    <s v="2026-07-12"/>
    <s v="Rede Saúde Total"/>
    <x v="2"/>
    <x v="2"/>
    <x v="2"/>
    <s v="Aparelho de Raio-X Móvel"/>
    <n v="9"/>
    <n v="43879.34"/>
    <n v="394914.06"/>
  </r>
  <r>
    <s v="2026-07-12"/>
    <s v="Centro Médico Avançado"/>
    <x v="1"/>
    <x v="2"/>
    <x v="1"/>
    <s v="Bisturi Eletrônico"/>
    <n v="8"/>
    <n v="29243.7"/>
    <n v="233949.6"/>
  </r>
  <r>
    <s v="2026-07-12"/>
    <s v="Hospital São Lucas"/>
    <x v="1"/>
    <x v="3"/>
    <x v="3"/>
    <s v="Desfibrilador Externo"/>
    <n v="3"/>
    <n v="35700.49"/>
    <n v="107101.47"/>
  </r>
  <r>
    <s v="2026-07-12"/>
    <s v="Hospital Santa Maria"/>
    <x v="4"/>
    <x v="4"/>
    <x v="1"/>
    <s v="Mesa Cirúrgica Eletromecânica"/>
    <n v="1"/>
    <n v="29714.13"/>
    <n v="29714.13"/>
  </r>
  <r>
    <s v="2026-07-12"/>
    <s v="Centro Médico Avançado"/>
    <x v="1"/>
    <x v="2"/>
    <x v="0"/>
    <s v="Carro de Emergência (Crash Cart)"/>
    <n v="8"/>
    <n v="10521.1"/>
    <n v="84168.8"/>
  </r>
  <r>
    <s v="2026-07-12"/>
    <s v="Hospital Santa Maria"/>
    <x v="4"/>
    <x v="2"/>
    <x v="1"/>
    <s v="Mesa Cirúrgica Eletromecânica"/>
    <n v="7"/>
    <n v="31908.68"/>
    <n v="223360.76"/>
  </r>
  <r>
    <s v="2026-07-13"/>
    <s v="Hospital Santa Maria"/>
    <x v="3"/>
    <x v="4"/>
    <x v="1"/>
    <s v="Aspirador Cirúrgico de Secreção"/>
    <n v="5"/>
    <n v="26174.9"/>
    <n v="130874.5"/>
  </r>
  <r>
    <s v="2026-07-13"/>
    <s v="Hospital Regional"/>
    <x v="4"/>
    <x v="3"/>
    <x v="0"/>
    <s v="Carro de Emergência (Crash Cart)"/>
    <n v="7"/>
    <n v="7582.33"/>
    <n v="53076.31"/>
  </r>
  <r>
    <s v="2026-07-13"/>
    <s v="Centro Médico Avançado"/>
    <x v="2"/>
    <x v="2"/>
    <x v="1"/>
    <s v="Aspirador Cirúrgico de Secreção"/>
    <n v="4"/>
    <n v="31510.09"/>
    <n v="126040.36"/>
  </r>
  <r>
    <s v="2026-07-13"/>
    <s v="Clínica Vida"/>
    <x v="4"/>
    <x v="3"/>
    <x v="2"/>
    <s v="Monitor de Pressão Arterial 24h"/>
    <n v="9"/>
    <n v="41102.14"/>
    <n v="369919.26"/>
  </r>
  <r>
    <s v="2026-07-13"/>
    <s v="Hospital Regional"/>
    <x v="3"/>
    <x v="1"/>
    <x v="3"/>
    <s v="Desfibrilador Externo"/>
    <n v="2"/>
    <n v="37282.26"/>
    <n v="74564.52"/>
  </r>
  <r>
    <s v="2026-07-13"/>
    <s v="Clínica Vida"/>
    <x v="2"/>
    <x v="3"/>
    <x v="1"/>
    <s v="Bisturi Eletrônico"/>
    <n v="9"/>
    <n v="27283.61"/>
    <n v="245552.49"/>
  </r>
  <r>
    <s v="2026-07-14"/>
    <s v="Hospital Santa Maria"/>
    <x v="0"/>
    <x v="0"/>
    <x v="0"/>
    <s v="Cama Hospitalar Elétrica"/>
    <n v="9"/>
    <n v="8336.44"/>
    <n v="75027.960000000006"/>
  </r>
  <r>
    <s v="2026-07-14"/>
    <s v="Hospital Santa Maria"/>
    <x v="0"/>
    <x v="0"/>
    <x v="3"/>
    <s v="Bomba de Infusão"/>
    <n v="5"/>
    <n v="27338.22"/>
    <n v="136691.1"/>
  </r>
  <r>
    <s v="2026-07-14"/>
    <s v="Hospital Regional"/>
    <x v="4"/>
    <x v="3"/>
    <x v="0"/>
    <s v="Poltrona de Coleta"/>
    <n v="1"/>
    <n v="9608.44"/>
    <n v="9608.44"/>
  </r>
  <r>
    <s v="2026-07-14"/>
    <s v="Hospital Regional"/>
    <x v="4"/>
    <x v="0"/>
    <x v="3"/>
    <s v="Bomba de Infusão"/>
    <n v="7"/>
    <n v="28649.85"/>
    <n v="200548.95"/>
  </r>
  <r>
    <s v="2026-07-14"/>
    <s v="Clínica Vida"/>
    <x v="3"/>
    <x v="1"/>
    <x v="3"/>
    <s v="Desfibrilador Externo"/>
    <n v="4"/>
    <n v="37092.870000000003"/>
    <n v="148371.48000000001"/>
  </r>
  <r>
    <s v="2026-07-14"/>
    <s v="Rede Saúde Total"/>
    <x v="3"/>
    <x v="4"/>
    <x v="1"/>
    <s v="Foco Cirúrgico LED"/>
    <n v="9"/>
    <n v="29308.92"/>
    <n v="263780.28000000003"/>
  </r>
  <r>
    <s v="2026-07-15"/>
    <s v="Clínica Vida"/>
    <x v="1"/>
    <x v="0"/>
    <x v="2"/>
    <s v="Aparelho de Raio-X Móvel"/>
    <n v="6"/>
    <n v="52367.040000000001"/>
    <n v="314202.23999999999"/>
  </r>
  <r>
    <s v="2026-07-15"/>
    <s v="Hospital Regional"/>
    <x v="3"/>
    <x v="0"/>
    <x v="1"/>
    <s v="Foco Cirúrgico LED"/>
    <n v="3"/>
    <n v="30339.98"/>
    <n v="91019.94"/>
  </r>
  <r>
    <s v="2026-07-15"/>
    <s v="Clínica Ortopédica Central"/>
    <x v="1"/>
    <x v="3"/>
    <x v="0"/>
    <s v="Cama Hospitalar Elétrica"/>
    <n v="6"/>
    <n v="7505.27"/>
    <n v="45031.62"/>
  </r>
  <r>
    <s v="2026-07-15"/>
    <s v="Hospital Regional"/>
    <x v="2"/>
    <x v="1"/>
    <x v="0"/>
    <s v="Maca de Transporte"/>
    <n v="6"/>
    <n v="9828.2199999999993"/>
    <n v="58969.32"/>
  </r>
  <r>
    <s v="2026-07-15"/>
    <s v="Clínica Ortopédica Central"/>
    <x v="4"/>
    <x v="4"/>
    <x v="3"/>
    <s v="Bomba de Infusão"/>
    <n v="5"/>
    <n v="28093.43"/>
    <n v="140467.15"/>
  </r>
  <r>
    <s v="2026-07-15"/>
    <s v="Hospital São Lucas"/>
    <x v="2"/>
    <x v="3"/>
    <x v="3"/>
    <s v="Monitor Multiparamétrico"/>
    <n v="2"/>
    <n v="33327.379999999997"/>
    <n v="66654.759999999995"/>
  </r>
  <r>
    <s v="2026-07-15"/>
    <s v="Hospital Regional"/>
    <x v="3"/>
    <x v="3"/>
    <x v="2"/>
    <s v="Eletrocardiógrafo"/>
    <n v="2"/>
    <n v="41352.29"/>
    <n v="82704.58"/>
  </r>
  <r>
    <s v="2026-07-16"/>
    <s v="Hospital São Lucas"/>
    <x v="2"/>
    <x v="1"/>
    <x v="1"/>
    <s v="Bisturi Eletrônico"/>
    <n v="7"/>
    <n v="32226.15"/>
    <n v="225583.05"/>
  </r>
  <r>
    <s v="2026-07-16"/>
    <s v="Rede Saúde Total"/>
    <x v="2"/>
    <x v="4"/>
    <x v="0"/>
    <s v="Poltrona de Coleta"/>
    <n v="2"/>
    <n v="10324.41"/>
    <n v="20648.82"/>
  </r>
  <r>
    <s v="2026-07-16"/>
    <s v="Clínica Vida"/>
    <x v="2"/>
    <x v="1"/>
    <x v="3"/>
    <s v="Desfibrilador Externo"/>
    <n v="6"/>
    <n v="34292.81"/>
    <n v="205756.86"/>
  </r>
  <r>
    <s v="2026-07-16"/>
    <s v="Clínica Ortopédica Central"/>
    <x v="3"/>
    <x v="4"/>
    <x v="2"/>
    <s v="Aparelho de Raio-X Móvel"/>
    <n v="5"/>
    <n v="47738.65"/>
    <n v="238693.25"/>
  </r>
  <r>
    <s v="2026-07-16"/>
    <s v="Clínica Vida"/>
    <x v="2"/>
    <x v="1"/>
    <x v="0"/>
    <s v="Cama Hospitalar Elétrica"/>
    <n v="4"/>
    <n v="9822.4699999999993"/>
    <n v="39289.879999999997"/>
  </r>
  <r>
    <s v="2026-07-16"/>
    <s v="Hospital São Lucas"/>
    <x v="1"/>
    <x v="3"/>
    <x v="3"/>
    <s v="Monitor Multiparamétrico"/>
    <n v="7"/>
    <n v="27265.01"/>
    <n v="190855.07"/>
  </r>
  <r>
    <s v="2026-07-17"/>
    <s v="Clínica Ortopédica Central"/>
    <x v="3"/>
    <x v="3"/>
    <x v="0"/>
    <s v="Carro de Emergência (Crash Cart)"/>
    <n v="8"/>
    <n v="10345.379999999999"/>
    <n v="82763.039999999994"/>
  </r>
  <r>
    <s v="2026-07-17"/>
    <s v="Clínica Vida"/>
    <x v="2"/>
    <x v="2"/>
    <x v="2"/>
    <s v="Monitor de Pressão Arterial 24h"/>
    <n v="4"/>
    <n v="41804.080000000002"/>
    <n v="167216.32000000001"/>
  </r>
  <r>
    <s v="2026-07-17"/>
    <s v="Hospital Regional"/>
    <x v="3"/>
    <x v="0"/>
    <x v="2"/>
    <s v="Aparelho de Raio-X Móvel"/>
    <n v="1"/>
    <n v="55964.14"/>
    <n v="55964.14"/>
  </r>
  <r>
    <s v="2026-07-17"/>
    <s v="Hospital Santa Maria"/>
    <x v="0"/>
    <x v="1"/>
    <x v="0"/>
    <s v="Maca de Transporte"/>
    <n v="1"/>
    <n v="9728.26"/>
    <n v="9728.26"/>
  </r>
  <r>
    <s v="2026-07-17"/>
    <s v="Hospital São Lucas"/>
    <x v="1"/>
    <x v="2"/>
    <x v="1"/>
    <s v="Aspirador Cirúrgico de Secreção"/>
    <n v="1"/>
    <n v="32471.61"/>
    <n v="32471.61"/>
  </r>
  <r>
    <s v="2026-07-17"/>
    <s v="Clínica Vida"/>
    <x v="2"/>
    <x v="0"/>
    <x v="0"/>
    <s v="Poltrona de Coleta"/>
    <n v="1"/>
    <n v="9456.09"/>
    <n v="9456.09"/>
  </r>
  <r>
    <s v="2026-07-18"/>
    <s v="Hospital São Lucas"/>
    <x v="0"/>
    <x v="1"/>
    <x v="3"/>
    <s v="Desfibrilador Externo"/>
    <n v="5"/>
    <n v="33237.29"/>
    <n v="166186.45000000001"/>
  </r>
  <r>
    <s v="2026-07-18"/>
    <s v="Hospital Metropolitano"/>
    <x v="0"/>
    <x v="4"/>
    <x v="1"/>
    <s v="Bisturi Eletrônico"/>
    <n v="4"/>
    <n v="30202.23"/>
    <n v="120808.92"/>
  </r>
  <r>
    <s v="2026-07-18"/>
    <s v="Hospital São Lucas"/>
    <x v="3"/>
    <x v="0"/>
    <x v="3"/>
    <s v="Desfibrilador Externo"/>
    <n v="9"/>
    <n v="27793.96"/>
    <n v="250145.64"/>
  </r>
  <r>
    <s v="2026-07-18"/>
    <s v="Clínica Ortopédica Central"/>
    <x v="0"/>
    <x v="3"/>
    <x v="0"/>
    <s v="Cama Hospitalar Elétrica"/>
    <n v="3"/>
    <n v="9346.4599999999991"/>
    <n v="28039.38"/>
  </r>
  <r>
    <s v="2026-07-18"/>
    <s v="Hospital Metropolitano"/>
    <x v="1"/>
    <x v="2"/>
    <x v="1"/>
    <s v="Mesa Cirúrgica Eletromecânica"/>
    <n v="7"/>
    <n v="30812.3"/>
    <n v="215686.1"/>
  </r>
  <r>
    <s v="2026-07-18"/>
    <s v="Centro Médico Avançado"/>
    <x v="1"/>
    <x v="0"/>
    <x v="3"/>
    <s v="Desfibrilador Externo"/>
    <n v="8"/>
    <n v="38607.370000000003"/>
    <n v="308858.96000000002"/>
  </r>
  <r>
    <s v="2026-07-19"/>
    <s v="Clínica Ortopédica Central"/>
    <x v="4"/>
    <x v="0"/>
    <x v="0"/>
    <s v="Poltrona de Coleta"/>
    <n v="6"/>
    <n v="8944.23"/>
    <n v="53665.38"/>
  </r>
  <r>
    <s v="2026-07-19"/>
    <s v="Hospital Santa Maria"/>
    <x v="1"/>
    <x v="3"/>
    <x v="0"/>
    <s v="Carro de Emergência (Crash Cart)"/>
    <n v="1"/>
    <n v="7487.29"/>
    <n v="7487.29"/>
  </r>
  <r>
    <s v="2026-07-19"/>
    <s v="Hospital Metropolitano"/>
    <x v="0"/>
    <x v="1"/>
    <x v="1"/>
    <s v="Bisturi Eletrônico"/>
    <n v="8"/>
    <n v="27229.39"/>
    <n v="217835.12"/>
  </r>
  <r>
    <s v="2026-07-19"/>
    <s v="Centro Médico Avançado"/>
    <x v="1"/>
    <x v="4"/>
    <x v="0"/>
    <s v="Maca de Transporte"/>
    <n v="3"/>
    <n v="9454.14"/>
    <n v="28362.42"/>
  </r>
  <r>
    <s v="2026-07-19"/>
    <s v="Hospital Regional"/>
    <x v="3"/>
    <x v="3"/>
    <x v="2"/>
    <s v="Ultrassom Portátil"/>
    <n v="8"/>
    <n v="42556.66"/>
    <n v="340453.28"/>
  </r>
  <r>
    <s v="2026-07-19"/>
    <s v="Hospital São Lucas"/>
    <x v="4"/>
    <x v="4"/>
    <x v="3"/>
    <s v="Monitor Multiparamétrico"/>
    <n v="4"/>
    <n v="30790.76"/>
    <n v="123163.04"/>
  </r>
  <r>
    <s v="2026-07-20"/>
    <s v="Clínica Vida"/>
    <x v="0"/>
    <x v="1"/>
    <x v="3"/>
    <s v="Desfibrilador Externo"/>
    <n v="8"/>
    <n v="37702"/>
    <n v="301616"/>
  </r>
  <r>
    <s v="2026-07-20"/>
    <s v="Rede Saúde Total"/>
    <x v="4"/>
    <x v="0"/>
    <x v="0"/>
    <s v="Cama Hospitalar Elétrica"/>
    <n v="1"/>
    <n v="9211.69"/>
    <n v="9211.69"/>
  </r>
  <r>
    <s v="2026-07-20"/>
    <s v="Hospital São Lucas"/>
    <x v="0"/>
    <x v="4"/>
    <x v="0"/>
    <s v="Cama Hospitalar Elétrica"/>
    <n v="3"/>
    <n v="8953.99"/>
    <n v="26861.97"/>
  </r>
  <r>
    <s v="2026-07-20"/>
    <s v="Centro Médico Avançado"/>
    <x v="3"/>
    <x v="2"/>
    <x v="2"/>
    <s v="Ultrassom Portátil"/>
    <n v="6"/>
    <n v="43982.14"/>
    <n v="263892.84000000003"/>
  </r>
  <r>
    <s v="2026-07-20"/>
    <s v="Hospital São Lucas"/>
    <x v="4"/>
    <x v="2"/>
    <x v="1"/>
    <s v="Foco Cirúrgico LED"/>
    <n v="9"/>
    <n v="31986.39"/>
    <n v="287877.51"/>
  </r>
  <r>
    <s v="2026-07-20"/>
    <s v="Hospital Santa Maria"/>
    <x v="2"/>
    <x v="3"/>
    <x v="0"/>
    <s v="Maca de Transporte"/>
    <n v="2"/>
    <n v="8203.24"/>
    <n v="16406.48"/>
  </r>
  <r>
    <s v="2026-07-21"/>
    <s v="Hospital Regional"/>
    <x v="0"/>
    <x v="1"/>
    <x v="0"/>
    <s v="Carro de Emergência (Crash Cart)"/>
    <n v="1"/>
    <n v="9731.02"/>
    <n v="9731.02"/>
  </r>
  <r>
    <s v="2026-07-21"/>
    <s v="Rede Saúde Total"/>
    <x v="2"/>
    <x v="3"/>
    <x v="0"/>
    <s v="Carro de Emergência (Crash Cart)"/>
    <n v="3"/>
    <n v="7463.35"/>
    <n v="22390.05"/>
  </r>
  <r>
    <s v="2026-07-21"/>
    <s v="Hospital Metropolitano"/>
    <x v="4"/>
    <x v="3"/>
    <x v="0"/>
    <s v="Poltrona de Coleta"/>
    <n v="4"/>
    <n v="10164.44"/>
    <n v="40657.760000000002"/>
  </r>
  <r>
    <s v="2026-07-21"/>
    <s v="Hospital Metropolitano"/>
    <x v="2"/>
    <x v="3"/>
    <x v="3"/>
    <s v="Bomba de Infusão"/>
    <n v="5"/>
    <n v="33594.449999999997"/>
    <n v="167972.25"/>
  </r>
  <r>
    <s v="2026-07-21"/>
    <s v="Hospital Metropolitano"/>
    <x v="2"/>
    <x v="2"/>
    <x v="0"/>
    <s v="Carro de Emergência (Crash Cart)"/>
    <n v="3"/>
    <n v="8715.93"/>
    <n v="26147.79"/>
  </r>
  <r>
    <s v="2026-07-21"/>
    <s v="Centro Médico Avançado"/>
    <x v="4"/>
    <x v="2"/>
    <x v="3"/>
    <s v="Bomba de Infusão"/>
    <n v="2"/>
    <n v="35021.1"/>
    <n v="70042.2"/>
  </r>
  <r>
    <s v="2026-07-21"/>
    <s v="Clínica Ortopédica Central"/>
    <x v="3"/>
    <x v="3"/>
    <x v="0"/>
    <s v="Carro de Emergência (Crash Cart)"/>
    <n v="2"/>
    <n v="9347.25"/>
    <n v="18694.5"/>
  </r>
  <r>
    <s v="2026-07-22"/>
    <s v="Clínica Ortopédica Central"/>
    <x v="2"/>
    <x v="2"/>
    <x v="1"/>
    <s v="Aspirador Cirúrgico de Secreção"/>
    <n v="7"/>
    <n v="25278.79"/>
    <n v="176951.53"/>
  </r>
  <r>
    <s v="2026-07-22"/>
    <s v="Clínica Vida"/>
    <x v="2"/>
    <x v="1"/>
    <x v="2"/>
    <s v="Aparelho de Raio-X Móvel"/>
    <n v="9"/>
    <n v="51862.2"/>
    <n v="466759.8"/>
  </r>
  <r>
    <s v="2026-07-22"/>
    <s v="Rede Saúde Total"/>
    <x v="3"/>
    <x v="3"/>
    <x v="1"/>
    <s v="Foco Cirúrgico LED"/>
    <n v="2"/>
    <n v="26890.400000000001"/>
    <n v="53780.800000000003"/>
  </r>
  <r>
    <s v="2026-07-22"/>
    <s v="Hospital Metropolitano"/>
    <x v="2"/>
    <x v="2"/>
    <x v="0"/>
    <s v="Carro de Emergência (Crash Cart)"/>
    <n v="7"/>
    <n v="10301.870000000001"/>
    <n v="72113.09"/>
  </r>
  <r>
    <s v="2026-07-22"/>
    <s v="Clínica Ortopédica Central"/>
    <x v="2"/>
    <x v="4"/>
    <x v="0"/>
    <s v="Maca de Transporte"/>
    <n v="7"/>
    <n v="10005.69"/>
    <n v="70039.83"/>
  </r>
  <r>
    <s v="2026-07-22"/>
    <s v="Centro Médico Avançado"/>
    <x v="2"/>
    <x v="3"/>
    <x v="0"/>
    <s v="Carro de Emergência (Crash Cart)"/>
    <n v="7"/>
    <n v="8402.2999999999993"/>
    <n v="58816.1"/>
  </r>
  <r>
    <s v="2026-07-23"/>
    <s v="Clínica Vida"/>
    <x v="1"/>
    <x v="3"/>
    <x v="1"/>
    <s v="Bisturi Eletrônico"/>
    <n v="3"/>
    <n v="32846.68"/>
    <n v="98540.04"/>
  </r>
  <r>
    <s v="2026-07-23"/>
    <s v="Hospital Regional"/>
    <x v="3"/>
    <x v="1"/>
    <x v="0"/>
    <s v="Cama Hospitalar Elétrica"/>
    <n v="7"/>
    <n v="8436.73"/>
    <n v="59057.11"/>
  </r>
  <r>
    <s v="2026-07-23"/>
    <s v="Clínica Vida"/>
    <x v="2"/>
    <x v="0"/>
    <x v="1"/>
    <s v="Foco Cirúrgico LED"/>
    <n v="1"/>
    <n v="24930.61"/>
    <n v="24930.61"/>
  </r>
  <r>
    <s v="2026-07-23"/>
    <s v="Clínica Ortopédica Central"/>
    <x v="3"/>
    <x v="0"/>
    <x v="3"/>
    <s v="Ventilador Pulmonar"/>
    <n v="1"/>
    <n v="39512.17"/>
    <n v="39512.17"/>
  </r>
  <r>
    <s v="2026-07-23"/>
    <s v="Hospital Santa Maria"/>
    <x v="0"/>
    <x v="1"/>
    <x v="2"/>
    <s v="Eletrocardiógrafo"/>
    <n v="5"/>
    <n v="49996.84"/>
    <n v="249984.2"/>
  </r>
  <r>
    <s v="2026-07-23"/>
    <s v="Centro Médico Avançado"/>
    <x v="0"/>
    <x v="1"/>
    <x v="2"/>
    <s v="Eletrocardiógrafo"/>
    <n v="2"/>
    <n v="46459.79"/>
    <n v="92919.58"/>
  </r>
  <r>
    <s v="2026-07-24"/>
    <s v="Hospital Santa Maria"/>
    <x v="2"/>
    <x v="1"/>
    <x v="1"/>
    <s v="Bisturi Eletrônico"/>
    <n v="9"/>
    <n v="28255.06"/>
    <n v="254295.54"/>
  </r>
  <r>
    <s v="2026-07-24"/>
    <s v="Hospital Metropolitano"/>
    <x v="3"/>
    <x v="0"/>
    <x v="3"/>
    <s v="Ventilador Pulmonar"/>
    <n v="7"/>
    <n v="31356.23"/>
    <n v="219493.61"/>
  </r>
  <r>
    <s v="2026-07-24"/>
    <s v="Hospital Santa Maria"/>
    <x v="3"/>
    <x v="1"/>
    <x v="1"/>
    <s v="Aspirador Cirúrgico de Secreção"/>
    <n v="4"/>
    <n v="34792.21"/>
    <n v="139168.84"/>
  </r>
  <r>
    <s v="2026-07-24"/>
    <s v="Hospital Metropolitano"/>
    <x v="3"/>
    <x v="2"/>
    <x v="3"/>
    <s v="Monitor Multiparamétrico"/>
    <n v="4"/>
    <n v="28924.76"/>
    <n v="115699.04"/>
  </r>
  <r>
    <s v="2026-07-24"/>
    <s v="Hospital Metropolitano"/>
    <x v="1"/>
    <x v="3"/>
    <x v="0"/>
    <s v="Poltrona de Coleta"/>
    <n v="2"/>
    <n v="8295.34"/>
    <n v="16590.68"/>
  </r>
  <r>
    <s v="2026-07-24"/>
    <s v="Clínica Ortopédica Central"/>
    <x v="0"/>
    <x v="3"/>
    <x v="3"/>
    <s v="Bomba de Infusão"/>
    <n v="5"/>
    <n v="33414.370000000003"/>
    <n v="167071.85"/>
  </r>
  <r>
    <s v="2026-07-25"/>
    <s v="Hospital Santa Maria"/>
    <x v="3"/>
    <x v="4"/>
    <x v="3"/>
    <s v="Bomba de Infusão"/>
    <n v="4"/>
    <n v="33318.39"/>
    <n v="133273.56"/>
  </r>
  <r>
    <s v="2026-07-25"/>
    <s v="Hospital Metropolitano"/>
    <x v="3"/>
    <x v="4"/>
    <x v="3"/>
    <s v="Desfibrilador Externo"/>
    <n v="1"/>
    <n v="33233.49"/>
    <n v="33233.49"/>
  </r>
  <r>
    <s v="2026-07-25"/>
    <s v="Rede Saúde Total"/>
    <x v="1"/>
    <x v="3"/>
    <x v="2"/>
    <s v="Eletrocardiógrafo"/>
    <n v="8"/>
    <n v="41414.11"/>
    <n v="331312.88"/>
  </r>
  <r>
    <s v="2026-07-25"/>
    <s v="Hospital Regional"/>
    <x v="1"/>
    <x v="2"/>
    <x v="3"/>
    <s v="Monitor Multiparamétrico"/>
    <n v="3"/>
    <n v="29055.14"/>
    <n v="87165.42"/>
  </r>
  <r>
    <s v="2026-07-25"/>
    <s v="Clínica Vida"/>
    <x v="3"/>
    <x v="0"/>
    <x v="0"/>
    <s v="Carro de Emergência (Crash Cart)"/>
    <n v="6"/>
    <n v="8091.21"/>
    <n v="48547.26"/>
  </r>
  <r>
    <s v="2026-07-25"/>
    <s v="Clínica Vida"/>
    <x v="4"/>
    <x v="0"/>
    <x v="0"/>
    <s v="Maca de Transporte"/>
    <n v="4"/>
    <n v="10334.39"/>
    <n v="41337.56"/>
  </r>
  <r>
    <s v="2026-07-26"/>
    <s v="Clínica Ortopédica Central"/>
    <x v="3"/>
    <x v="2"/>
    <x v="0"/>
    <s v="Poltrona de Coleta"/>
    <n v="9"/>
    <n v="7609.38"/>
    <n v="68484.42"/>
  </r>
  <r>
    <s v="2026-07-26"/>
    <s v="Hospital Santa Maria"/>
    <x v="3"/>
    <x v="0"/>
    <x v="3"/>
    <s v="Desfibrilador Externo"/>
    <n v="7"/>
    <n v="36895.040000000001"/>
    <n v="258265.28"/>
  </r>
  <r>
    <s v="2026-07-26"/>
    <s v="Hospital Santa Maria"/>
    <x v="1"/>
    <x v="1"/>
    <x v="1"/>
    <s v="Bisturi Eletrônico"/>
    <n v="9"/>
    <n v="32284.54"/>
    <n v="290560.86"/>
  </r>
  <r>
    <s v="2026-07-26"/>
    <s v="Hospital Metropolitano"/>
    <x v="1"/>
    <x v="3"/>
    <x v="1"/>
    <s v="Mesa Cirúrgica Eletromecânica"/>
    <n v="3"/>
    <n v="32869.43"/>
    <n v="98608.29"/>
  </r>
  <r>
    <s v="2026-07-26"/>
    <s v="Centro Médico Avançado"/>
    <x v="3"/>
    <x v="3"/>
    <x v="0"/>
    <s v="Carro de Emergência (Crash Cart)"/>
    <n v="1"/>
    <n v="10239.49"/>
    <n v="10239.49"/>
  </r>
  <r>
    <s v="2026-07-26"/>
    <s v="Hospital São Lucas"/>
    <x v="3"/>
    <x v="2"/>
    <x v="2"/>
    <s v="Ultrassom Portátil"/>
    <n v="5"/>
    <n v="42984.65"/>
    <n v="214923.25"/>
  </r>
  <r>
    <s v="2026-07-27"/>
    <s v="Hospital Metropolitano"/>
    <x v="3"/>
    <x v="0"/>
    <x v="1"/>
    <s v="Foco Cirúrgico LED"/>
    <n v="3"/>
    <n v="26315.07"/>
    <n v="78945.210000000006"/>
  </r>
  <r>
    <s v="2026-07-27"/>
    <s v="Hospital Regional"/>
    <x v="1"/>
    <x v="4"/>
    <x v="3"/>
    <s v="Ventilador Pulmonar"/>
    <n v="6"/>
    <n v="33158.47"/>
    <n v="198950.82"/>
  </r>
  <r>
    <s v="2026-07-27"/>
    <s v="Rede Saúde Total"/>
    <x v="3"/>
    <x v="4"/>
    <x v="1"/>
    <s v="Foco Cirúrgico LED"/>
    <n v="8"/>
    <n v="26769"/>
    <n v="214152"/>
  </r>
  <r>
    <s v="2026-07-27"/>
    <s v="Clínica Vida"/>
    <x v="3"/>
    <x v="0"/>
    <x v="0"/>
    <s v="Carro de Emergência (Crash Cart)"/>
    <n v="4"/>
    <n v="9721.65"/>
    <n v="38886.6"/>
  </r>
  <r>
    <s v="2026-07-27"/>
    <s v="Hospital Metropolitano"/>
    <x v="2"/>
    <x v="4"/>
    <x v="2"/>
    <s v="Ultrassom Portátil"/>
    <n v="5"/>
    <n v="49696.91"/>
    <n v="248484.55"/>
  </r>
  <r>
    <s v="2026-07-27"/>
    <s v="Hospital São Lucas"/>
    <x v="4"/>
    <x v="2"/>
    <x v="1"/>
    <s v="Mesa Cirúrgica Eletromecânica"/>
    <n v="5"/>
    <n v="33599.86"/>
    <n v="167999.3"/>
  </r>
  <r>
    <s v="2026-07-27"/>
    <s v="Hospital São Lucas"/>
    <x v="0"/>
    <x v="2"/>
    <x v="1"/>
    <s v="Aspirador Cirúrgico de Secreção"/>
    <n v="4"/>
    <n v="24726.67"/>
    <n v="98906.68"/>
  </r>
  <r>
    <s v="2026-07-28"/>
    <s v="Hospital Metropolitano"/>
    <x v="4"/>
    <x v="0"/>
    <x v="0"/>
    <s v="Poltrona de Coleta"/>
    <n v="4"/>
    <n v="10336.280000000001"/>
    <n v="41345.120000000003"/>
  </r>
  <r>
    <s v="2026-07-28"/>
    <s v="Clínica Ortopédica Central"/>
    <x v="2"/>
    <x v="4"/>
    <x v="2"/>
    <s v="Ultrassom Portátil"/>
    <n v="4"/>
    <n v="43530.28"/>
    <n v="174121.12"/>
  </r>
  <r>
    <s v="2026-07-28"/>
    <s v="Clínica Vida"/>
    <x v="0"/>
    <x v="2"/>
    <x v="2"/>
    <s v="Ultrassom Portátil"/>
    <n v="4"/>
    <n v="47082.5"/>
    <n v="188330"/>
  </r>
  <r>
    <s v="2026-07-28"/>
    <s v="Clínica Ortopédica Central"/>
    <x v="3"/>
    <x v="2"/>
    <x v="0"/>
    <s v="Cama Hospitalar Elétrica"/>
    <n v="4"/>
    <n v="8716.2800000000007"/>
    <n v="34865.120000000003"/>
  </r>
  <r>
    <s v="2026-07-28"/>
    <s v="Rede Saúde Total"/>
    <x v="2"/>
    <x v="1"/>
    <x v="3"/>
    <s v="Bomba de Infusão"/>
    <n v="5"/>
    <n v="36931.99"/>
    <n v="184659.95"/>
  </r>
  <r>
    <s v="2026-07-28"/>
    <s v="Hospital São Lucas"/>
    <x v="3"/>
    <x v="1"/>
    <x v="1"/>
    <s v="Aspirador Cirúrgico de Secreção"/>
    <n v="2"/>
    <n v="28507.73"/>
    <n v="57015.46"/>
  </r>
  <r>
    <s v="2026-07-29"/>
    <s v="Hospital São Lucas"/>
    <x v="1"/>
    <x v="2"/>
    <x v="3"/>
    <s v="Ventilador Pulmonar"/>
    <n v="2"/>
    <n v="39277.480000000003"/>
    <n v="78554.960000000006"/>
  </r>
  <r>
    <s v="2026-07-29"/>
    <s v="Hospital Regional"/>
    <x v="2"/>
    <x v="0"/>
    <x v="1"/>
    <s v="Mesa Cirúrgica Eletromecânica"/>
    <n v="9"/>
    <n v="33908.379999999997"/>
    <n v="305175.42"/>
  </r>
  <r>
    <s v="2026-07-29"/>
    <s v="Rede Saúde Total"/>
    <x v="1"/>
    <x v="3"/>
    <x v="1"/>
    <s v="Foco Cirúrgico LED"/>
    <n v="2"/>
    <n v="33568.199999999997"/>
    <n v="67136.399999999994"/>
  </r>
  <r>
    <s v="2026-07-29"/>
    <s v="Hospital São Lucas"/>
    <x v="2"/>
    <x v="3"/>
    <x v="3"/>
    <s v="Desfibrilador Externo"/>
    <n v="6"/>
    <n v="28112.11"/>
    <n v="168672.66"/>
  </r>
  <r>
    <s v="2026-07-29"/>
    <s v="Rede Saúde Total"/>
    <x v="2"/>
    <x v="2"/>
    <x v="0"/>
    <s v="Cama Hospitalar Elétrica"/>
    <n v="2"/>
    <n v="10129.48"/>
    <n v="20258.96"/>
  </r>
  <r>
    <s v="2026-07-29"/>
    <s v="Clínica Vida"/>
    <x v="1"/>
    <x v="2"/>
    <x v="0"/>
    <s v="Poltrona de Coleta"/>
    <n v="5"/>
    <n v="9882.56"/>
    <n v="49412.800000000003"/>
  </r>
  <r>
    <s v="2026-07-30"/>
    <s v="Hospital Santa Maria"/>
    <x v="0"/>
    <x v="2"/>
    <x v="1"/>
    <s v="Foco Cirúrgico LED"/>
    <n v="4"/>
    <n v="24959.35"/>
    <n v="99837.4"/>
  </r>
  <r>
    <s v="2026-07-30"/>
    <s v="Hospital São Lucas"/>
    <x v="4"/>
    <x v="0"/>
    <x v="0"/>
    <s v="Maca de Transporte"/>
    <n v="7"/>
    <n v="7590.21"/>
    <n v="53131.47"/>
  </r>
  <r>
    <s v="2026-07-30"/>
    <s v="Hospital Regional"/>
    <x v="3"/>
    <x v="1"/>
    <x v="1"/>
    <s v="Foco Cirúrgico LED"/>
    <n v="7"/>
    <n v="24933.03"/>
    <n v="174531.21"/>
  </r>
  <r>
    <s v="2026-07-30"/>
    <s v="Clínica Vida"/>
    <x v="2"/>
    <x v="2"/>
    <x v="0"/>
    <s v="Maca de Transporte"/>
    <n v="6"/>
    <n v="7263.53"/>
    <n v="43581.18"/>
  </r>
  <r>
    <s v="2026-07-30"/>
    <s v="Hospital Metropolitano"/>
    <x v="3"/>
    <x v="2"/>
    <x v="1"/>
    <s v="Mesa Cirúrgica Eletromecânica"/>
    <n v="5"/>
    <n v="29944.7"/>
    <n v="149723.5"/>
  </r>
  <r>
    <s v="2026-07-30"/>
    <s v="Rede Saúde Total"/>
    <x v="1"/>
    <x v="4"/>
    <x v="0"/>
    <s v="Cama Hospitalar Elétrica"/>
    <n v="1"/>
    <n v="10534.54"/>
    <n v="10534.54"/>
  </r>
  <r>
    <s v="2026-07-31"/>
    <s v="Hospital Metropolitano"/>
    <x v="3"/>
    <x v="0"/>
    <x v="2"/>
    <s v="Aparelho de Raio-X Móvel"/>
    <n v="3"/>
    <n v="46146.32"/>
    <n v="138438.96"/>
  </r>
  <r>
    <s v="2026-07-31"/>
    <s v="Clínica Ortopédica Central"/>
    <x v="1"/>
    <x v="2"/>
    <x v="3"/>
    <s v="Bomba de Infusão"/>
    <n v="9"/>
    <n v="34121.699999999997"/>
    <n v="307095.3"/>
  </r>
  <r>
    <s v="2026-07-31"/>
    <s v="Clínica Vida"/>
    <x v="3"/>
    <x v="4"/>
    <x v="2"/>
    <s v="Ultrassom Portátil"/>
    <n v="1"/>
    <n v="55673.46"/>
    <n v="55673.46"/>
  </r>
  <r>
    <s v="2026-07-31"/>
    <s v="Hospital Metropolitano"/>
    <x v="4"/>
    <x v="3"/>
    <x v="3"/>
    <s v="Ventilador Pulmonar"/>
    <n v="5"/>
    <n v="30466.33"/>
    <n v="152331.65"/>
  </r>
  <r>
    <s v="2026-07-31"/>
    <s v="Centro Médico Avançado"/>
    <x v="4"/>
    <x v="2"/>
    <x v="3"/>
    <s v="Monitor Multiparamétrico"/>
    <n v="2"/>
    <n v="38188.42"/>
    <n v="76376.84"/>
  </r>
  <r>
    <s v="2026-07-31"/>
    <s v="Centro Médico Avançado"/>
    <x v="4"/>
    <x v="2"/>
    <x v="1"/>
    <s v="Mesa Cirúrgica Eletromecânica"/>
    <n v="4"/>
    <n v="29919.57"/>
    <n v="119678.28"/>
  </r>
  <r>
    <s v="2026-08-01"/>
    <s v="Hospital São Lucas"/>
    <x v="4"/>
    <x v="4"/>
    <x v="3"/>
    <s v="Ventilador Pulmonar"/>
    <n v="1"/>
    <n v="34489.300000000003"/>
    <n v="34489.300000000003"/>
  </r>
  <r>
    <s v="2026-08-01"/>
    <s v="Rede Saúde Total"/>
    <x v="4"/>
    <x v="0"/>
    <x v="2"/>
    <s v="Eletrocardiógrafo"/>
    <n v="3"/>
    <n v="44427.13"/>
    <n v="133281.39000000001"/>
  </r>
  <r>
    <s v="2026-08-01"/>
    <s v="Hospital Santa Maria"/>
    <x v="4"/>
    <x v="2"/>
    <x v="2"/>
    <s v="Aparelho de Raio-X Móvel"/>
    <n v="7"/>
    <n v="48358.52"/>
    <n v="338509.64"/>
  </r>
  <r>
    <s v="2026-08-01"/>
    <s v="Clínica Vida"/>
    <x v="1"/>
    <x v="3"/>
    <x v="0"/>
    <s v="Maca de Transporte"/>
    <n v="3"/>
    <n v="7473.68"/>
    <n v="22421.040000000001"/>
  </r>
  <r>
    <s v="2026-08-01"/>
    <s v="Hospital São Lucas"/>
    <x v="2"/>
    <x v="2"/>
    <x v="2"/>
    <s v="Monitor de Pressão Arterial 24h"/>
    <n v="4"/>
    <n v="52013.58"/>
    <n v="208054.32"/>
  </r>
  <r>
    <s v="2026-08-01"/>
    <s v="Hospital Regional"/>
    <x v="3"/>
    <x v="3"/>
    <x v="0"/>
    <s v="Carro de Emergência (Crash Cart)"/>
    <n v="2"/>
    <n v="8192.94"/>
    <n v="16385.88"/>
  </r>
  <r>
    <s v="2026-08-02"/>
    <s v="Clínica Ortopédica Central"/>
    <x v="4"/>
    <x v="1"/>
    <x v="3"/>
    <s v="Bomba de Infusão"/>
    <n v="3"/>
    <n v="38561.39"/>
    <n v="115684.17"/>
  </r>
  <r>
    <s v="2026-08-02"/>
    <s v="Rede Saúde Total"/>
    <x v="1"/>
    <x v="1"/>
    <x v="2"/>
    <s v="Ultrassom Portátil"/>
    <n v="9"/>
    <n v="44871.31"/>
    <n v="403841.79"/>
  </r>
  <r>
    <s v="2026-08-02"/>
    <s v="Clínica Vida"/>
    <x v="1"/>
    <x v="3"/>
    <x v="3"/>
    <s v="Bomba de Infusão"/>
    <n v="3"/>
    <n v="29028.15"/>
    <n v="87084.45"/>
  </r>
  <r>
    <s v="2026-08-02"/>
    <s v="Centro Médico Avançado"/>
    <x v="1"/>
    <x v="0"/>
    <x v="2"/>
    <s v="Ultrassom Portátil"/>
    <n v="5"/>
    <n v="50775.87"/>
    <n v="253879.35"/>
  </r>
  <r>
    <s v="2026-08-02"/>
    <s v="Clínica Vida"/>
    <x v="2"/>
    <x v="2"/>
    <x v="2"/>
    <s v="Monitor de Pressão Arterial 24h"/>
    <n v="2"/>
    <n v="41212.410000000003"/>
    <n v="82424.820000000007"/>
  </r>
  <r>
    <s v="2026-08-02"/>
    <s v="Hospital Santa Maria"/>
    <x v="3"/>
    <x v="2"/>
    <x v="0"/>
    <s v="Carro de Emergência (Crash Cart)"/>
    <n v="4"/>
    <n v="9787.51"/>
    <n v="39150.04"/>
  </r>
  <r>
    <s v="2026-08-02"/>
    <s v="Centro Médico Avançado"/>
    <x v="2"/>
    <x v="1"/>
    <x v="3"/>
    <s v="Monitor Multiparamétrico"/>
    <n v="7"/>
    <n v="39591.839999999997"/>
    <n v="277142.88"/>
  </r>
  <r>
    <s v="2026-08-03"/>
    <s v="Hospital Santa Maria"/>
    <x v="0"/>
    <x v="3"/>
    <x v="2"/>
    <s v="Monitor de Pressão Arterial 24h"/>
    <n v="7"/>
    <n v="52281.95"/>
    <n v="365973.65"/>
  </r>
  <r>
    <s v="2026-08-03"/>
    <s v="Hospital Regional"/>
    <x v="1"/>
    <x v="2"/>
    <x v="1"/>
    <s v="Foco Cirúrgico LED"/>
    <n v="3"/>
    <n v="24051.43"/>
    <n v="72154.289999999994"/>
  </r>
  <r>
    <s v="2026-08-03"/>
    <s v="Clínica Ortopédica Central"/>
    <x v="0"/>
    <x v="2"/>
    <x v="3"/>
    <s v="Desfibrilador Externo"/>
    <n v="5"/>
    <n v="34878.54"/>
    <n v="174392.7"/>
  </r>
  <r>
    <s v="2026-08-03"/>
    <s v="Hospital Regional"/>
    <x v="4"/>
    <x v="0"/>
    <x v="3"/>
    <s v="Ventilador Pulmonar"/>
    <n v="1"/>
    <n v="36101.26"/>
    <n v="36101.26"/>
  </r>
  <r>
    <s v="2026-08-03"/>
    <s v="Hospital São Lucas"/>
    <x v="4"/>
    <x v="4"/>
    <x v="3"/>
    <s v="Desfibrilador Externo"/>
    <n v="1"/>
    <n v="37765.870000000003"/>
    <n v="37765.870000000003"/>
  </r>
  <r>
    <s v="2026-08-03"/>
    <s v="Hospital São Lucas"/>
    <x v="2"/>
    <x v="1"/>
    <x v="0"/>
    <s v="Cama Hospitalar Elétrica"/>
    <n v="5"/>
    <n v="7415.41"/>
    <n v="37077.050000000003"/>
  </r>
  <r>
    <s v="2026-08-04"/>
    <s v="Hospital Regional"/>
    <x v="3"/>
    <x v="1"/>
    <x v="1"/>
    <s v="Bisturi Eletrônico"/>
    <n v="9"/>
    <n v="29177.21"/>
    <n v="262594.89"/>
  </r>
  <r>
    <s v="2026-08-04"/>
    <s v="Clínica Ortopédica Central"/>
    <x v="0"/>
    <x v="4"/>
    <x v="3"/>
    <s v="Monitor Multiparamétrico"/>
    <n v="1"/>
    <n v="34052.75"/>
    <n v="34052.75"/>
  </r>
  <r>
    <s v="2026-08-04"/>
    <s v="Hospital Regional"/>
    <x v="3"/>
    <x v="2"/>
    <x v="2"/>
    <s v="Ultrassom Portátil"/>
    <n v="1"/>
    <n v="41294.25"/>
    <n v="41294.25"/>
  </r>
  <r>
    <s v="2026-08-04"/>
    <s v="Clínica Ortopédica Central"/>
    <x v="2"/>
    <x v="0"/>
    <x v="2"/>
    <s v="Monitor de Pressão Arterial 24h"/>
    <n v="4"/>
    <n v="44054.1"/>
    <n v="176216.4"/>
  </r>
  <r>
    <s v="2026-08-04"/>
    <s v="Clínica Ortopédica Central"/>
    <x v="4"/>
    <x v="0"/>
    <x v="0"/>
    <s v="Cama Hospitalar Elétrica"/>
    <n v="4"/>
    <n v="8721.75"/>
    <n v="34887"/>
  </r>
  <r>
    <s v="2026-08-04"/>
    <s v="Hospital Metropolitano"/>
    <x v="3"/>
    <x v="1"/>
    <x v="2"/>
    <s v="Ultrassom Portátil"/>
    <n v="2"/>
    <n v="53247.77"/>
    <n v="106495.54"/>
  </r>
  <r>
    <s v="2026-08-05"/>
    <s v="Centro Médico Avançado"/>
    <x v="3"/>
    <x v="0"/>
    <x v="3"/>
    <s v="Ventilador Pulmonar"/>
    <n v="9"/>
    <n v="39096.42"/>
    <n v="351867.78"/>
  </r>
  <r>
    <s v="2026-08-05"/>
    <s v="Rede Saúde Total"/>
    <x v="4"/>
    <x v="4"/>
    <x v="2"/>
    <s v="Monitor de Pressão Arterial 24h"/>
    <n v="9"/>
    <n v="49561.61"/>
    <n v="446054.49"/>
  </r>
  <r>
    <s v="2026-08-05"/>
    <s v="Clínica Ortopédica Central"/>
    <x v="0"/>
    <x v="2"/>
    <x v="3"/>
    <s v="Monitor Multiparamétrico"/>
    <n v="2"/>
    <n v="32255.3"/>
    <n v="64510.6"/>
  </r>
  <r>
    <s v="2026-08-05"/>
    <s v="Hospital Santa Maria"/>
    <x v="4"/>
    <x v="4"/>
    <x v="2"/>
    <s v="Eletrocardiógrafo"/>
    <n v="9"/>
    <n v="42822.559999999998"/>
    <n v="385403.04"/>
  </r>
  <r>
    <s v="2026-08-05"/>
    <s v="Clínica Ortopédica Central"/>
    <x v="3"/>
    <x v="3"/>
    <x v="1"/>
    <s v="Mesa Cirúrgica Eletromecânica"/>
    <n v="6"/>
    <n v="34799.910000000003"/>
    <n v="208799.46"/>
  </r>
  <r>
    <s v="2026-08-05"/>
    <s v="Clínica Ortopédica Central"/>
    <x v="0"/>
    <x v="1"/>
    <x v="0"/>
    <s v="Cama Hospitalar Elétrica"/>
    <n v="8"/>
    <n v="10567.27"/>
    <n v="84538.16"/>
  </r>
  <r>
    <s v="2026-08-06"/>
    <s v="Clínica Ortopédica Central"/>
    <x v="0"/>
    <x v="0"/>
    <x v="0"/>
    <s v="Poltrona de Coleta"/>
    <n v="4"/>
    <n v="10369.92"/>
    <n v="41479.68"/>
  </r>
  <r>
    <s v="2026-08-06"/>
    <s v="Hospital Metropolitano"/>
    <x v="4"/>
    <x v="3"/>
    <x v="1"/>
    <s v="Mesa Cirúrgica Eletromecânica"/>
    <n v="2"/>
    <n v="32599.49"/>
    <n v="65198.98"/>
  </r>
  <r>
    <s v="2026-08-06"/>
    <s v="Centro Médico Avançado"/>
    <x v="3"/>
    <x v="0"/>
    <x v="1"/>
    <s v="Foco Cirúrgico LED"/>
    <n v="2"/>
    <n v="27448.73"/>
    <n v="54897.46"/>
  </r>
  <r>
    <s v="2026-08-06"/>
    <s v="Hospital Metropolitano"/>
    <x v="2"/>
    <x v="2"/>
    <x v="0"/>
    <s v="Carro de Emergência (Crash Cart)"/>
    <n v="9"/>
    <n v="10002.799999999999"/>
    <n v="90025.2"/>
  </r>
  <r>
    <s v="2026-08-06"/>
    <s v="Hospital São Lucas"/>
    <x v="3"/>
    <x v="2"/>
    <x v="1"/>
    <s v="Bisturi Eletrônico"/>
    <n v="1"/>
    <n v="28378.48"/>
    <n v="28378.48"/>
  </r>
  <r>
    <s v="2026-08-06"/>
    <s v="Hospital Metropolitano"/>
    <x v="1"/>
    <x v="2"/>
    <x v="3"/>
    <s v="Bomba de Infusão"/>
    <n v="7"/>
    <n v="31382.7"/>
    <n v="219678.9"/>
  </r>
  <r>
    <s v="2026-08-07"/>
    <s v="Hospital Santa Maria"/>
    <x v="2"/>
    <x v="0"/>
    <x v="2"/>
    <s v="Ultrassom Portátil"/>
    <n v="3"/>
    <n v="51657.58"/>
    <n v="154972.74"/>
  </r>
  <r>
    <s v="2026-08-07"/>
    <s v="Hospital Santa Maria"/>
    <x v="0"/>
    <x v="3"/>
    <x v="0"/>
    <s v="Poltrona de Coleta"/>
    <n v="3"/>
    <n v="7495.82"/>
    <n v="22487.46"/>
  </r>
  <r>
    <s v="2026-08-07"/>
    <s v="Hospital Metropolitano"/>
    <x v="2"/>
    <x v="2"/>
    <x v="1"/>
    <s v="Mesa Cirúrgica Eletromecânica"/>
    <n v="2"/>
    <n v="24343.9"/>
    <n v="48687.8"/>
  </r>
  <r>
    <s v="2026-08-07"/>
    <s v="Centro Médico Avançado"/>
    <x v="0"/>
    <x v="3"/>
    <x v="3"/>
    <s v="Bomba de Infusão"/>
    <n v="6"/>
    <n v="32933.81"/>
    <n v="197602.86"/>
  </r>
  <r>
    <s v="2026-08-07"/>
    <s v="Hospital Regional"/>
    <x v="0"/>
    <x v="0"/>
    <x v="0"/>
    <s v="Cama Hospitalar Elétrica"/>
    <n v="2"/>
    <n v="8740.17"/>
    <n v="17480.34"/>
  </r>
  <r>
    <s v="2026-08-07"/>
    <s v="Rede Saúde Total"/>
    <x v="2"/>
    <x v="3"/>
    <x v="1"/>
    <s v="Foco Cirúrgico LED"/>
    <n v="4"/>
    <n v="33831.21"/>
    <n v="135324.84"/>
  </r>
  <r>
    <s v="2026-08-08"/>
    <s v="Centro Médico Avançado"/>
    <x v="0"/>
    <x v="0"/>
    <x v="0"/>
    <s v="Maca de Transporte"/>
    <n v="9"/>
    <n v="7653.92"/>
    <n v="68885.279999999999"/>
  </r>
  <r>
    <s v="2026-08-08"/>
    <s v="Hospital Metropolitano"/>
    <x v="0"/>
    <x v="0"/>
    <x v="1"/>
    <s v="Bisturi Eletrônico"/>
    <n v="9"/>
    <n v="25180.78"/>
    <n v="226627.02"/>
  </r>
  <r>
    <s v="2026-08-08"/>
    <s v="Clínica Ortopédica Central"/>
    <x v="1"/>
    <x v="1"/>
    <x v="0"/>
    <s v="Cama Hospitalar Elétrica"/>
    <n v="6"/>
    <n v="7726.34"/>
    <n v="46358.04"/>
  </r>
  <r>
    <s v="2026-08-08"/>
    <s v="Clínica Vida"/>
    <x v="3"/>
    <x v="0"/>
    <x v="3"/>
    <s v="Monitor Multiparamétrico"/>
    <n v="4"/>
    <n v="27580.62"/>
    <n v="110322.48"/>
  </r>
  <r>
    <s v="2026-08-08"/>
    <s v="Rede Saúde Total"/>
    <x v="3"/>
    <x v="0"/>
    <x v="3"/>
    <s v="Desfibrilador Externo"/>
    <n v="7"/>
    <n v="28118.17"/>
    <n v="196827.19"/>
  </r>
  <r>
    <s v="2026-08-08"/>
    <s v="Rede Saúde Total"/>
    <x v="1"/>
    <x v="4"/>
    <x v="2"/>
    <s v="Monitor de Pressão Arterial 24h"/>
    <n v="1"/>
    <n v="50127.66"/>
    <n v="50127.66"/>
  </r>
  <r>
    <s v="2026-08-08"/>
    <s v="Hospital Santa Maria"/>
    <x v="2"/>
    <x v="2"/>
    <x v="0"/>
    <s v="Poltrona de Coleta"/>
    <n v="4"/>
    <n v="8692.39"/>
    <n v="34769.56"/>
  </r>
  <r>
    <s v="2026-08-09"/>
    <s v="Rede Saúde Total"/>
    <x v="4"/>
    <x v="1"/>
    <x v="2"/>
    <s v="Eletrocardiógrafo"/>
    <n v="5"/>
    <n v="51994.86"/>
    <n v="259974.3"/>
  </r>
  <r>
    <s v="2026-08-09"/>
    <s v="Hospital Metropolitano"/>
    <x v="4"/>
    <x v="1"/>
    <x v="0"/>
    <s v="Maca de Transporte"/>
    <n v="8"/>
    <n v="10599.83"/>
    <n v="84798.64"/>
  </r>
  <r>
    <s v="2026-08-09"/>
    <s v="Clínica Ortopédica Central"/>
    <x v="4"/>
    <x v="1"/>
    <x v="1"/>
    <s v="Mesa Cirúrgica Eletromecânica"/>
    <n v="2"/>
    <n v="31181.19"/>
    <n v="62362.38"/>
  </r>
  <r>
    <s v="2026-08-09"/>
    <s v="Clínica Ortopédica Central"/>
    <x v="1"/>
    <x v="4"/>
    <x v="1"/>
    <s v="Foco Cirúrgico LED"/>
    <n v="5"/>
    <n v="24365.1"/>
    <n v="121825.5"/>
  </r>
  <r>
    <s v="2026-08-09"/>
    <s v="Hospital São Lucas"/>
    <x v="1"/>
    <x v="0"/>
    <x v="2"/>
    <s v="Ultrassom Portátil"/>
    <n v="6"/>
    <n v="40132.129999999997"/>
    <n v="240792.78"/>
  </r>
  <r>
    <s v="2026-08-09"/>
    <s v="Clínica Ortopédica Central"/>
    <x v="0"/>
    <x v="2"/>
    <x v="0"/>
    <s v="Cama Hospitalar Elétrica"/>
    <n v="5"/>
    <n v="10220.41"/>
    <n v="51102.05"/>
  </r>
  <r>
    <s v="2026-08-10"/>
    <s v="Centro Médico Avançado"/>
    <x v="4"/>
    <x v="3"/>
    <x v="2"/>
    <s v="Aparelho de Raio-X Móvel"/>
    <n v="9"/>
    <n v="47744.93"/>
    <n v="429704.37"/>
  </r>
  <r>
    <s v="2026-08-10"/>
    <s v="Clínica Ortopédica Central"/>
    <x v="2"/>
    <x v="0"/>
    <x v="3"/>
    <s v="Ventilador Pulmonar"/>
    <n v="1"/>
    <n v="37757.919999999998"/>
    <n v="37757.919999999998"/>
  </r>
  <r>
    <s v="2026-08-10"/>
    <s v="Hospital Santa Maria"/>
    <x v="2"/>
    <x v="4"/>
    <x v="2"/>
    <s v="Aparelho de Raio-X Móvel"/>
    <n v="3"/>
    <n v="53669.02"/>
    <n v="161007.06"/>
  </r>
  <r>
    <s v="2026-08-10"/>
    <s v="Clínica Ortopédica Central"/>
    <x v="4"/>
    <x v="0"/>
    <x v="2"/>
    <s v="Aparelho de Raio-X Móvel"/>
    <n v="2"/>
    <n v="54948.14"/>
    <n v="109896.28"/>
  </r>
  <r>
    <s v="2026-08-10"/>
    <s v="Hospital São Lucas"/>
    <x v="4"/>
    <x v="0"/>
    <x v="1"/>
    <s v="Aspirador Cirúrgico de Secreção"/>
    <n v="3"/>
    <n v="34438.089999999997"/>
    <n v="103314.27"/>
  </r>
  <r>
    <s v="2026-08-10"/>
    <s v="Clínica Vida"/>
    <x v="4"/>
    <x v="4"/>
    <x v="2"/>
    <s v="Ultrassom Portátil"/>
    <n v="9"/>
    <n v="48236.86"/>
    <n v="434131.74"/>
  </r>
  <r>
    <s v="2026-08-11"/>
    <s v="Hospital Metropolitano"/>
    <x v="1"/>
    <x v="1"/>
    <x v="0"/>
    <s v="Poltrona de Coleta"/>
    <n v="9"/>
    <n v="8384.4699999999993"/>
    <n v="75460.23"/>
  </r>
  <r>
    <s v="2026-08-11"/>
    <s v="Hospital Santa Maria"/>
    <x v="1"/>
    <x v="1"/>
    <x v="1"/>
    <s v="Bisturi Eletrônico"/>
    <n v="2"/>
    <n v="34572.89"/>
    <n v="69145.78"/>
  </r>
  <r>
    <s v="2026-08-11"/>
    <s v="Centro Médico Avançado"/>
    <x v="1"/>
    <x v="2"/>
    <x v="2"/>
    <s v="Eletrocardiógrafo"/>
    <n v="3"/>
    <n v="48103.32"/>
    <n v="144309.96"/>
  </r>
  <r>
    <s v="2026-08-11"/>
    <s v="Clínica Vida"/>
    <x v="3"/>
    <x v="2"/>
    <x v="3"/>
    <s v="Bomba de Infusão"/>
    <n v="4"/>
    <n v="28022.43"/>
    <n v="112089.72"/>
  </r>
  <r>
    <s v="2026-08-11"/>
    <s v="Hospital Santa Maria"/>
    <x v="2"/>
    <x v="1"/>
    <x v="2"/>
    <s v="Aparelho de Raio-X Móvel"/>
    <n v="9"/>
    <n v="49819.98"/>
    <n v="448379.82"/>
  </r>
  <r>
    <s v="2026-08-11"/>
    <s v="Hospital Regional"/>
    <x v="2"/>
    <x v="3"/>
    <x v="2"/>
    <s v="Aparelho de Raio-X Móvel"/>
    <n v="3"/>
    <n v="48828.33"/>
    <n v="146484.99"/>
  </r>
  <r>
    <s v="2026-08-12"/>
    <s v="Rede Saúde Total"/>
    <x v="0"/>
    <x v="0"/>
    <x v="2"/>
    <s v="Aparelho de Raio-X Móvel"/>
    <n v="7"/>
    <n v="54374.27"/>
    <n v="380619.89"/>
  </r>
  <r>
    <s v="2026-08-12"/>
    <s v="Hospital Regional"/>
    <x v="1"/>
    <x v="3"/>
    <x v="1"/>
    <s v="Foco Cirúrgico LED"/>
    <n v="3"/>
    <n v="31115.7"/>
    <n v="93347.1"/>
  </r>
  <r>
    <s v="2026-08-12"/>
    <s v="Clínica Ortopédica Central"/>
    <x v="3"/>
    <x v="0"/>
    <x v="0"/>
    <s v="Poltrona de Coleta"/>
    <n v="7"/>
    <n v="8411.7800000000007"/>
    <n v="58882.46"/>
  </r>
  <r>
    <s v="2026-08-12"/>
    <s v="Clínica Vida"/>
    <x v="3"/>
    <x v="1"/>
    <x v="3"/>
    <s v="Monitor Multiparamétrico"/>
    <n v="7"/>
    <n v="39567.69"/>
    <n v="276973.83"/>
  </r>
  <r>
    <s v="2026-08-12"/>
    <s v="Clínica Ortopédica Central"/>
    <x v="2"/>
    <x v="2"/>
    <x v="2"/>
    <s v="Monitor de Pressão Arterial 24h"/>
    <n v="9"/>
    <n v="52679.15"/>
    <n v="474112.35"/>
  </r>
  <r>
    <s v="2026-08-12"/>
    <s v="Rede Saúde Total"/>
    <x v="1"/>
    <x v="2"/>
    <x v="0"/>
    <s v="Poltrona de Coleta"/>
    <n v="2"/>
    <n v="9368.42"/>
    <n v="18736.84"/>
  </r>
  <r>
    <s v="2026-08-13"/>
    <s v="Hospital Santa Maria"/>
    <x v="0"/>
    <x v="3"/>
    <x v="0"/>
    <s v="Poltrona de Coleta"/>
    <n v="6"/>
    <n v="8220.9500000000007"/>
    <n v="49325.7"/>
  </r>
  <r>
    <s v="2026-08-13"/>
    <s v="Rede Saúde Total"/>
    <x v="1"/>
    <x v="2"/>
    <x v="1"/>
    <s v="Foco Cirúrgico LED"/>
    <n v="9"/>
    <n v="27983.65"/>
    <n v="251852.85"/>
  </r>
  <r>
    <s v="2026-08-13"/>
    <s v="Hospital São Lucas"/>
    <x v="4"/>
    <x v="1"/>
    <x v="3"/>
    <s v="Ventilador Pulmonar"/>
    <n v="2"/>
    <n v="35775.620000000003"/>
    <n v="71551.240000000005"/>
  </r>
  <r>
    <s v="2026-08-13"/>
    <s v="Rede Saúde Total"/>
    <x v="1"/>
    <x v="3"/>
    <x v="1"/>
    <s v="Bisturi Eletrônico"/>
    <n v="2"/>
    <n v="24606.19"/>
    <n v="49212.38"/>
  </r>
  <r>
    <s v="2026-08-13"/>
    <s v="Hospital São Lucas"/>
    <x v="4"/>
    <x v="0"/>
    <x v="0"/>
    <s v="Carro de Emergência (Crash Cart)"/>
    <n v="5"/>
    <n v="8097.71"/>
    <n v="40488.550000000003"/>
  </r>
  <r>
    <s v="2026-08-13"/>
    <s v="Rede Saúde Total"/>
    <x v="4"/>
    <x v="2"/>
    <x v="0"/>
    <s v="Poltrona de Coleta"/>
    <n v="8"/>
    <n v="9652.26"/>
    <n v="77218.080000000002"/>
  </r>
  <r>
    <s v="2026-08-14"/>
    <s v="Hospital Metropolitano"/>
    <x v="0"/>
    <x v="4"/>
    <x v="0"/>
    <s v="Carro de Emergência (Crash Cart)"/>
    <n v="9"/>
    <n v="8857.06"/>
    <n v="79713.539999999994"/>
  </r>
  <r>
    <s v="2026-08-14"/>
    <s v="Hospital São Lucas"/>
    <x v="2"/>
    <x v="2"/>
    <x v="1"/>
    <s v="Aspirador Cirúrgico de Secreção"/>
    <n v="2"/>
    <n v="28306.81"/>
    <n v="56613.62"/>
  </r>
  <r>
    <s v="2026-08-14"/>
    <s v="Clínica Vida"/>
    <x v="1"/>
    <x v="0"/>
    <x v="3"/>
    <s v="Ventilador Pulmonar"/>
    <n v="5"/>
    <n v="29138.66"/>
    <n v="145693.29999999999"/>
  </r>
  <r>
    <s v="2026-08-14"/>
    <s v="Clínica Ortopédica Central"/>
    <x v="4"/>
    <x v="3"/>
    <x v="2"/>
    <s v="Ultrassom Portátil"/>
    <n v="7"/>
    <n v="46203.28"/>
    <n v="323422.96000000002"/>
  </r>
  <r>
    <s v="2026-08-14"/>
    <s v="Centro Médico Avançado"/>
    <x v="1"/>
    <x v="0"/>
    <x v="1"/>
    <s v="Foco Cirúrgico LED"/>
    <n v="6"/>
    <n v="32431.75"/>
    <n v="194590.5"/>
  </r>
  <r>
    <s v="2026-08-14"/>
    <s v="Clínica Ortopédica Central"/>
    <x v="2"/>
    <x v="4"/>
    <x v="0"/>
    <s v="Maca de Transporte"/>
    <n v="6"/>
    <n v="8122.64"/>
    <n v="48735.839999999997"/>
  </r>
  <r>
    <s v="2026-08-14"/>
    <s v="Hospital Regional"/>
    <x v="2"/>
    <x v="1"/>
    <x v="1"/>
    <s v="Aspirador Cirúrgico de Secreção"/>
    <n v="7"/>
    <n v="23860.46"/>
    <n v="167023.22"/>
  </r>
  <r>
    <s v="2026-08-15"/>
    <s v="Clínica Ortopédica Central"/>
    <x v="3"/>
    <x v="2"/>
    <x v="0"/>
    <s v="Cama Hospitalar Elétrica"/>
    <n v="3"/>
    <n v="9497.92"/>
    <n v="28493.759999999998"/>
  </r>
  <r>
    <s v="2026-08-15"/>
    <s v="Hospital Santa Maria"/>
    <x v="2"/>
    <x v="3"/>
    <x v="2"/>
    <s v="Monitor de Pressão Arterial 24h"/>
    <n v="3"/>
    <n v="55757.279999999999"/>
    <n v="167271.84"/>
  </r>
  <r>
    <s v="2026-08-15"/>
    <s v="Hospital Metropolitano"/>
    <x v="0"/>
    <x v="1"/>
    <x v="2"/>
    <s v="Eletrocardiógrafo"/>
    <n v="9"/>
    <n v="49172.88"/>
    <n v="442555.92"/>
  </r>
  <r>
    <s v="2026-08-15"/>
    <s v="Rede Saúde Total"/>
    <x v="4"/>
    <x v="0"/>
    <x v="3"/>
    <s v="Bomba de Infusão"/>
    <n v="8"/>
    <n v="28735"/>
    <n v="229880"/>
  </r>
  <r>
    <s v="2026-08-15"/>
    <s v="Hospital Regional"/>
    <x v="3"/>
    <x v="3"/>
    <x v="0"/>
    <s v="Cama Hospitalar Elétrica"/>
    <n v="5"/>
    <n v="8315.49"/>
    <n v="41577.449999999997"/>
  </r>
  <r>
    <s v="2026-08-15"/>
    <s v="Hospital Santa Maria"/>
    <x v="0"/>
    <x v="1"/>
    <x v="3"/>
    <s v="Desfibrilador Externo"/>
    <n v="6"/>
    <n v="38305.81"/>
    <n v="229834.86"/>
  </r>
  <r>
    <s v="2026-08-16"/>
    <s v="Hospital Santa Maria"/>
    <x v="1"/>
    <x v="3"/>
    <x v="3"/>
    <s v="Ventilador Pulmonar"/>
    <n v="1"/>
    <n v="30176.87"/>
    <n v="30176.87"/>
  </r>
  <r>
    <s v="2026-08-16"/>
    <s v="Hospital São Lucas"/>
    <x v="4"/>
    <x v="4"/>
    <x v="2"/>
    <s v="Eletrocardiógrafo"/>
    <n v="1"/>
    <n v="49188.53"/>
    <n v="49188.53"/>
  </r>
  <r>
    <s v="2026-08-16"/>
    <s v="Clínica Ortopédica Central"/>
    <x v="2"/>
    <x v="4"/>
    <x v="1"/>
    <s v="Foco Cirúrgico LED"/>
    <n v="4"/>
    <n v="28309.919999999998"/>
    <n v="113239.67999999999"/>
  </r>
  <r>
    <s v="2026-08-16"/>
    <s v="Clínica Vida"/>
    <x v="4"/>
    <x v="2"/>
    <x v="1"/>
    <s v="Aspirador Cirúrgico de Secreção"/>
    <n v="2"/>
    <n v="26127.85"/>
    <n v="52255.7"/>
  </r>
  <r>
    <s v="2026-08-16"/>
    <s v="Centro Médico Avançado"/>
    <x v="1"/>
    <x v="2"/>
    <x v="3"/>
    <s v="Bomba de Infusão"/>
    <n v="7"/>
    <n v="37611.61"/>
    <n v="263281.27"/>
  </r>
  <r>
    <s v="2026-08-16"/>
    <s v="Clínica Vida"/>
    <x v="3"/>
    <x v="4"/>
    <x v="2"/>
    <s v="Aparelho de Raio-X Móvel"/>
    <n v="2"/>
    <n v="51620.959999999999"/>
    <n v="103241.92"/>
  </r>
  <r>
    <s v="2026-08-17"/>
    <s v="Hospital Regional"/>
    <x v="3"/>
    <x v="3"/>
    <x v="0"/>
    <s v="Carro de Emergência (Crash Cart)"/>
    <n v="2"/>
    <n v="9474.41"/>
    <n v="18948.82"/>
  </r>
  <r>
    <s v="2026-08-17"/>
    <s v="Hospital Metropolitano"/>
    <x v="3"/>
    <x v="4"/>
    <x v="1"/>
    <s v="Mesa Cirúrgica Eletromecânica"/>
    <n v="5"/>
    <n v="26446.97"/>
    <n v="132234.85"/>
  </r>
  <r>
    <s v="2026-08-17"/>
    <s v="Clínica Vida"/>
    <x v="2"/>
    <x v="2"/>
    <x v="3"/>
    <s v="Ventilador Pulmonar"/>
    <n v="4"/>
    <n v="28452.57"/>
    <n v="113810.28"/>
  </r>
  <r>
    <s v="2026-08-17"/>
    <s v="Rede Saúde Total"/>
    <x v="0"/>
    <x v="4"/>
    <x v="1"/>
    <s v="Foco Cirúrgico LED"/>
    <n v="8"/>
    <n v="30252.98"/>
    <n v="242023.84"/>
  </r>
  <r>
    <s v="2026-08-17"/>
    <s v="Clínica Vida"/>
    <x v="0"/>
    <x v="4"/>
    <x v="1"/>
    <s v="Aspirador Cirúrgico de Secreção"/>
    <n v="4"/>
    <n v="30001.19"/>
    <n v="120004.76"/>
  </r>
  <r>
    <s v="2026-08-17"/>
    <s v="Hospital Regional"/>
    <x v="4"/>
    <x v="3"/>
    <x v="0"/>
    <s v="Maca de Transporte"/>
    <n v="6"/>
    <n v="7865.51"/>
    <n v="47193.06"/>
  </r>
  <r>
    <s v="2026-08-18"/>
    <s v="Centro Médico Avançado"/>
    <x v="2"/>
    <x v="1"/>
    <x v="2"/>
    <s v="Ultrassom Portátil"/>
    <n v="5"/>
    <n v="39262.44"/>
    <n v="196312.2"/>
  </r>
  <r>
    <s v="2026-08-18"/>
    <s v="Clínica Vida"/>
    <x v="3"/>
    <x v="2"/>
    <x v="0"/>
    <s v="Maca de Transporte"/>
    <n v="2"/>
    <n v="7499.41"/>
    <n v="14998.82"/>
  </r>
  <r>
    <s v="2026-08-18"/>
    <s v="Rede Saúde Total"/>
    <x v="3"/>
    <x v="3"/>
    <x v="2"/>
    <s v="Ultrassom Portátil"/>
    <n v="8"/>
    <n v="56119.88"/>
    <n v="448959.04"/>
  </r>
  <r>
    <s v="2026-08-18"/>
    <s v="Hospital São Lucas"/>
    <x v="1"/>
    <x v="4"/>
    <x v="1"/>
    <s v="Bisturi Eletrônico"/>
    <n v="2"/>
    <n v="32576.14"/>
    <n v="65152.28"/>
  </r>
  <r>
    <s v="2026-08-18"/>
    <s v="Hospital Metropolitano"/>
    <x v="1"/>
    <x v="4"/>
    <x v="3"/>
    <s v="Ventilador Pulmonar"/>
    <n v="9"/>
    <n v="39001.440000000002"/>
    <n v="351012.96"/>
  </r>
  <r>
    <s v="2026-08-18"/>
    <s v="Hospital Regional"/>
    <x v="3"/>
    <x v="1"/>
    <x v="0"/>
    <s v="Poltrona de Coleta"/>
    <n v="9"/>
    <n v="7888.19"/>
    <n v="70993.710000000006"/>
  </r>
  <r>
    <s v="2026-08-19"/>
    <s v="Hospital São Lucas"/>
    <x v="3"/>
    <x v="2"/>
    <x v="2"/>
    <s v="Eletrocardiógrafo"/>
    <n v="3"/>
    <n v="55540.23"/>
    <n v="166620.69"/>
  </r>
  <r>
    <s v="2026-08-19"/>
    <s v="Hospital São Lucas"/>
    <x v="2"/>
    <x v="2"/>
    <x v="1"/>
    <s v="Aspirador Cirúrgico de Secreção"/>
    <n v="4"/>
    <n v="25397.73"/>
    <n v="101590.92"/>
  </r>
  <r>
    <s v="2026-08-19"/>
    <s v="Hospital São Lucas"/>
    <x v="0"/>
    <x v="0"/>
    <x v="2"/>
    <s v="Eletrocardiógrafo"/>
    <n v="8"/>
    <n v="47413.47"/>
    <n v="379307.76"/>
  </r>
  <r>
    <s v="2026-08-19"/>
    <s v="Hospital Santa Maria"/>
    <x v="1"/>
    <x v="2"/>
    <x v="2"/>
    <s v="Aparelho de Raio-X Móvel"/>
    <n v="9"/>
    <n v="53184.52"/>
    <n v="478660.68"/>
  </r>
  <r>
    <s v="2026-08-19"/>
    <s v="Hospital Metropolitano"/>
    <x v="0"/>
    <x v="1"/>
    <x v="2"/>
    <s v="Monitor de Pressão Arterial 24h"/>
    <n v="3"/>
    <n v="44546.46"/>
    <n v="133639.38"/>
  </r>
  <r>
    <s v="2026-08-19"/>
    <s v="Centro Médico Avançado"/>
    <x v="2"/>
    <x v="0"/>
    <x v="1"/>
    <s v="Foco Cirúrgico LED"/>
    <n v="5"/>
    <n v="28558.080000000002"/>
    <n v="142790.39999999999"/>
  </r>
  <r>
    <s v="2026-08-20"/>
    <s v="Clínica Ortopédica Central"/>
    <x v="3"/>
    <x v="0"/>
    <x v="3"/>
    <s v="Monitor Multiparamétrico"/>
    <n v="8"/>
    <n v="28840.77"/>
    <n v="230726.16"/>
  </r>
  <r>
    <s v="2026-08-20"/>
    <s v="Hospital Metropolitano"/>
    <x v="0"/>
    <x v="4"/>
    <x v="3"/>
    <s v="Ventilador Pulmonar"/>
    <n v="3"/>
    <n v="28773.4"/>
    <n v="86320.2"/>
  </r>
  <r>
    <s v="2026-08-20"/>
    <s v="Hospital Santa Maria"/>
    <x v="3"/>
    <x v="4"/>
    <x v="3"/>
    <s v="Bomba de Infusão"/>
    <n v="7"/>
    <n v="35130.47"/>
    <n v="245913.29"/>
  </r>
  <r>
    <s v="2026-08-20"/>
    <s v="Clínica Ortopédica Central"/>
    <x v="3"/>
    <x v="2"/>
    <x v="2"/>
    <s v="Eletrocardiógrafo"/>
    <n v="8"/>
    <n v="50409.58"/>
    <n v="403276.64"/>
  </r>
  <r>
    <s v="2026-08-20"/>
    <s v="Hospital Metropolitano"/>
    <x v="4"/>
    <x v="0"/>
    <x v="1"/>
    <s v="Foco Cirúrgico LED"/>
    <n v="3"/>
    <n v="32506.12"/>
    <n v="97518.36"/>
  </r>
  <r>
    <s v="2026-08-20"/>
    <s v="Hospital São Lucas"/>
    <x v="0"/>
    <x v="4"/>
    <x v="2"/>
    <s v="Ultrassom Portátil"/>
    <n v="2"/>
    <n v="48270.28"/>
    <n v="96540.56"/>
  </r>
  <r>
    <s v="2026-08-20"/>
    <s v="Hospital Regional"/>
    <x v="0"/>
    <x v="1"/>
    <x v="3"/>
    <s v="Monitor Multiparamétrico"/>
    <n v="7"/>
    <n v="35465.72"/>
    <n v="248260.04"/>
  </r>
  <r>
    <s v="2026-08-21"/>
    <s v="Clínica Ortopédica Central"/>
    <x v="3"/>
    <x v="4"/>
    <x v="3"/>
    <s v="Ventilador Pulmonar"/>
    <n v="9"/>
    <n v="27373.02"/>
    <n v="246357.18"/>
  </r>
  <r>
    <s v="2026-08-21"/>
    <s v="Rede Saúde Total"/>
    <x v="2"/>
    <x v="4"/>
    <x v="1"/>
    <s v="Aspirador Cirúrgico de Secreção"/>
    <n v="1"/>
    <n v="25616.31"/>
    <n v="25616.31"/>
  </r>
  <r>
    <s v="2026-08-21"/>
    <s v="Rede Saúde Total"/>
    <x v="4"/>
    <x v="0"/>
    <x v="2"/>
    <s v="Monitor de Pressão Arterial 24h"/>
    <n v="3"/>
    <n v="55978.47"/>
    <n v="167935.41"/>
  </r>
  <r>
    <s v="2026-08-21"/>
    <s v="Clínica Vida"/>
    <x v="3"/>
    <x v="0"/>
    <x v="0"/>
    <s v="Cama Hospitalar Elétrica"/>
    <n v="5"/>
    <n v="7483.38"/>
    <n v="37416.9"/>
  </r>
  <r>
    <s v="2026-08-21"/>
    <s v="Clínica Ortopédica Central"/>
    <x v="1"/>
    <x v="3"/>
    <x v="0"/>
    <s v="Poltrona de Coleta"/>
    <n v="3"/>
    <n v="9532.8799999999992"/>
    <n v="28598.639999999999"/>
  </r>
  <r>
    <s v="2026-08-21"/>
    <s v="Hospital Regional"/>
    <x v="1"/>
    <x v="1"/>
    <x v="3"/>
    <s v="Ventilador Pulmonar"/>
    <n v="1"/>
    <n v="29453.86"/>
    <n v="29453.86"/>
  </r>
  <r>
    <s v="2026-08-22"/>
    <s v="Centro Médico Avançado"/>
    <x v="4"/>
    <x v="0"/>
    <x v="1"/>
    <s v="Mesa Cirúrgica Eletromecânica"/>
    <n v="7"/>
    <n v="31827.25"/>
    <n v="222790.75"/>
  </r>
  <r>
    <s v="2026-08-22"/>
    <s v="Hospital Santa Maria"/>
    <x v="2"/>
    <x v="2"/>
    <x v="2"/>
    <s v="Monitor de Pressão Arterial 24h"/>
    <n v="7"/>
    <n v="50957.83"/>
    <n v="356704.81"/>
  </r>
  <r>
    <s v="2026-08-22"/>
    <s v="Hospital São Lucas"/>
    <x v="3"/>
    <x v="1"/>
    <x v="2"/>
    <s v="Monitor de Pressão Arterial 24h"/>
    <n v="8"/>
    <n v="42465.58"/>
    <n v="339724.64"/>
  </r>
  <r>
    <s v="2026-08-22"/>
    <s v="Clínica Vida"/>
    <x v="0"/>
    <x v="1"/>
    <x v="3"/>
    <s v="Ventilador Pulmonar"/>
    <n v="5"/>
    <n v="30651.32"/>
    <n v="153256.6"/>
  </r>
  <r>
    <s v="2026-08-22"/>
    <s v="Rede Saúde Total"/>
    <x v="4"/>
    <x v="0"/>
    <x v="3"/>
    <s v="Desfibrilador Externo"/>
    <n v="5"/>
    <n v="35581.07"/>
    <n v="177905.35"/>
  </r>
  <r>
    <s v="2026-08-22"/>
    <s v="Hospital Santa Maria"/>
    <x v="2"/>
    <x v="1"/>
    <x v="2"/>
    <s v="Eletrocardiógrafo"/>
    <n v="5"/>
    <n v="45271.55"/>
    <n v="226357.75"/>
  </r>
  <r>
    <s v="2026-08-23"/>
    <s v="Hospital Santa Maria"/>
    <x v="0"/>
    <x v="0"/>
    <x v="2"/>
    <s v="Aparelho de Raio-X Móvel"/>
    <n v="1"/>
    <n v="41751.86"/>
    <n v="41751.86"/>
  </r>
  <r>
    <s v="2026-08-23"/>
    <s v="Hospital São Lucas"/>
    <x v="1"/>
    <x v="4"/>
    <x v="3"/>
    <s v="Monitor Multiparamétrico"/>
    <n v="5"/>
    <n v="36565.5"/>
    <n v="182827.5"/>
  </r>
  <r>
    <s v="2026-08-23"/>
    <s v="Centro Médico Avançado"/>
    <x v="1"/>
    <x v="3"/>
    <x v="2"/>
    <s v="Monitor de Pressão Arterial 24h"/>
    <n v="6"/>
    <n v="41024.660000000003"/>
    <n v="246147.96"/>
  </r>
  <r>
    <s v="2026-08-23"/>
    <s v="Centro Médico Avançado"/>
    <x v="0"/>
    <x v="4"/>
    <x v="0"/>
    <s v="Poltrona de Coleta"/>
    <n v="1"/>
    <n v="10134.19"/>
    <n v="10134.19"/>
  </r>
  <r>
    <s v="2026-08-23"/>
    <s v="Clínica Ortopédica Central"/>
    <x v="4"/>
    <x v="0"/>
    <x v="3"/>
    <s v="Bomba de Infusão"/>
    <n v="7"/>
    <n v="33787.769999999997"/>
    <n v="236514.39"/>
  </r>
  <r>
    <s v="2026-08-23"/>
    <s v="Rede Saúde Total"/>
    <x v="1"/>
    <x v="0"/>
    <x v="2"/>
    <s v="Eletrocardiógrafo"/>
    <n v="1"/>
    <n v="40152.61"/>
    <n v="40152.61"/>
  </r>
  <r>
    <s v="2026-08-24"/>
    <s v="Centro Médico Avançado"/>
    <x v="3"/>
    <x v="4"/>
    <x v="3"/>
    <s v="Desfibrilador Externo"/>
    <n v="2"/>
    <n v="36084.129999999997"/>
    <n v="72168.259999999995"/>
  </r>
  <r>
    <s v="2026-08-24"/>
    <s v="Hospital Regional"/>
    <x v="0"/>
    <x v="2"/>
    <x v="1"/>
    <s v="Aspirador Cirúrgico de Secreção"/>
    <n v="2"/>
    <n v="29614.63"/>
    <n v="59229.26"/>
  </r>
  <r>
    <s v="2026-08-24"/>
    <s v="Centro Médico Avançado"/>
    <x v="0"/>
    <x v="2"/>
    <x v="3"/>
    <s v="Bomba de Infusão"/>
    <n v="5"/>
    <n v="31015.14"/>
    <n v="155075.70000000001"/>
  </r>
  <r>
    <s v="2026-08-24"/>
    <s v="Hospital Santa Maria"/>
    <x v="1"/>
    <x v="2"/>
    <x v="3"/>
    <s v="Ventilador Pulmonar"/>
    <n v="7"/>
    <n v="32608.5"/>
    <n v="228259.5"/>
  </r>
  <r>
    <s v="2026-08-24"/>
    <s v="Hospital São Lucas"/>
    <x v="4"/>
    <x v="0"/>
    <x v="1"/>
    <s v="Bisturi Eletrônico"/>
    <n v="1"/>
    <n v="27141.38"/>
    <n v="27141.38"/>
  </r>
  <r>
    <s v="2026-08-24"/>
    <s v="Hospital Regional"/>
    <x v="3"/>
    <x v="1"/>
    <x v="0"/>
    <s v="Cama Hospitalar Elétrica"/>
    <n v="1"/>
    <n v="8119.29"/>
    <n v="8119.29"/>
  </r>
  <r>
    <s v="2026-08-25"/>
    <s v="Clínica Ortopédica Central"/>
    <x v="4"/>
    <x v="0"/>
    <x v="2"/>
    <s v="Aparelho de Raio-X Móvel"/>
    <n v="1"/>
    <n v="41194.949999999997"/>
    <n v="41194.949999999997"/>
  </r>
  <r>
    <s v="2026-08-25"/>
    <s v="Rede Saúde Total"/>
    <x v="2"/>
    <x v="1"/>
    <x v="1"/>
    <s v="Mesa Cirúrgica Eletromecânica"/>
    <n v="6"/>
    <n v="27862.99"/>
    <n v="167177.94"/>
  </r>
  <r>
    <s v="2026-08-25"/>
    <s v="Clínica Ortopédica Central"/>
    <x v="2"/>
    <x v="4"/>
    <x v="3"/>
    <s v="Bomba de Infusão"/>
    <n v="2"/>
    <n v="30412.639999999999"/>
    <n v="60825.279999999999"/>
  </r>
  <r>
    <s v="2026-08-25"/>
    <s v="Hospital Santa Maria"/>
    <x v="1"/>
    <x v="3"/>
    <x v="2"/>
    <s v="Ultrassom Portátil"/>
    <n v="1"/>
    <n v="50551.82"/>
    <n v="50551.82"/>
  </r>
  <r>
    <s v="2026-08-25"/>
    <s v="Hospital Regional"/>
    <x v="1"/>
    <x v="1"/>
    <x v="1"/>
    <s v="Bisturi Eletrônico"/>
    <n v="6"/>
    <n v="31459.42"/>
    <n v="188756.52"/>
  </r>
  <r>
    <s v="2026-08-25"/>
    <s v="Hospital Regional"/>
    <x v="1"/>
    <x v="2"/>
    <x v="2"/>
    <s v="Eletrocardiógrafo"/>
    <n v="2"/>
    <n v="47283.12"/>
    <n v="94566.24"/>
  </r>
  <r>
    <s v="2026-08-26"/>
    <s v="Hospital Regional"/>
    <x v="2"/>
    <x v="0"/>
    <x v="2"/>
    <s v="Ultrassom Portátil"/>
    <n v="6"/>
    <n v="52253"/>
    <n v="313518"/>
  </r>
  <r>
    <s v="2026-08-26"/>
    <s v="Hospital Santa Maria"/>
    <x v="4"/>
    <x v="4"/>
    <x v="1"/>
    <s v="Bisturi Eletrônico"/>
    <n v="8"/>
    <n v="33223"/>
    <n v="265784"/>
  </r>
  <r>
    <s v="2026-08-26"/>
    <s v="Hospital Santa Maria"/>
    <x v="4"/>
    <x v="2"/>
    <x v="2"/>
    <s v="Aparelho de Raio-X Móvel"/>
    <n v="2"/>
    <n v="48685.8"/>
    <n v="97371.6"/>
  </r>
  <r>
    <s v="2026-08-26"/>
    <s v="Clínica Ortopédica Central"/>
    <x v="1"/>
    <x v="4"/>
    <x v="0"/>
    <s v="Poltrona de Coleta"/>
    <n v="9"/>
    <n v="9329.3799999999992"/>
    <n v="83964.42"/>
  </r>
  <r>
    <s v="2026-08-26"/>
    <s v="Clínica Vida"/>
    <x v="3"/>
    <x v="3"/>
    <x v="1"/>
    <s v="Aspirador Cirúrgico de Secreção"/>
    <n v="8"/>
    <n v="26968.32"/>
    <n v="215746.56"/>
  </r>
  <r>
    <s v="2026-08-26"/>
    <s v="Clínica Ortopédica Central"/>
    <x v="4"/>
    <x v="0"/>
    <x v="0"/>
    <s v="Carro de Emergência (Crash Cart)"/>
    <n v="1"/>
    <n v="10267.56"/>
    <n v="10267.56"/>
  </r>
  <r>
    <s v="2026-08-26"/>
    <s v="Rede Saúde Total"/>
    <x v="2"/>
    <x v="0"/>
    <x v="3"/>
    <s v="Ventilador Pulmonar"/>
    <n v="7"/>
    <n v="27509.84"/>
    <n v="192568.88"/>
  </r>
  <r>
    <s v="2026-08-27"/>
    <s v="Hospital São Lucas"/>
    <x v="0"/>
    <x v="3"/>
    <x v="2"/>
    <s v="Ultrassom Portátil"/>
    <n v="6"/>
    <n v="44524.84"/>
    <n v="267149.03999999998"/>
  </r>
  <r>
    <s v="2026-08-27"/>
    <s v="Hospital Regional"/>
    <x v="0"/>
    <x v="0"/>
    <x v="3"/>
    <s v="Monitor Multiparamétrico"/>
    <n v="6"/>
    <n v="36439.050000000003"/>
    <n v="218634.3"/>
  </r>
  <r>
    <s v="2026-08-27"/>
    <s v="Clínica Vida"/>
    <x v="0"/>
    <x v="1"/>
    <x v="3"/>
    <s v="Ventilador Pulmonar"/>
    <n v="6"/>
    <n v="28225.15"/>
    <n v="169350.9"/>
  </r>
  <r>
    <s v="2026-08-27"/>
    <s v="Hospital São Lucas"/>
    <x v="3"/>
    <x v="4"/>
    <x v="2"/>
    <s v="Ultrassom Portátil"/>
    <n v="6"/>
    <n v="41547.050000000003"/>
    <n v="249282.3"/>
  </r>
  <r>
    <s v="2026-08-27"/>
    <s v="Clínica Vida"/>
    <x v="1"/>
    <x v="2"/>
    <x v="1"/>
    <s v="Mesa Cirúrgica Eletromecânica"/>
    <n v="7"/>
    <n v="30400"/>
    <n v="212800"/>
  </r>
  <r>
    <s v="2026-08-27"/>
    <s v="Centro Médico Avançado"/>
    <x v="2"/>
    <x v="3"/>
    <x v="2"/>
    <s v="Eletrocardiógrafo"/>
    <n v="3"/>
    <n v="48329.89"/>
    <n v="144989.67000000001"/>
  </r>
  <r>
    <s v="2026-08-28"/>
    <s v="Centro Médico Avançado"/>
    <x v="3"/>
    <x v="1"/>
    <x v="3"/>
    <s v="Desfibrilador Externo"/>
    <n v="6"/>
    <n v="36658.28"/>
    <n v="219949.68"/>
  </r>
  <r>
    <s v="2026-08-28"/>
    <s v="Hospital Metropolitano"/>
    <x v="2"/>
    <x v="2"/>
    <x v="3"/>
    <s v="Monitor Multiparamétrico"/>
    <n v="3"/>
    <n v="37601.440000000002"/>
    <n v="112804.32"/>
  </r>
  <r>
    <s v="2026-08-28"/>
    <s v="Centro Médico Avançado"/>
    <x v="2"/>
    <x v="2"/>
    <x v="1"/>
    <s v="Bisturi Eletrônico"/>
    <n v="7"/>
    <n v="25240.09"/>
    <n v="176680.63"/>
  </r>
  <r>
    <s v="2026-08-28"/>
    <s v="Clínica Ortopédica Central"/>
    <x v="1"/>
    <x v="3"/>
    <x v="2"/>
    <s v="Aparelho de Raio-X Móvel"/>
    <n v="7"/>
    <n v="38580.86"/>
    <n v="270066.02"/>
  </r>
  <r>
    <s v="2026-08-28"/>
    <s v="Centro Médico Avançado"/>
    <x v="0"/>
    <x v="1"/>
    <x v="3"/>
    <s v="Bomba de Infusão"/>
    <n v="8"/>
    <n v="36027.370000000003"/>
    <n v="288218.96000000002"/>
  </r>
  <r>
    <s v="2026-08-28"/>
    <s v="Hospital Santa Maria"/>
    <x v="1"/>
    <x v="2"/>
    <x v="0"/>
    <s v="Maca de Transporte"/>
    <n v="2"/>
    <n v="8249.73"/>
    <n v="16499.46"/>
  </r>
  <r>
    <s v="2026-08-29"/>
    <s v="Hospital Regional"/>
    <x v="3"/>
    <x v="2"/>
    <x v="3"/>
    <s v="Bomba de Infusão"/>
    <n v="9"/>
    <n v="35212.589999999997"/>
    <n v="316913.31"/>
  </r>
  <r>
    <s v="2026-08-29"/>
    <s v="Clínica Ortopédica Central"/>
    <x v="3"/>
    <x v="1"/>
    <x v="3"/>
    <s v="Monitor Multiparamétrico"/>
    <n v="5"/>
    <n v="29126.97"/>
    <n v="145634.85"/>
  </r>
  <r>
    <s v="2026-08-29"/>
    <s v="Hospital São Lucas"/>
    <x v="3"/>
    <x v="0"/>
    <x v="1"/>
    <s v="Bisturi Eletrônico"/>
    <n v="9"/>
    <n v="29053.25"/>
    <n v="261479.25"/>
  </r>
  <r>
    <s v="2026-08-29"/>
    <s v="Hospital Metropolitano"/>
    <x v="1"/>
    <x v="2"/>
    <x v="0"/>
    <s v="Maca de Transporte"/>
    <n v="5"/>
    <n v="8940.0400000000009"/>
    <n v="44700.2"/>
  </r>
  <r>
    <s v="2026-08-29"/>
    <s v="Hospital Metropolitano"/>
    <x v="2"/>
    <x v="4"/>
    <x v="3"/>
    <s v="Desfibrilador Externo"/>
    <n v="7"/>
    <n v="34689"/>
    <n v="242823"/>
  </r>
  <r>
    <s v="2026-08-29"/>
    <s v="Hospital Metropolitano"/>
    <x v="2"/>
    <x v="1"/>
    <x v="3"/>
    <s v="Desfibrilador Externo"/>
    <n v="9"/>
    <n v="33768.58"/>
    <n v="303917.21999999997"/>
  </r>
  <r>
    <s v="2026-08-30"/>
    <s v="Hospital São Lucas"/>
    <x v="4"/>
    <x v="2"/>
    <x v="0"/>
    <s v="Cama Hospitalar Elétrica"/>
    <n v="4"/>
    <n v="8910.35"/>
    <n v="35641.4"/>
  </r>
  <r>
    <s v="2026-08-30"/>
    <s v="Hospital São Lucas"/>
    <x v="3"/>
    <x v="3"/>
    <x v="2"/>
    <s v="Eletrocardiógrafo"/>
    <n v="2"/>
    <n v="44239.21"/>
    <n v="88478.42"/>
  </r>
  <r>
    <s v="2026-08-30"/>
    <s v="Hospital São Lucas"/>
    <x v="2"/>
    <x v="4"/>
    <x v="2"/>
    <s v="Aparelho de Raio-X Móvel"/>
    <n v="9"/>
    <n v="39531.24"/>
    <n v="355781.16"/>
  </r>
  <r>
    <s v="2026-08-30"/>
    <s v="Hospital São Lucas"/>
    <x v="4"/>
    <x v="2"/>
    <x v="3"/>
    <s v="Bomba de Infusão"/>
    <n v="2"/>
    <n v="28345.86"/>
    <n v="56691.72"/>
  </r>
  <r>
    <s v="2026-08-30"/>
    <s v="Hospital Metropolitano"/>
    <x v="2"/>
    <x v="4"/>
    <x v="3"/>
    <s v="Desfibrilador Externo"/>
    <n v="3"/>
    <n v="32752.36"/>
    <n v="98257.08"/>
  </r>
  <r>
    <s v="2026-08-30"/>
    <s v="Hospital Metropolitano"/>
    <x v="3"/>
    <x v="4"/>
    <x v="2"/>
    <s v="Eletrocardiógrafo"/>
    <n v="2"/>
    <n v="44654.28"/>
    <n v="89308.56"/>
  </r>
  <r>
    <s v="2026-08-31"/>
    <s v="Clínica Vida"/>
    <x v="0"/>
    <x v="0"/>
    <x v="1"/>
    <s v="Mesa Cirúrgica Eletromecânica"/>
    <n v="3"/>
    <n v="29580.71"/>
    <n v="88742.13"/>
  </r>
  <r>
    <s v="2026-08-31"/>
    <s v="Clínica Ortopédica Central"/>
    <x v="3"/>
    <x v="4"/>
    <x v="0"/>
    <s v="Carro de Emergência (Crash Cart)"/>
    <n v="6"/>
    <n v="8261.4500000000007"/>
    <n v="49568.7"/>
  </r>
  <r>
    <s v="2026-08-31"/>
    <s v="Hospital Regional"/>
    <x v="1"/>
    <x v="0"/>
    <x v="0"/>
    <s v="Maca de Transporte"/>
    <n v="3"/>
    <n v="9563.89"/>
    <n v="28691.67"/>
  </r>
  <r>
    <s v="2026-08-31"/>
    <s v="Centro Médico Avançado"/>
    <x v="2"/>
    <x v="1"/>
    <x v="1"/>
    <s v="Aspirador Cirúrgico de Secreção"/>
    <n v="8"/>
    <n v="33476.29"/>
    <n v="267810.32"/>
  </r>
  <r>
    <s v="2026-08-31"/>
    <s v="Centro Médico Avançado"/>
    <x v="2"/>
    <x v="0"/>
    <x v="1"/>
    <s v="Aspirador Cirúrgico de Secreção"/>
    <n v="6"/>
    <n v="27147.27"/>
    <n v="162883.62"/>
  </r>
  <r>
    <s v="2026-08-31"/>
    <s v="Hospital Santa Maria"/>
    <x v="1"/>
    <x v="3"/>
    <x v="1"/>
    <s v="Aspirador Cirúrgico de Secreção"/>
    <n v="7"/>
    <n v="25961.42"/>
    <n v="181729.94"/>
  </r>
  <r>
    <s v="2026-09-01"/>
    <s v="Hospital Metropolitano"/>
    <x v="1"/>
    <x v="2"/>
    <x v="1"/>
    <s v="Foco Cirúrgico LED"/>
    <n v="1"/>
    <n v="25101.22"/>
    <n v="25101.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1C289-EDF4-4998-AF66-AD6B7AAF8575}" name="Tabela dinâ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3:M9" firstHeaderRow="1" firstDataRow="1" firstDataCol="1" rowPageCount="1" colPageCount="1"/>
  <pivotFields count="9">
    <pivotField showAll="0"/>
    <pivotField showAll="0"/>
    <pivotField showAll="0"/>
    <pivotField axis="axisRow" showAll="0">
      <items count="6">
        <item x="2"/>
        <item x="4"/>
        <item x="3"/>
        <item x="0"/>
        <item x="1"/>
        <item t="default"/>
      </items>
    </pivotField>
    <pivotField axis="axisPage" showAll="0">
      <items count="5">
        <item x="1"/>
        <item x="2"/>
        <item x="0"/>
        <item x="3"/>
        <item t="default"/>
      </items>
    </pivotField>
    <pivotField showAll="0"/>
    <pivotField numFmtId="1" showAll="0"/>
    <pivotField numFmtId="44" showAll="0"/>
    <pivotField dataField="1" numFmtId="44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4" item="1" hier="-1"/>
  </pageFields>
  <dataFields count="1">
    <dataField name="Soma de Faturamento_Total" fld="8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5CE727-45B1-4554-8D54-AD3F95195AF8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G9" firstHeaderRow="1" firstDataRow="2" firstDataCol="1"/>
  <pivotFields count="9">
    <pivotField showAll="0"/>
    <pivotField showAll="0"/>
    <pivotField axis="axisCol" showAll="0">
      <items count="6">
        <item x="2"/>
        <item x="0"/>
        <item x="3"/>
        <item x="4"/>
        <item x="1"/>
        <item t="default"/>
      </items>
    </pivotField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numFmtId="1" showAll="0"/>
    <pivotField dataField="1" numFmtId="44" showAll="0"/>
    <pivotField numFmtId="44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Preco_Unitario" fld="7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ia" xr10:uid="{0214817B-60A0-4F1A-8179-604CD41BDBFD}" sourceName="Categoria">
  <pivotTables>
    <pivotTable tabId="2" name="Tabela dinâmica1"/>
  </pivotTables>
  <data>
    <tabular pivotCacheId="1347900764">
      <items count="4">
        <i x="1" s="1"/>
        <i x="2" s="1"/>
        <i x="0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" xr10:uid="{4956E391-DF12-423E-83B0-4C24E0F1998A}" cache="SegmentaçãodeDados_Categoria" caption="Categoria" style="SlicerStyleOther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5A3623-9871-4CDE-A6E3-CA3C6B6B248E}" name="Tabela1" displayName="Tabela1" ref="A1:I3001" totalsRowShown="0" headerRowDxfId="2" headerRowBorderDxfId="3" tableBorderDxfId="4">
  <autoFilter ref="A1:I3001" xr:uid="{B35A3623-9871-4CDE-A6E3-CA3C6B6B248E}"/>
  <tableColumns count="9">
    <tableColumn id="1" xr3:uid="{75FA1E98-8CE4-468D-AC8E-19A01D3E0F07}" name="Data_Venda" dataDxfId="1"/>
    <tableColumn id="2" xr3:uid="{E60C3857-678A-4026-894A-424B16313098}" name="Hospital_Cliente"/>
    <tableColumn id="3" xr3:uid="{94587693-C93E-45ED-BF00-D7B091933CE5}" name="Regiao"/>
    <tableColumn id="4" xr3:uid="{367DEE74-C41D-4058-810D-B1C2813458C9}" name="Vendedor"/>
    <tableColumn id="5" xr3:uid="{FF79E8CA-3F2B-42B5-9E82-D1B2885042A7}" name="Categoria"/>
    <tableColumn id="6" xr3:uid="{0E1A021B-1F17-475B-829A-95B70E0F5C9D}" name="Equipamento"/>
    <tableColumn id="7" xr3:uid="{56984584-B61E-409D-A552-7D85B1245C04}" name="Quantidade" dataDxfId="0"/>
    <tableColumn id="8" xr3:uid="{1E611510-D90B-4D96-B61A-F86F80506D13}" name="Preco_Unitario" dataCellStyle="Moeda"/>
    <tableColumn id="9" xr3:uid="{59330E34-1B83-4901-A4AD-572FCB3995C7}" name="Faturamento_Total" dataCellStyle="Mo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59188-FAFD-41EC-98E5-62D9F7F8B462}">
  <dimension ref="A1:M12"/>
  <sheetViews>
    <sheetView tabSelected="1" workbookViewId="0">
      <selection activeCell="F12" sqref="F12"/>
    </sheetView>
  </sheetViews>
  <sheetFormatPr defaultRowHeight="14.4" x14ac:dyDescent="0.3"/>
  <cols>
    <col min="1" max="1" width="17.21875" bestFit="1" customWidth="1"/>
    <col min="2" max="2" width="18.5546875" bestFit="1" customWidth="1"/>
    <col min="3" max="7" width="16.6640625" bestFit="1" customWidth="1"/>
    <col min="12" max="12" width="17.21875" bestFit="1" customWidth="1"/>
    <col min="13" max="13" width="25.21875" bestFit="1" customWidth="1"/>
  </cols>
  <sheetData>
    <row r="1" spans="1:13" x14ac:dyDescent="0.3">
      <c r="L1" s="8" t="s">
        <v>4</v>
      </c>
      <c r="M1" t="s">
        <v>273</v>
      </c>
    </row>
    <row r="3" spans="1:13" x14ac:dyDescent="0.3">
      <c r="A3" s="8" t="s">
        <v>294</v>
      </c>
      <c r="B3" s="8" t="s">
        <v>293</v>
      </c>
      <c r="L3" s="8" t="s">
        <v>291</v>
      </c>
      <c r="M3" t="s">
        <v>295</v>
      </c>
    </row>
    <row r="4" spans="1:13" x14ac:dyDescent="0.3">
      <c r="A4" s="8" t="s">
        <v>291</v>
      </c>
      <c r="B4" t="s">
        <v>263</v>
      </c>
      <c r="C4" t="s">
        <v>261</v>
      </c>
      <c r="D4" t="s">
        <v>264</v>
      </c>
      <c r="E4" t="s">
        <v>265</v>
      </c>
      <c r="F4" t="s">
        <v>262</v>
      </c>
      <c r="G4" t="s">
        <v>292</v>
      </c>
      <c r="L4" s="9" t="s">
        <v>268</v>
      </c>
      <c r="M4" s="10">
        <v>35195182.76000002</v>
      </c>
    </row>
    <row r="5" spans="1:13" x14ac:dyDescent="0.3">
      <c r="A5" s="9" t="s">
        <v>272</v>
      </c>
      <c r="B5" s="10">
        <v>4771816.0600000005</v>
      </c>
      <c r="C5" s="10">
        <v>4591870.7799999975</v>
      </c>
      <c r="D5" s="10">
        <v>4391582.1799999988</v>
      </c>
      <c r="E5" s="10">
        <v>4316403.7999999989</v>
      </c>
      <c r="F5" s="10">
        <v>4504610.6400000006</v>
      </c>
      <c r="G5" s="10">
        <v>22576283.459999993</v>
      </c>
      <c r="L5" s="9" t="s">
        <v>270</v>
      </c>
      <c r="M5" s="10">
        <v>36720684.960000008</v>
      </c>
    </row>
    <row r="6" spans="1:13" x14ac:dyDescent="0.3">
      <c r="A6" s="9" t="s">
        <v>273</v>
      </c>
      <c r="B6" s="10">
        <v>7350952.6000000006</v>
      </c>
      <c r="C6" s="10">
        <v>5052280.18</v>
      </c>
      <c r="D6" s="10">
        <v>7330272.6600000048</v>
      </c>
      <c r="E6" s="10">
        <v>7738048.3599999994</v>
      </c>
      <c r="F6" s="10">
        <v>7629665.7199999997</v>
      </c>
      <c r="G6" s="10">
        <v>35101219.520000003</v>
      </c>
      <c r="L6" s="9" t="s">
        <v>269</v>
      </c>
      <c r="M6" s="10">
        <v>29843379.539999999</v>
      </c>
    </row>
    <row r="7" spans="1:13" x14ac:dyDescent="0.3">
      <c r="A7" s="9" t="s">
        <v>271</v>
      </c>
      <c r="B7" s="10">
        <v>1230633.9999999998</v>
      </c>
      <c r="C7" s="10">
        <v>1198515.5399999996</v>
      </c>
      <c r="D7" s="10">
        <v>1454361.7799999991</v>
      </c>
      <c r="E7" s="10">
        <v>1279198.4400000004</v>
      </c>
      <c r="F7" s="10">
        <v>1537538.5999999999</v>
      </c>
      <c r="G7" s="10">
        <v>6700248.3599999985</v>
      </c>
      <c r="L7" s="9" t="s">
        <v>266</v>
      </c>
      <c r="M7" s="10">
        <v>35568253.079999998</v>
      </c>
    </row>
    <row r="8" spans="1:13" x14ac:dyDescent="0.3">
      <c r="A8" s="9" t="s">
        <v>274</v>
      </c>
      <c r="B8" s="10">
        <v>4920656.18</v>
      </c>
      <c r="C8" s="10">
        <v>5161754.5399999991</v>
      </c>
      <c r="D8" s="10">
        <v>5320940.1999999983</v>
      </c>
      <c r="E8" s="10">
        <v>4531463.580000001</v>
      </c>
      <c r="F8" s="10">
        <v>4819467.6600000029</v>
      </c>
      <c r="G8" s="10">
        <v>24754282.160000004</v>
      </c>
      <c r="L8" s="9" t="s">
        <v>267</v>
      </c>
      <c r="M8" s="10">
        <v>42203459.359999992</v>
      </c>
    </row>
    <row r="9" spans="1:13" x14ac:dyDescent="0.3">
      <c r="A9" s="9" t="s">
        <v>292</v>
      </c>
      <c r="B9" s="10">
        <v>18274058.84</v>
      </c>
      <c r="C9" s="10">
        <v>16004421.039999995</v>
      </c>
      <c r="D9" s="10">
        <v>18497156.82</v>
      </c>
      <c r="E9" s="10">
        <v>17865114.18</v>
      </c>
      <c r="F9" s="10">
        <v>18491282.620000001</v>
      </c>
      <c r="G9" s="10">
        <v>89132033.5</v>
      </c>
      <c r="L9" s="9" t="s">
        <v>292</v>
      </c>
      <c r="M9" s="10">
        <v>179530959.70000002</v>
      </c>
    </row>
    <row r="12" spans="1:13" x14ac:dyDescent="0.3">
      <c r="F12">
        <f>SUMIFS(Tabela1[Faturamento_Total],Tabela1[Vendedor],"Ana Souza", Tabela1[Regiao],"Sudeste")</f>
        <v>16907921.059999991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01"/>
  <sheetViews>
    <sheetView topLeftCell="A2850" workbookViewId="0">
      <selection activeCell="E11" sqref="E11"/>
    </sheetView>
  </sheetViews>
  <sheetFormatPr defaultRowHeight="14.4" x14ac:dyDescent="0.3"/>
  <cols>
    <col min="1" max="1" width="15.77734375" style="5" bestFit="1" customWidth="1"/>
    <col min="2" max="2" width="22.5546875" bestFit="1" customWidth="1"/>
    <col min="3" max="3" width="12" bestFit="1" customWidth="1"/>
    <col min="4" max="4" width="13.77734375" bestFit="1" customWidth="1"/>
    <col min="5" max="5" width="19.21875" bestFit="1" customWidth="1"/>
    <col min="6" max="6" width="28.33203125" bestFit="1" customWidth="1"/>
    <col min="7" max="7" width="12.77734375" style="7" customWidth="1"/>
    <col min="8" max="8" width="15.44140625" customWidth="1"/>
    <col min="9" max="9" width="19" style="3" customWidth="1"/>
  </cols>
  <sheetData>
    <row r="1" spans="1:9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2" t="s">
        <v>7</v>
      </c>
      <c r="I1" s="2" t="s">
        <v>8</v>
      </c>
    </row>
    <row r="2" spans="1:9" x14ac:dyDescent="0.3">
      <c r="A2" s="5" t="s">
        <v>9</v>
      </c>
      <c r="B2" t="s">
        <v>253</v>
      </c>
      <c r="C2" t="s">
        <v>261</v>
      </c>
      <c r="D2" t="s">
        <v>266</v>
      </c>
      <c r="E2" t="s">
        <v>271</v>
      </c>
      <c r="F2" t="s">
        <v>275</v>
      </c>
      <c r="G2" s="7">
        <v>4</v>
      </c>
      <c r="H2" s="3">
        <v>9655.65</v>
      </c>
      <c r="I2" s="3">
        <v>38622.6</v>
      </c>
    </row>
    <row r="3" spans="1:9" x14ac:dyDescent="0.3">
      <c r="A3" s="5" t="s">
        <v>9</v>
      </c>
      <c r="B3" t="s">
        <v>254</v>
      </c>
      <c r="C3" t="s">
        <v>261</v>
      </c>
      <c r="D3" t="s">
        <v>267</v>
      </c>
      <c r="E3" t="s">
        <v>272</v>
      </c>
      <c r="F3" t="s">
        <v>276</v>
      </c>
      <c r="G3" s="7">
        <v>9</v>
      </c>
      <c r="H3" s="3">
        <v>28614.26</v>
      </c>
      <c r="I3" s="3">
        <v>257528.34</v>
      </c>
    </row>
    <row r="4" spans="1:9" x14ac:dyDescent="0.3">
      <c r="A4" s="5" t="s">
        <v>9</v>
      </c>
      <c r="B4" t="s">
        <v>255</v>
      </c>
      <c r="C4" t="s">
        <v>261</v>
      </c>
      <c r="D4" t="s">
        <v>267</v>
      </c>
      <c r="E4" t="s">
        <v>272</v>
      </c>
      <c r="F4" t="s">
        <v>277</v>
      </c>
      <c r="G4" s="7">
        <v>7</v>
      </c>
      <c r="H4" s="3">
        <v>27232.15</v>
      </c>
      <c r="I4" s="3">
        <v>190625.05</v>
      </c>
    </row>
    <row r="5" spans="1:9" x14ac:dyDescent="0.3">
      <c r="A5" s="5" t="s">
        <v>9</v>
      </c>
      <c r="B5" t="s">
        <v>253</v>
      </c>
      <c r="C5" t="s">
        <v>262</v>
      </c>
      <c r="D5" t="s">
        <v>266</v>
      </c>
      <c r="E5" t="s">
        <v>271</v>
      </c>
      <c r="F5" t="s">
        <v>275</v>
      </c>
      <c r="G5" s="7">
        <v>3</v>
      </c>
      <c r="H5" s="3">
        <v>10496.52</v>
      </c>
      <c r="I5" s="3">
        <v>31489.56</v>
      </c>
    </row>
    <row r="6" spans="1:9" x14ac:dyDescent="0.3">
      <c r="A6" s="5" t="s">
        <v>9</v>
      </c>
      <c r="B6" t="s">
        <v>256</v>
      </c>
      <c r="C6" t="s">
        <v>263</v>
      </c>
      <c r="D6" t="s">
        <v>268</v>
      </c>
      <c r="E6" t="s">
        <v>273</v>
      </c>
      <c r="F6" t="s">
        <v>278</v>
      </c>
      <c r="G6" s="7">
        <v>7</v>
      </c>
      <c r="H6" s="3">
        <v>55610.79</v>
      </c>
      <c r="I6" s="3">
        <v>389275.53</v>
      </c>
    </row>
    <row r="7" spans="1:9" x14ac:dyDescent="0.3">
      <c r="A7" s="5" t="s">
        <v>9</v>
      </c>
      <c r="B7" t="s">
        <v>257</v>
      </c>
      <c r="C7" t="s">
        <v>264</v>
      </c>
      <c r="D7" t="s">
        <v>266</v>
      </c>
      <c r="E7" t="s">
        <v>272</v>
      </c>
      <c r="F7" t="s">
        <v>276</v>
      </c>
      <c r="G7" s="7">
        <v>1</v>
      </c>
      <c r="H7" s="3">
        <v>27041.69</v>
      </c>
      <c r="I7" s="3">
        <v>27041.69</v>
      </c>
    </row>
    <row r="8" spans="1:9" x14ac:dyDescent="0.3">
      <c r="A8" s="5" t="s">
        <v>9</v>
      </c>
      <c r="B8" t="s">
        <v>255</v>
      </c>
      <c r="C8" t="s">
        <v>265</v>
      </c>
      <c r="D8" t="s">
        <v>269</v>
      </c>
      <c r="E8" t="s">
        <v>273</v>
      </c>
      <c r="F8" t="s">
        <v>279</v>
      </c>
      <c r="G8" s="7">
        <v>3</v>
      </c>
      <c r="H8" s="3">
        <v>46883.25</v>
      </c>
      <c r="I8" s="3">
        <v>140649.75</v>
      </c>
    </row>
    <row r="9" spans="1:9" x14ac:dyDescent="0.3">
      <c r="A9" s="5" t="s">
        <v>10</v>
      </c>
      <c r="B9" t="s">
        <v>255</v>
      </c>
      <c r="C9" t="s">
        <v>263</v>
      </c>
      <c r="D9" t="s">
        <v>267</v>
      </c>
      <c r="E9" t="s">
        <v>272</v>
      </c>
      <c r="F9" t="s">
        <v>277</v>
      </c>
      <c r="G9" s="7">
        <v>6</v>
      </c>
      <c r="H9" s="3">
        <v>34695.85</v>
      </c>
      <c r="I9" s="3">
        <v>208175.1</v>
      </c>
    </row>
    <row r="10" spans="1:9" x14ac:dyDescent="0.3">
      <c r="A10" s="5" t="s">
        <v>10</v>
      </c>
      <c r="B10" t="s">
        <v>253</v>
      </c>
      <c r="C10" t="s">
        <v>261</v>
      </c>
      <c r="D10" t="s">
        <v>270</v>
      </c>
      <c r="E10" t="s">
        <v>274</v>
      </c>
      <c r="F10" t="s">
        <v>280</v>
      </c>
      <c r="G10" s="7">
        <v>4</v>
      </c>
      <c r="H10" s="3">
        <v>27262.32</v>
      </c>
      <c r="I10" s="3">
        <v>109049.28</v>
      </c>
    </row>
    <row r="11" spans="1:9" x14ac:dyDescent="0.3">
      <c r="A11" s="5" t="s">
        <v>10</v>
      </c>
      <c r="B11" t="s">
        <v>258</v>
      </c>
      <c r="C11" t="s">
        <v>263</v>
      </c>
      <c r="D11" t="s">
        <v>269</v>
      </c>
      <c r="E11" t="s">
        <v>272</v>
      </c>
      <c r="F11" t="s">
        <v>276</v>
      </c>
      <c r="G11" s="7">
        <v>7</v>
      </c>
      <c r="H11" s="3">
        <v>28422</v>
      </c>
      <c r="I11" s="3">
        <v>198954</v>
      </c>
    </row>
    <row r="12" spans="1:9" x14ac:dyDescent="0.3">
      <c r="A12" s="5" t="s">
        <v>10</v>
      </c>
      <c r="B12" t="s">
        <v>256</v>
      </c>
      <c r="C12" t="s">
        <v>264</v>
      </c>
      <c r="D12" t="s">
        <v>267</v>
      </c>
      <c r="E12" t="s">
        <v>271</v>
      </c>
      <c r="F12" t="s">
        <v>281</v>
      </c>
      <c r="G12" s="7">
        <v>3</v>
      </c>
      <c r="H12" s="3">
        <v>7566.56</v>
      </c>
      <c r="I12" s="3">
        <v>22699.68</v>
      </c>
    </row>
    <row r="13" spans="1:9" x14ac:dyDescent="0.3">
      <c r="A13" s="5" t="s">
        <v>10</v>
      </c>
      <c r="B13" t="s">
        <v>253</v>
      </c>
      <c r="C13" t="s">
        <v>265</v>
      </c>
      <c r="D13" t="s">
        <v>266</v>
      </c>
      <c r="E13" t="s">
        <v>271</v>
      </c>
      <c r="F13" t="s">
        <v>282</v>
      </c>
      <c r="G13" s="7">
        <v>1</v>
      </c>
      <c r="H13" s="3">
        <v>8956.14</v>
      </c>
      <c r="I13" s="3">
        <v>8956.14</v>
      </c>
    </row>
    <row r="14" spans="1:9" x14ac:dyDescent="0.3">
      <c r="A14" s="5" t="s">
        <v>10</v>
      </c>
      <c r="B14" t="s">
        <v>256</v>
      </c>
      <c r="C14" t="s">
        <v>265</v>
      </c>
      <c r="D14" t="s">
        <v>269</v>
      </c>
      <c r="E14" t="s">
        <v>273</v>
      </c>
      <c r="F14" t="s">
        <v>283</v>
      </c>
      <c r="G14" s="7">
        <v>9</v>
      </c>
      <c r="H14" s="3">
        <v>38694.06</v>
      </c>
      <c r="I14" s="3">
        <v>348246.54</v>
      </c>
    </row>
    <row r="15" spans="1:9" x14ac:dyDescent="0.3">
      <c r="A15" s="5" t="s">
        <v>11</v>
      </c>
      <c r="B15" t="s">
        <v>256</v>
      </c>
      <c r="C15" t="s">
        <v>264</v>
      </c>
      <c r="D15" t="s">
        <v>267</v>
      </c>
      <c r="E15" t="s">
        <v>272</v>
      </c>
      <c r="F15" t="s">
        <v>277</v>
      </c>
      <c r="G15" s="7">
        <v>6</v>
      </c>
      <c r="H15" s="3">
        <v>28357.26</v>
      </c>
      <c r="I15" s="3">
        <v>170143.56</v>
      </c>
    </row>
    <row r="16" spans="1:9" x14ac:dyDescent="0.3">
      <c r="A16" s="5" t="s">
        <v>11</v>
      </c>
      <c r="B16" t="s">
        <v>257</v>
      </c>
      <c r="C16" t="s">
        <v>264</v>
      </c>
      <c r="D16" t="s">
        <v>268</v>
      </c>
      <c r="E16" t="s">
        <v>273</v>
      </c>
      <c r="F16" t="s">
        <v>283</v>
      </c>
      <c r="G16" s="7">
        <v>8</v>
      </c>
      <c r="H16" s="3">
        <v>42222.58</v>
      </c>
      <c r="I16" s="3">
        <v>337780.64</v>
      </c>
    </row>
    <row r="17" spans="1:9" x14ac:dyDescent="0.3">
      <c r="A17" s="5" t="s">
        <v>11</v>
      </c>
      <c r="B17" t="s">
        <v>255</v>
      </c>
      <c r="C17" t="s">
        <v>261</v>
      </c>
      <c r="D17" t="s">
        <v>268</v>
      </c>
      <c r="E17" t="s">
        <v>273</v>
      </c>
      <c r="F17" t="s">
        <v>283</v>
      </c>
      <c r="G17" s="7">
        <v>3</v>
      </c>
      <c r="H17" s="3">
        <v>47849.55</v>
      </c>
      <c r="I17" s="3">
        <v>143548.65</v>
      </c>
    </row>
    <row r="18" spans="1:9" x14ac:dyDescent="0.3">
      <c r="A18" s="5" t="s">
        <v>11</v>
      </c>
      <c r="B18" t="s">
        <v>254</v>
      </c>
      <c r="C18" t="s">
        <v>265</v>
      </c>
      <c r="D18" t="s">
        <v>270</v>
      </c>
      <c r="E18" t="s">
        <v>274</v>
      </c>
      <c r="F18" t="s">
        <v>284</v>
      </c>
      <c r="G18" s="7">
        <v>8</v>
      </c>
      <c r="H18" s="3">
        <v>39948.720000000001</v>
      </c>
      <c r="I18" s="3">
        <v>319589.76000000001</v>
      </c>
    </row>
    <row r="19" spans="1:9" x14ac:dyDescent="0.3">
      <c r="A19" s="5" t="s">
        <v>11</v>
      </c>
      <c r="B19" t="s">
        <v>257</v>
      </c>
      <c r="C19" t="s">
        <v>263</v>
      </c>
      <c r="D19" t="s">
        <v>267</v>
      </c>
      <c r="E19" t="s">
        <v>274</v>
      </c>
      <c r="F19" t="s">
        <v>284</v>
      </c>
      <c r="G19" s="7">
        <v>2</v>
      </c>
      <c r="H19" s="3">
        <v>37446.86</v>
      </c>
      <c r="I19" s="3">
        <v>74893.72</v>
      </c>
    </row>
    <row r="20" spans="1:9" x14ac:dyDescent="0.3">
      <c r="A20" s="5" t="s">
        <v>11</v>
      </c>
      <c r="B20" t="s">
        <v>257</v>
      </c>
      <c r="C20" t="s">
        <v>262</v>
      </c>
      <c r="D20" t="s">
        <v>268</v>
      </c>
      <c r="E20" t="s">
        <v>271</v>
      </c>
      <c r="F20" t="s">
        <v>285</v>
      </c>
      <c r="G20" s="7">
        <v>4</v>
      </c>
      <c r="H20" s="3">
        <v>10100.18</v>
      </c>
      <c r="I20" s="3">
        <v>40400.720000000001</v>
      </c>
    </row>
    <row r="21" spans="1:9" x14ac:dyDescent="0.3">
      <c r="A21" s="5" t="s">
        <v>12</v>
      </c>
      <c r="B21" t="s">
        <v>256</v>
      </c>
      <c r="C21" t="s">
        <v>262</v>
      </c>
      <c r="D21" t="s">
        <v>266</v>
      </c>
      <c r="E21" t="s">
        <v>273</v>
      </c>
      <c r="F21" t="s">
        <v>279</v>
      </c>
      <c r="G21" s="7">
        <v>3</v>
      </c>
      <c r="H21" s="3">
        <v>49684.77</v>
      </c>
      <c r="I21" s="3">
        <v>149054.31</v>
      </c>
    </row>
    <row r="22" spans="1:9" x14ac:dyDescent="0.3">
      <c r="A22" s="5" t="s">
        <v>12</v>
      </c>
      <c r="B22" t="s">
        <v>259</v>
      </c>
      <c r="C22" t="s">
        <v>264</v>
      </c>
      <c r="D22" t="s">
        <v>267</v>
      </c>
      <c r="E22" t="s">
        <v>271</v>
      </c>
      <c r="F22" t="s">
        <v>275</v>
      </c>
      <c r="G22" s="7">
        <v>1</v>
      </c>
      <c r="H22" s="3">
        <v>7366.3</v>
      </c>
      <c r="I22" s="3">
        <v>7366.3</v>
      </c>
    </row>
    <row r="23" spans="1:9" x14ac:dyDescent="0.3">
      <c r="A23" s="5" t="s">
        <v>12</v>
      </c>
      <c r="B23" t="s">
        <v>255</v>
      </c>
      <c r="C23" t="s">
        <v>261</v>
      </c>
      <c r="D23" t="s">
        <v>266</v>
      </c>
      <c r="E23" t="s">
        <v>272</v>
      </c>
      <c r="F23" t="s">
        <v>286</v>
      </c>
      <c r="G23" s="7">
        <v>7</v>
      </c>
      <c r="H23" s="3">
        <v>26116.13</v>
      </c>
      <c r="I23" s="3">
        <v>182812.91</v>
      </c>
    </row>
    <row r="24" spans="1:9" x14ac:dyDescent="0.3">
      <c r="A24" s="5" t="s">
        <v>12</v>
      </c>
      <c r="B24" t="s">
        <v>258</v>
      </c>
      <c r="C24" t="s">
        <v>262</v>
      </c>
      <c r="D24" t="s">
        <v>266</v>
      </c>
      <c r="E24" t="s">
        <v>273</v>
      </c>
      <c r="F24" t="s">
        <v>278</v>
      </c>
      <c r="G24" s="7">
        <v>2</v>
      </c>
      <c r="H24" s="3">
        <v>54901.16</v>
      </c>
      <c r="I24" s="3">
        <v>109802.32</v>
      </c>
    </row>
    <row r="25" spans="1:9" x14ac:dyDescent="0.3">
      <c r="A25" s="5" t="s">
        <v>12</v>
      </c>
      <c r="B25" t="s">
        <v>257</v>
      </c>
      <c r="C25" t="s">
        <v>265</v>
      </c>
      <c r="D25" t="s">
        <v>268</v>
      </c>
      <c r="E25" t="s">
        <v>273</v>
      </c>
      <c r="F25" t="s">
        <v>279</v>
      </c>
      <c r="G25" s="7">
        <v>4</v>
      </c>
      <c r="H25" s="3">
        <v>44840.04</v>
      </c>
      <c r="I25" s="3">
        <v>179360.16</v>
      </c>
    </row>
    <row r="26" spans="1:9" x14ac:dyDescent="0.3">
      <c r="A26" s="5" t="s">
        <v>12</v>
      </c>
      <c r="B26" t="s">
        <v>254</v>
      </c>
      <c r="C26" t="s">
        <v>264</v>
      </c>
      <c r="D26" t="s">
        <v>267</v>
      </c>
      <c r="E26" t="s">
        <v>272</v>
      </c>
      <c r="F26" t="s">
        <v>277</v>
      </c>
      <c r="G26" s="7">
        <v>9</v>
      </c>
      <c r="H26" s="3">
        <v>24960.73</v>
      </c>
      <c r="I26" s="3">
        <v>224646.57</v>
      </c>
    </row>
    <row r="27" spans="1:9" x14ac:dyDescent="0.3">
      <c r="A27" s="5" t="s">
        <v>13</v>
      </c>
      <c r="B27" t="s">
        <v>259</v>
      </c>
      <c r="C27" t="s">
        <v>263</v>
      </c>
      <c r="D27" t="s">
        <v>269</v>
      </c>
      <c r="E27" t="s">
        <v>272</v>
      </c>
      <c r="F27" t="s">
        <v>277</v>
      </c>
      <c r="G27" s="7">
        <v>6</v>
      </c>
      <c r="H27" s="3">
        <v>31666.94</v>
      </c>
      <c r="I27" s="3">
        <v>190001.64</v>
      </c>
    </row>
    <row r="28" spans="1:9" x14ac:dyDescent="0.3">
      <c r="A28" s="5" t="s">
        <v>13</v>
      </c>
      <c r="B28" t="s">
        <v>259</v>
      </c>
      <c r="C28" t="s">
        <v>264</v>
      </c>
      <c r="D28" t="s">
        <v>268</v>
      </c>
      <c r="E28" t="s">
        <v>271</v>
      </c>
      <c r="F28" t="s">
        <v>285</v>
      </c>
      <c r="G28" s="7">
        <v>8</v>
      </c>
      <c r="H28" s="3">
        <v>8243.16</v>
      </c>
      <c r="I28" s="3">
        <v>65945.279999999999</v>
      </c>
    </row>
    <row r="29" spans="1:9" x14ac:dyDescent="0.3">
      <c r="A29" s="5" t="s">
        <v>13</v>
      </c>
      <c r="B29" t="s">
        <v>258</v>
      </c>
      <c r="C29" t="s">
        <v>263</v>
      </c>
      <c r="D29" t="s">
        <v>268</v>
      </c>
      <c r="E29" t="s">
        <v>271</v>
      </c>
      <c r="F29" t="s">
        <v>282</v>
      </c>
      <c r="G29" s="7">
        <v>2</v>
      </c>
      <c r="H29" s="3">
        <v>8139.11</v>
      </c>
      <c r="I29" s="3">
        <v>16278.22</v>
      </c>
    </row>
    <row r="30" spans="1:9" x14ac:dyDescent="0.3">
      <c r="A30" s="5" t="s">
        <v>13</v>
      </c>
      <c r="B30" t="s">
        <v>257</v>
      </c>
      <c r="C30" t="s">
        <v>264</v>
      </c>
      <c r="D30" t="s">
        <v>267</v>
      </c>
      <c r="E30" t="s">
        <v>272</v>
      </c>
      <c r="F30" t="s">
        <v>286</v>
      </c>
      <c r="G30" s="7">
        <v>7</v>
      </c>
      <c r="H30" s="3">
        <v>34977.35</v>
      </c>
      <c r="I30" s="3">
        <v>244841.45</v>
      </c>
    </row>
    <row r="31" spans="1:9" x14ac:dyDescent="0.3">
      <c r="A31" s="5" t="s">
        <v>13</v>
      </c>
      <c r="B31" t="s">
        <v>254</v>
      </c>
      <c r="C31" t="s">
        <v>264</v>
      </c>
      <c r="D31" t="s">
        <v>267</v>
      </c>
      <c r="E31" t="s">
        <v>271</v>
      </c>
      <c r="F31" t="s">
        <v>281</v>
      </c>
      <c r="G31" s="7">
        <v>6</v>
      </c>
      <c r="H31" s="3">
        <v>10142.67</v>
      </c>
      <c r="I31" s="3">
        <v>60856.02</v>
      </c>
    </row>
    <row r="32" spans="1:9" x14ac:dyDescent="0.3">
      <c r="A32" s="5" t="s">
        <v>13</v>
      </c>
      <c r="B32" t="s">
        <v>255</v>
      </c>
      <c r="C32" t="s">
        <v>264</v>
      </c>
      <c r="D32" t="s">
        <v>266</v>
      </c>
      <c r="E32" t="s">
        <v>272</v>
      </c>
      <c r="F32" t="s">
        <v>286</v>
      </c>
      <c r="G32" s="7">
        <v>9</v>
      </c>
      <c r="H32" s="3">
        <v>28368.9</v>
      </c>
      <c r="I32" s="3">
        <v>255320.1</v>
      </c>
    </row>
    <row r="33" spans="1:9" x14ac:dyDescent="0.3">
      <c r="A33" s="5" t="s">
        <v>14</v>
      </c>
      <c r="B33" t="s">
        <v>260</v>
      </c>
      <c r="C33" t="s">
        <v>263</v>
      </c>
      <c r="D33" t="s">
        <v>267</v>
      </c>
      <c r="E33" t="s">
        <v>273</v>
      </c>
      <c r="F33" t="s">
        <v>278</v>
      </c>
      <c r="G33" s="7">
        <v>7</v>
      </c>
      <c r="H33" s="3">
        <v>55894.7</v>
      </c>
      <c r="I33" s="3">
        <v>391262.9</v>
      </c>
    </row>
    <row r="34" spans="1:9" x14ac:dyDescent="0.3">
      <c r="A34" s="5" t="s">
        <v>14</v>
      </c>
      <c r="B34" t="s">
        <v>254</v>
      </c>
      <c r="C34" t="s">
        <v>263</v>
      </c>
      <c r="D34" t="s">
        <v>266</v>
      </c>
      <c r="E34" t="s">
        <v>273</v>
      </c>
      <c r="F34" t="s">
        <v>283</v>
      </c>
      <c r="G34" s="7">
        <v>1</v>
      </c>
      <c r="H34" s="3">
        <v>49952.04</v>
      </c>
      <c r="I34" s="3">
        <v>49952.04</v>
      </c>
    </row>
    <row r="35" spans="1:9" x14ac:dyDescent="0.3">
      <c r="A35" s="5" t="s">
        <v>14</v>
      </c>
      <c r="B35" t="s">
        <v>258</v>
      </c>
      <c r="C35" t="s">
        <v>264</v>
      </c>
      <c r="D35" t="s">
        <v>268</v>
      </c>
      <c r="E35" t="s">
        <v>274</v>
      </c>
      <c r="F35" t="s">
        <v>287</v>
      </c>
      <c r="G35" s="7">
        <v>8</v>
      </c>
      <c r="H35" s="3">
        <v>36697.89</v>
      </c>
      <c r="I35" s="3">
        <v>293583.12</v>
      </c>
    </row>
    <row r="36" spans="1:9" x14ac:dyDescent="0.3">
      <c r="A36" s="5" t="s">
        <v>14</v>
      </c>
      <c r="B36" t="s">
        <v>259</v>
      </c>
      <c r="C36" t="s">
        <v>262</v>
      </c>
      <c r="D36" t="s">
        <v>270</v>
      </c>
      <c r="E36" t="s">
        <v>273</v>
      </c>
      <c r="F36" t="s">
        <v>279</v>
      </c>
      <c r="G36" s="7">
        <v>3</v>
      </c>
      <c r="H36" s="3">
        <v>38817.230000000003</v>
      </c>
      <c r="I36" s="3">
        <v>116451.69</v>
      </c>
    </row>
    <row r="37" spans="1:9" x14ac:dyDescent="0.3">
      <c r="A37" s="5" t="s">
        <v>14</v>
      </c>
      <c r="B37" t="s">
        <v>255</v>
      </c>
      <c r="C37" t="s">
        <v>261</v>
      </c>
      <c r="D37" t="s">
        <v>269</v>
      </c>
      <c r="E37" t="s">
        <v>272</v>
      </c>
      <c r="F37" t="s">
        <v>286</v>
      </c>
      <c r="G37" s="7">
        <v>2</v>
      </c>
      <c r="H37" s="3">
        <v>25161.98</v>
      </c>
      <c r="I37" s="3">
        <v>50323.96</v>
      </c>
    </row>
    <row r="38" spans="1:9" x14ac:dyDescent="0.3">
      <c r="A38" s="5" t="s">
        <v>14</v>
      </c>
      <c r="B38" t="s">
        <v>254</v>
      </c>
      <c r="C38" t="s">
        <v>261</v>
      </c>
      <c r="D38" t="s">
        <v>268</v>
      </c>
      <c r="E38" t="s">
        <v>271</v>
      </c>
      <c r="F38" t="s">
        <v>281</v>
      </c>
      <c r="G38" s="7">
        <v>3</v>
      </c>
      <c r="H38" s="3">
        <v>9377.49</v>
      </c>
      <c r="I38" s="3">
        <v>28132.47</v>
      </c>
    </row>
    <row r="39" spans="1:9" x14ac:dyDescent="0.3">
      <c r="A39" s="5" t="s">
        <v>14</v>
      </c>
      <c r="B39" t="s">
        <v>260</v>
      </c>
      <c r="C39" t="s">
        <v>261</v>
      </c>
      <c r="D39" t="s">
        <v>267</v>
      </c>
      <c r="E39" t="s">
        <v>274</v>
      </c>
      <c r="F39" t="s">
        <v>280</v>
      </c>
      <c r="G39" s="7">
        <v>6</v>
      </c>
      <c r="H39" s="3">
        <v>38707.51</v>
      </c>
      <c r="I39" s="3">
        <v>232245.06</v>
      </c>
    </row>
    <row r="40" spans="1:9" x14ac:dyDescent="0.3">
      <c r="A40" s="5" t="s">
        <v>15</v>
      </c>
      <c r="B40" t="s">
        <v>260</v>
      </c>
      <c r="C40" t="s">
        <v>263</v>
      </c>
      <c r="D40" t="s">
        <v>269</v>
      </c>
      <c r="E40" t="s">
        <v>271</v>
      </c>
      <c r="F40" t="s">
        <v>275</v>
      </c>
      <c r="G40" s="7">
        <v>3</v>
      </c>
      <c r="H40" s="3">
        <v>9345.73</v>
      </c>
      <c r="I40" s="3">
        <v>28037.19</v>
      </c>
    </row>
    <row r="41" spans="1:9" x14ac:dyDescent="0.3">
      <c r="A41" s="5" t="s">
        <v>15</v>
      </c>
      <c r="B41" t="s">
        <v>256</v>
      </c>
      <c r="C41" t="s">
        <v>263</v>
      </c>
      <c r="D41" t="s">
        <v>270</v>
      </c>
      <c r="E41" t="s">
        <v>272</v>
      </c>
      <c r="F41" t="s">
        <v>277</v>
      </c>
      <c r="G41" s="7">
        <v>5</v>
      </c>
      <c r="H41" s="3">
        <v>25301.08</v>
      </c>
      <c r="I41" s="3">
        <v>126505.4</v>
      </c>
    </row>
    <row r="42" spans="1:9" x14ac:dyDescent="0.3">
      <c r="A42" s="5" t="s">
        <v>15</v>
      </c>
      <c r="B42" t="s">
        <v>256</v>
      </c>
      <c r="C42" t="s">
        <v>262</v>
      </c>
      <c r="D42" t="s">
        <v>270</v>
      </c>
      <c r="E42" t="s">
        <v>273</v>
      </c>
      <c r="F42" t="s">
        <v>283</v>
      </c>
      <c r="G42" s="7">
        <v>6</v>
      </c>
      <c r="H42" s="3">
        <v>40333.68</v>
      </c>
      <c r="I42" s="3">
        <v>242002.08</v>
      </c>
    </row>
    <row r="43" spans="1:9" x14ac:dyDescent="0.3">
      <c r="A43" s="5" t="s">
        <v>15</v>
      </c>
      <c r="B43" t="s">
        <v>253</v>
      </c>
      <c r="C43" t="s">
        <v>261</v>
      </c>
      <c r="D43" t="s">
        <v>266</v>
      </c>
      <c r="E43" t="s">
        <v>274</v>
      </c>
      <c r="F43" t="s">
        <v>280</v>
      </c>
      <c r="G43" s="7">
        <v>8</v>
      </c>
      <c r="H43" s="3">
        <v>38005.58</v>
      </c>
      <c r="I43" s="3">
        <v>304044.64</v>
      </c>
    </row>
    <row r="44" spans="1:9" x14ac:dyDescent="0.3">
      <c r="A44" s="5" t="s">
        <v>15</v>
      </c>
      <c r="B44" t="s">
        <v>258</v>
      </c>
      <c r="C44" t="s">
        <v>261</v>
      </c>
      <c r="D44" t="s">
        <v>269</v>
      </c>
      <c r="E44" t="s">
        <v>272</v>
      </c>
      <c r="F44" t="s">
        <v>286</v>
      </c>
      <c r="G44" s="7">
        <v>7</v>
      </c>
      <c r="H44" s="3">
        <v>25360.19</v>
      </c>
      <c r="I44" s="3">
        <v>177521.33</v>
      </c>
    </row>
    <row r="45" spans="1:9" x14ac:dyDescent="0.3">
      <c r="A45" s="5" t="s">
        <v>15</v>
      </c>
      <c r="B45" t="s">
        <v>257</v>
      </c>
      <c r="C45" t="s">
        <v>264</v>
      </c>
      <c r="D45" t="s">
        <v>266</v>
      </c>
      <c r="E45" t="s">
        <v>274</v>
      </c>
      <c r="F45" t="s">
        <v>280</v>
      </c>
      <c r="G45" s="7">
        <v>8</v>
      </c>
      <c r="H45" s="3">
        <v>33858.97</v>
      </c>
      <c r="I45" s="3">
        <v>270871.76</v>
      </c>
    </row>
    <row r="46" spans="1:9" x14ac:dyDescent="0.3">
      <c r="A46" s="5" t="s">
        <v>16</v>
      </c>
      <c r="B46" t="s">
        <v>254</v>
      </c>
      <c r="C46" t="s">
        <v>263</v>
      </c>
      <c r="D46" t="s">
        <v>268</v>
      </c>
      <c r="E46" t="s">
        <v>274</v>
      </c>
      <c r="F46" t="s">
        <v>284</v>
      </c>
      <c r="G46" s="7">
        <v>3</v>
      </c>
      <c r="H46" s="3">
        <v>27675.05</v>
      </c>
      <c r="I46" s="3">
        <v>83025.149999999994</v>
      </c>
    </row>
    <row r="47" spans="1:9" x14ac:dyDescent="0.3">
      <c r="A47" s="5" t="s">
        <v>16</v>
      </c>
      <c r="B47" t="s">
        <v>254</v>
      </c>
      <c r="C47" t="s">
        <v>261</v>
      </c>
      <c r="D47" t="s">
        <v>269</v>
      </c>
      <c r="E47" t="s">
        <v>273</v>
      </c>
      <c r="F47" t="s">
        <v>288</v>
      </c>
      <c r="G47" s="7">
        <v>4</v>
      </c>
      <c r="H47" s="3">
        <v>39702.06</v>
      </c>
      <c r="I47" s="3">
        <v>158808.24</v>
      </c>
    </row>
    <row r="48" spans="1:9" x14ac:dyDescent="0.3">
      <c r="A48" s="5" t="s">
        <v>16</v>
      </c>
      <c r="B48" t="s">
        <v>257</v>
      </c>
      <c r="C48" t="s">
        <v>262</v>
      </c>
      <c r="D48" t="s">
        <v>268</v>
      </c>
      <c r="E48" t="s">
        <v>272</v>
      </c>
      <c r="F48" t="s">
        <v>277</v>
      </c>
      <c r="G48" s="7">
        <v>6</v>
      </c>
      <c r="H48" s="3">
        <v>31330.3</v>
      </c>
      <c r="I48" s="3">
        <v>187981.8</v>
      </c>
    </row>
    <row r="49" spans="1:9" x14ac:dyDescent="0.3">
      <c r="A49" s="5" t="s">
        <v>16</v>
      </c>
      <c r="B49" t="s">
        <v>253</v>
      </c>
      <c r="C49" t="s">
        <v>262</v>
      </c>
      <c r="D49" t="s">
        <v>266</v>
      </c>
      <c r="E49" t="s">
        <v>271</v>
      </c>
      <c r="F49" t="s">
        <v>281</v>
      </c>
      <c r="G49" s="7">
        <v>7</v>
      </c>
      <c r="H49" s="3">
        <v>9568.2199999999993</v>
      </c>
      <c r="I49" s="3">
        <v>66977.539999999994</v>
      </c>
    </row>
    <row r="50" spans="1:9" x14ac:dyDescent="0.3">
      <c r="A50" s="5" t="s">
        <v>16</v>
      </c>
      <c r="B50" t="s">
        <v>259</v>
      </c>
      <c r="C50" t="s">
        <v>261</v>
      </c>
      <c r="D50" t="s">
        <v>269</v>
      </c>
      <c r="E50" t="s">
        <v>274</v>
      </c>
      <c r="F50" t="s">
        <v>284</v>
      </c>
      <c r="G50" s="7">
        <v>9</v>
      </c>
      <c r="H50" s="3">
        <v>31570.81</v>
      </c>
      <c r="I50" s="3">
        <v>284137.28999999998</v>
      </c>
    </row>
    <row r="51" spans="1:9" x14ac:dyDescent="0.3">
      <c r="A51" s="5" t="s">
        <v>16</v>
      </c>
      <c r="B51" t="s">
        <v>259</v>
      </c>
      <c r="C51" t="s">
        <v>263</v>
      </c>
      <c r="D51" t="s">
        <v>266</v>
      </c>
      <c r="E51" t="s">
        <v>274</v>
      </c>
      <c r="F51" t="s">
        <v>289</v>
      </c>
      <c r="G51" s="7">
        <v>1</v>
      </c>
      <c r="H51" s="3">
        <v>29959.8</v>
      </c>
      <c r="I51" s="3">
        <v>29959.8</v>
      </c>
    </row>
    <row r="52" spans="1:9" x14ac:dyDescent="0.3">
      <c r="A52" s="5" t="s">
        <v>17</v>
      </c>
      <c r="B52" t="s">
        <v>253</v>
      </c>
      <c r="C52" t="s">
        <v>262</v>
      </c>
      <c r="D52" t="s">
        <v>269</v>
      </c>
      <c r="E52" t="s">
        <v>271</v>
      </c>
      <c r="F52" t="s">
        <v>275</v>
      </c>
      <c r="G52" s="7">
        <v>8</v>
      </c>
      <c r="H52" s="3">
        <v>9991.61</v>
      </c>
      <c r="I52" s="3">
        <v>79932.88</v>
      </c>
    </row>
    <row r="53" spans="1:9" x14ac:dyDescent="0.3">
      <c r="A53" s="5" t="s">
        <v>17</v>
      </c>
      <c r="B53" t="s">
        <v>259</v>
      </c>
      <c r="C53" t="s">
        <v>264</v>
      </c>
      <c r="D53" t="s">
        <v>266</v>
      </c>
      <c r="E53" t="s">
        <v>272</v>
      </c>
      <c r="F53" t="s">
        <v>276</v>
      </c>
      <c r="G53" s="7">
        <v>8</v>
      </c>
      <c r="H53" s="3">
        <v>26231.56</v>
      </c>
      <c r="I53" s="3">
        <v>209852.48</v>
      </c>
    </row>
    <row r="54" spans="1:9" x14ac:dyDescent="0.3">
      <c r="A54" s="5" t="s">
        <v>17</v>
      </c>
      <c r="B54" t="s">
        <v>256</v>
      </c>
      <c r="C54" t="s">
        <v>262</v>
      </c>
      <c r="D54" t="s">
        <v>270</v>
      </c>
      <c r="E54" t="s">
        <v>274</v>
      </c>
      <c r="F54" t="s">
        <v>289</v>
      </c>
      <c r="G54" s="7">
        <v>6</v>
      </c>
      <c r="H54" s="3">
        <v>34137.949999999997</v>
      </c>
      <c r="I54" s="3">
        <v>204827.7</v>
      </c>
    </row>
    <row r="55" spans="1:9" x14ac:dyDescent="0.3">
      <c r="A55" s="5" t="s">
        <v>17</v>
      </c>
      <c r="B55" t="s">
        <v>254</v>
      </c>
      <c r="C55" t="s">
        <v>265</v>
      </c>
      <c r="D55" t="s">
        <v>266</v>
      </c>
      <c r="E55" t="s">
        <v>274</v>
      </c>
      <c r="F55" t="s">
        <v>280</v>
      </c>
      <c r="G55" s="7">
        <v>4</v>
      </c>
      <c r="H55" s="3">
        <v>39593.07</v>
      </c>
      <c r="I55" s="3">
        <v>158372.28</v>
      </c>
    </row>
    <row r="56" spans="1:9" x14ac:dyDescent="0.3">
      <c r="A56" s="5" t="s">
        <v>17</v>
      </c>
      <c r="B56" t="s">
        <v>253</v>
      </c>
      <c r="C56" t="s">
        <v>265</v>
      </c>
      <c r="D56" t="s">
        <v>270</v>
      </c>
      <c r="E56" t="s">
        <v>274</v>
      </c>
      <c r="F56" t="s">
        <v>280</v>
      </c>
      <c r="G56" s="7">
        <v>3</v>
      </c>
      <c r="H56" s="3">
        <v>29092.51</v>
      </c>
      <c r="I56" s="3">
        <v>87277.53</v>
      </c>
    </row>
    <row r="57" spans="1:9" x14ac:dyDescent="0.3">
      <c r="A57" s="5" t="s">
        <v>17</v>
      </c>
      <c r="B57" t="s">
        <v>254</v>
      </c>
      <c r="C57" t="s">
        <v>263</v>
      </c>
      <c r="D57" t="s">
        <v>266</v>
      </c>
      <c r="E57" t="s">
        <v>272</v>
      </c>
      <c r="F57" t="s">
        <v>276</v>
      </c>
      <c r="G57" s="7">
        <v>3</v>
      </c>
      <c r="H57" s="3">
        <v>34337.81</v>
      </c>
      <c r="I57" s="3">
        <v>103013.43</v>
      </c>
    </row>
    <row r="58" spans="1:9" x14ac:dyDescent="0.3">
      <c r="A58" s="5" t="s">
        <v>18</v>
      </c>
      <c r="B58" t="s">
        <v>257</v>
      </c>
      <c r="C58" t="s">
        <v>261</v>
      </c>
      <c r="D58" t="s">
        <v>269</v>
      </c>
      <c r="E58" t="s">
        <v>272</v>
      </c>
      <c r="F58" t="s">
        <v>276</v>
      </c>
      <c r="G58" s="7">
        <v>6</v>
      </c>
      <c r="H58" s="3">
        <v>25848.400000000001</v>
      </c>
      <c r="I58" s="3">
        <v>155090.4</v>
      </c>
    </row>
    <row r="59" spans="1:9" x14ac:dyDescent="0.3">
      <c r="A59" s="5" t="s">
        <v>18</v>
      </c>
      <c r="B59" t="s">
        <v>260</v>
      </c>
      <c r="C59" t="s">
        <v>263</v>
      </c>
      <c r="D59" t="s">
        <v>269</v>
      </c>
      <c r="E59" t="s">
        <v>271</v>
      </c>
      <c r="F59" t="s">
        <v>275</v>
      </c>
      <c r="G59" s="7">
        <v>8</v>
      </c>
      <c r="H59" s="3">
        <v>9154.31</v>
      </c>
      <c r="I59" s="3">
        <v>73234.48</v>
      </c>
    </row>
    <row r="60" spans="1:9" x14ac:dyDescent="0.3">
      <c r="A60" s="5" t="s">
        <v>18</v>
      </c>
      <c r="B60" t="s">
        <v>256</v>
      </c>
      <c r="C60" t="s">
        <v>263</v>
      </c>
      <c r="D60" t="s">
        <v>269</v>
      </c>
      <c r="E60" t="s">
        <v>272</v>
      </c>
      <c r="F60" t="s">
        <v>290</v>
      </c>
      <c r="G60" s="7">
        <v>7</v>
      </c>
      <c r="H60" s="3">
        <v>28022.49</v>
      </c>
      <c r="I60" s="3">
        <v>196157.43</v>
      </c>
    </row>
    <row r="61" spans="1:9" x14ac:dyDescent="0.3">
      <c r="A61" s="5" t="s">
        <v>18</v>
      </c>
      <c r="B61" t="s">
        <v>255</v>
      </c>
      <c r="C61" t="s">
        <v>263</v>
      </c>
      <c r="D61" t="s">
        <v>267</v>
      </c>
      <c r="E61" t="s">
        <v>272</v>
      </c>
      <c r="F61" t="s">
        <v>276</v>
      </c>
      <c r="G61" s="7">
        <v>1</v>
      </c>
      <c r="H61" s="3">
        <v>34607.199999999997</v>
      </c>
      <c r="I61" s="3">
        <v>34607.199999999997</v>
      </c>
    </row>
    <row r="62" spans="1:9" x14ac:dyDescent="0.3">
      <c r="A62" s="5" t="s">
        <v>18</v>
      </c>
      <c r="B62" t="s">
        <v>256</v>
      </c>
      <c r="C62" t="s">
        <v>263</v>
      </c>
      <c r="D62" t="s">
        <v>268</v>
      </c>
      <c r="E62" t="s">
        <v>273</v>
      </c>
      <c r="F62" t="s">
        <v>278</v>
      </c>
      <c r="G62" s="7">
        <v>6</v>
      </c>
      <c r="H62" s="3">
        <v>43173.760000000002</v>
      </c>
      <c r="I62" s="3">
        <v>259042.56</v>
      </c>
    </row>
    <row r="63" spans="1:9" x14ac:dyDescent="0.3">
      <c r="A63" s="5" t="s">
        <v>18</v>
      </c>
      <c r="B63" t="s">
        <v>253</v>
      </c>
      <c r="C63" t="s">
        <v>264</v>
      </c>
      <c r="D63" t="s">
        <v>269</v>
      </c>
      <c r="E63" t="s">
        <v>271</v>
      </c>
      <c r="F63" t="s">
        <v>282</v>
      </c>
      <c r="G63" s="7">
        <v>7</v>
      </c>
      <c r="H63" s="3">
        <v>8583.84</v>
      </c>
      <c r="I63" s="3">
        <v>60086.879999999997</v>
      </c>
    </row>
    <row r="64" spans="1:9" x14ac:dyDescent="0.3">
      <c r="A64" s="5" t="s">
        <v>19</v>
      </c>
      <c r="B64" t="s">
        <v>255</v>
      </c>
      <c r="C64" t="s">
        <v>264</v>
      </c>
      <c r="D64" t="s">
        <v>270</v>
      </c>
      <c r="E64" t="s">
        <v>274</v>
      </c>
      <c r="F64" t="s">
        <v>280</v>
      </c>
      <c r="G64" s="7">
        <v>7</v>
      </c>
      <c r="H64" s="3">
        <v>39780.61</v>
      </c>
      <c r="I64" s="3">
        <v>278464.27</v>
      </c>
    </row>
    <row r="65" spans="1:9" x14ac:dyDescent="0.3">
      <c r="A65" s="5" t="s">
        <v>19</v>
      </c>
      <c r="B65" t="s">
        <v>260</v>
      </c>
      <c r="C65" t="s">
        <v>262</v>
      </c>
      <c r="D65" t="s">
        <v>269</v>
      </c>
      <c r="E65" t="s">
        <v>272</v>
      </c>
      <c r="F65" t="s">
        <v>276</v>
      </c>
      <c r="G65" s="7">
        <v>9</v>
      </c>
      <c r="H65" s="3">
        <v>29808.47</v>
      </c>
      <c r="I65" s="3">
        <v>268276.23</v>
      </c>
    </row>
    <row r="66" spans="1:9" x14ac:dyDescent="0.3">
      <c r="A66" s="5" t="s">
        <v>19</v>
      </c>
      <c r="B66" t="s">
        <v>253</v>
      </c>
      <c r="C66" t="s">
        <v>265</v>
      </c>
      <c r="D66" t="s">
        <v>267</v>
      </c>
      <c r="E66" t="s">
        <v>274</v>
      </c>
      <c r="F66" t="s">
        <v>280</v>
      </c>
      <c r="G66" s="7">
        <v>5</v>
      </c>
      <c r="H66" s="3">
        <v>33633.67</v>
      </c>
      <c r="I66" s="3">
        <v>168168.35</v>
      </c>
    </row>
    <row r="67" spans="1:9" x14ac:dyDescent="0.3">
      <c r="A67" s="5" t="s">
        <v>19</v>
      </c>
      <c r="B67" t="s">
        <v>258</v>
      </c>
      <c r="C67" t="s">
        <v>263</v>
      </c>
      <c r="D67" t="s">
        <v>270</v>
      </c>
      <c r="E67" t="s">
        <v>274</v>
      </c>
      <c r="F67" t="s">
        <v>280</v>
      </c>
      <c r="G67" s="7">
        <v>1</v>
      </c>
      <c r="H67" s="3">
        <v>30499.56</v>
      </c>
      <c r="I67" s="3">
        <v>30499.56</v>
      </c>
    </row>
    <row r="68" spans="1:9" x14ac:dyDescent="0.3">
      <c r="A68" s="5" t="s">
        <v>19</v>
      </c>
      <c r="B68" t="s">
        <v>254</v>
      </c>
      <c r="C68" t="s">
        <v>262</v>
      </c>
      <c r="D68" t="s">
        <v>267</v>
      </c>
      <c r="E68" t="s">
        <v>273</v>
      </c>
      <c r="F68" t="s">
        <v>279</v>
      </c>
      <c r="G68" s="7">
        <v>2</v>
      </c>
      <c r="H68" s="3">
        <v>50874.54</v>
      </c>
      <c r="I68" s="3">
        <v>101749.08</v>
      </c>
    </row>
    <row r="69" spans="1:9" x14ac:dyDescent="0.3">
      <c r="A69" s="5" t="s">
        <v>19</v>
      </c>
      <c r="B69" t="s">
        <v>260</v>
      </c>
      <c r="C69" t="s">
        <v>265</v>
      </c>
      <c r="D69" t="s">
        <v>270</v>
      </c>
      <c r="E69" t="s">
        <v>272</v>
      </c>
      <c r="F69" t="s">
        <v>276</v>
      </c>
      <c r="G69" s="7">
        <v>4</v>
      </c>
      <c r="H69" s="3">
        <v>23960.98</v>
      </c>
      <c r="I69" s="3">
        <v>95843.92</v>
      </c>
    </row>
    <row r="70" spans="1:9" x14ac:dyDescent="0.3">
      <c r="A70" s="5" t="s">
        <v>20</v>
      </c>
      <c r="B70" t="s">
        <v>254</v>
      </c>
      <c r="C70" t="s">
        <v>261</v>
      </c>
      <c r="D70" t="s">
        <v>266</v>
      </c>
      <c r="E70" t="s">
        <v>271</v>
      </c>
      <c r="F70" t="s">
        <v>282</v>
      </c>
      <c r="G70" s="7">
        <v>5</v>
      </c>
      <c r="H70" s="3">
        <v>7393.34</v>
      </c>
      <c r="I70" s="3">
        <v>36966.699999999997</v>
      </c>
    </row>
    <row r="71" spans="1:9" x14ac:dyDescent="0.3">
      <c r="A71" s="5" t="s">
        <v>20</v>
      </c>
      <c r="B71" t="s">
        <v>259</v>
      </c>
      <c r="C71" t="s">
        <v>264</v>
      </c>
      <c r="D71" t="s">
        <v>268</v>
      </c>
      <c r="E71" t="s">
        <v>272</v>
      </c>
      <c r="F71" t="s">
        <v>290</v>
      </c>
      <c r="G71" s="7">
        <v>9</v>
      </c>
      <c r="H71" s="3">
        <v>30512.82</v>
      </c>
      <c r="I71" s="3">
        <v>274615.38</v>
      </c>
    </row>
    <row r="72" spans="1:9" x14ac:dyDescent="0.3">
      <c r="A72" s="5" t="s">
        <v>20</v>
      </c>
      <c r="B72" t="s">
        <v>258</v>
      </c>
      <c r="C72" t="s">
        <v>265</v>
      </c>
      <c r="D72" t="s">
        <v>268</v>
      </c>
      <c r="E72" t="s">
        <v>274</v>
      </c>
      <c r="F72" t="s">
        <v>284</v>
      </c>
      <c r="G72" s="7">
        <v>1</v>
      </c>
      <c r="H72" s="3">
        <v>31573.43</v>
      </c>
      <c r="I72" s="3">
        <v>31573.43</v>
      </c>
    </row>
    <row r="73" spans="1:9" x14ac:dyDescent="0.3">
      <c r="A73" s="5" t="s">
        <v>20</v>
      </c>
      <c r="B73" t="s">
        <v>258</v>
      </c>
      <c r="C73" t="s">
        <v>261</v>
      </c>
      <c r="D73" t="s">
        <v>267</v>
      </c>
      <c r="E73" t="s">
        <v>271</v>
      </c>
      <c r="F73" t="s">
        <v>281</v>
      </c>
      <c r="G73" s="7">
        <v>3</v>
      </c>
      <c r="H73" s="3">
        <v>10466.280000000001</v>
      </c>
      <c r="I73" s="3">
        <v>31398.84</v>
      </c>
    </row>
    <row r="74" spans="1:9" x14ac:dyDescent="0.3">
      <c r="A74" s="5" t="s">
        <v>20</v>
      </c>
      <c r="B74" t="s">
        <v>260</v>
      </c>
      <c r="C74" t="s">
        <v>265</v>
      </c>
      <c r="D74" t="s">
        <v>268</v>
      </c>
      <c r="E74" t="s">
        <v>272</v>
      </c>
      <c r="F74" t="s">
        <v>276</v>
      </c>
      <c r="G74" s="7">
        <v>5</v>
      </c>
      <c r="H74" s="3">
        <v>33915.74</v>
      </c>
      <c r="I74" s="3">
        <v>169578.7</v>
      </c>
    </row>
    <row r="75" spans="1:9" x14ac:dyDescent="0.3">
      <c r="A75" s="5" t="s">
        <v>20</v>
      </c>
      <c r="B75" t="s">
        <v>258</v>
      </c>
      <c r="C75" t="s">
        <v>264</v>
      </c>
      <c r="D75" t="s">
        <v>267</v>
      </c>
      <c r="E75" t="s">
        <v>274</v>
      </c>
      <c r="F75" t="s">
        <v>289</v>
      </c>
      <c r="G75" s="7">
        <v>3</v>
      </c>
      <c r="H75" s="3">
        <v>36335.440000000002</v>
      </c>
      <c r="I75" s="3">
        <v>109006.32</v>
      </c>
    </row>
    <row r="76" spans="1:9" x14ac:dyDescent="0.3">
      <c r="A76" s="5" t="s">
        <v>20</v>
      </c>
      <c r="B76" t="s">
        <v>255</v>
      </c>
      <c r="C76" t="s">
        <v>264</v>
      </c>
      <c r="D76" t="s">
        <v>267</v>
      </c>
      <c r="E76" t="s">
        <v>274</v>
      </c>
      <c r="F76" t="s">
        <v>289</v>
      </c>
      <c r="G76" s="7">
        <v>4</v>
      </c>
      <c r="H76" s="3">
        <v>37672.26</v>
      </c>
      <c r="I76" s="3">
        <v>150689.04</v>
      </c>
    </row>
    <row r="77" spans="1:9" x14ac:dyDescent="0.3">
      <c r="A77" s="5" t="s">
        <v>21</v>
      </c>
      <c r="B77" t="s">
        <v>258</v>
      </c>
      <c r="C77" t="s">
        <v>262</v>
      </c>
      <c r="D77" t="s">
        <v>267</v>
      </c>
      <c r="E77" t="s">
        <v>273</v>
      </c>
      <c r="F77" t="s">
        <v>288</v>
      </c>
      <c r="G77" s="7">
        <v>3</v>
      </c>
      <c r="H77" s="3">
        <v>50261.97</v>
      </c>
      <c r="I77" s="3">
        <v>150785.91</v>
      </c>
    </row>
    <row r="78" spans="1:9" x14ac:dyDescent="0.3">
      <c r="A78" s="5" t="s">
        <v>21</v>
      </c>
      <c r="B78" t="s">
        <v>254</v>
      </c>
      <c r="C78" t="s">
        <v>263</v>
      </c>
      <c r="D78" t="s">
        <v>268</v>
      </c>
      <c r="E78" t="s">
        <v>273</v>
      </c>
      <c r="F78" t="s">
        <v>288</v>
      </c>
      <c r="G78" s="7">
        <v>4</v>
      </c>
      <c r="H78" s="3">
        <v>40510.480000000003</v>
      </c>
      <c r="I78" s="3">
        <v>162041.92000000001</v>
      </c>
    </row>
    <row r="79" spans="1:9" x14ac:dyDescent="0.3">
      <c r="A79" s="5" t="s">
        <v>21</v>
      </c>
      <c r="B79" t="s">
        <v>254</v>
      </c>
      <c r="C79" t="s">
        <v>265</v>
      </c>
      <c r="D79" t="s">
        <v>267</v>
      </c>
      <c r="E79" t="s">
        <v>273</v>
      </c>
      <c r="F79" t="s">
        <v>288</v>
      </c>
      <c r="G79" s="7">
        <v>1</v>
      </c>
      <c r="H79" s="3">
        <v>52029.78</v>
      </c>
      <c r="I79" s="3">
        <v>52029.78</v>
      </c>
    </row>
    <row r="80" spans="1:9" x14ac:dyDescent="0.3">
      <c r="A80" s="5" t="s">
        <v>21</v>
      </c>
      <c r="B80" t="s">
        <v>253</v>
      </c>
      <c r="C80" t="s">
        <v>265</v>
      </c>
      <c r="D80" t="s">
        <v>268</v>
      </c>
      <c r="E80" t="s">
        <v>274</v>
      </c>
      <c r="F80" t="s">
        <v>284</v>
      </c>
      <c r="G80" s="7">
        <v>8</v>
      </c>
      <c r="H80" s="3">
        <v>29890.46</v>
      </c>
      <c r="I80" s="3">
        <v>239123.68</v>
      </c>
    </row>
    <row r="81" spans="1:9" x14ac:dyDescent="0.3">
      <c r="A81" s="5" t="s">
        <v>21</v>
      </c>
      <c r="B81" t="s">
        <v>254</v>
      </c>
      <c r="C81" t="s">
        <v>261</v>
      </c>
      <c r="D81" t="s">
        <v>267</v>
      </c>
      <c r="E81" t="s">
        <v>272</v>
      </c>
      <c r="F81" t="s">
        <v>290</v>
      </c>
      <c r="G81" s="7">
        <v>4</v>
      </c>
      <c r="H81" s="3">
        <v>27422.560000000001</v>
      </c>
      <c r="I81" s="3">
        <v>109690.24000000001</v>
      </c>
    </row>
    <row r="82" spans="1:9" x14ac:dyDescent="0.3">
      <c r="A82" s="5" t="s">
        <v>21</v>
      </c>
      <c r="B82" t="s">
        <v>253</v>
      </c>
      <c r="C82" t="s">
        <v>264</v>
      </c>
      <c r="D82" t="s">
        <v>269</v>
      </c>
      <c r="E82" t="s">
        <v>273</v>
      </c>
      <c r="F82" t="s">
        <v>278</v>
      </c>
      <c r="G82" s="7">
        <v>7</v>
      </c>
      <c r="H82" s="3">
        <v>52996.22</v>
      </c>
      <c r="I82" s="3">
        <v>370973.54</v>
      </c>
    </row>
    <row r="83" spans="1:9" x14ac:dyDescent="0.3">
      <c r="A83" s="5" t="s">
        <v>22</v>
      </c>
      <c r="B83" t="s">
        <v>254</v>
      </c>
      <c r="C83" t="s">
        <v>265</v>
      </c>
      <c r="D83" t="s">
        <v>267</v>
      </c>
      <c r="E83" t="s">
        <v>272</v>
      </c>
      <c r="F83" t="s">
        <v>276</v>
      </c>
      <c r="G83" s="7">
        <v>2</v>
      </c>
      <c r="H83" s="3">
        <v>29809.09</v>
      </c>
      <c r="I83" s="3">
        <v>59618.18</v>
      </c>
    </row>
    <row r="84" spans="1:9" x14ac:dyDescent="0.3">
      <c r="A84" s="5" t="s">
        <v>22</v>
      </c>
      <c r="B84" t="s">
        <v>255</v>
      </c>
      <c r="C84" t="s">
        <v>264</v>
      </c>
      <c r="D84" t="s">
        <v>270</v>
      </c>
      <c r="E84" t="s">
        <v>273</v>
      </c>
      <c r="F84" t="s">
        <v>283</v>
      </c>
      <c r="G84" s="7">
        <v>2</v>
      </c>
      <c r="H84" s="3">
        <v>53728.93</v>
      </c>
      <c r="I84" s="3">
        <v>107457.86</v>
      </c>
    </row>
    <row r="85" spans="1:9" x14ac:dyDescent="0.3">
      <c r="A85" s="5" t="s">
        <v>22</v>
      </c>
      <c r="B85" t="s">
        <v>257</v>
      </c>
      <c r="C85" t="s">
        <v>265</v>
      </c>
      <c r="D85" t="s">
        <v>267</v>
      </c>
      <c r="E85" t="s">
        <v>271</v>
      </c>
      <c r="F85" t="s">
        <v>282</v>
      </c>
      <c r="G85" s="7">
        <v>6</v>
      </c>
      <c r="H85" s="3">
        <v>7949.32</v>
      </c>
      <c r="I85" s="3">
        <v>47695.92</v>
      </c>
    </row>
    <row r="86" spans="1:9" x14ac:dyDescent="0.3">
      <c r="A86" s="5" t="s">
        <v>22</v>
      </c>
      <c r="B86" t="s">
        <v>253</v>
      </c>
      <c r="C86" t="s">
        <v>262</v>
      </c>
      <c r="D86" t="s">
        <v>266</v>
      </c>
      <c r="E86" t="s">
        <v>271</v>
      </c>
      <c r="F86" t="s">
        <v>275</v>
      </c>
      <c r="G86" s="7">
        <v>2</v>
      </c>
      <c r="H86" s="3">
        <v>9291.4500000000007</v>
      </c>
      <c r="I86" s="3">
        <v>18582.900000000001</v>
      </c>
    </row>
    <row r="87" spans="1:9" x14ac:dyDescent="0.3">
      <c r="A87" s="5" t="s">
        <v>22</v>
      </c>
      <c r="B87" t="s">
        <v>256</v>
      </c>
      <c r="C87" t="s">
        <v>263</v>
      </c>
      <c r="D87" t="s">
        <v>267</v>
      </c>
      <c r="E87" t="s">
        <v>273</v>
      </c>
      <c r="F87" t="s">
        <v>288</v>
      </c>
      <c r="G87" s="7">
        <v>6</v>
      </c>
      <c r="H87" s="3">
        <v>39758.239999999998</v>
      </c>
      <c r="I87" s="3">
        <v>238549.44</v>
      </c>
    </row>
    <row r="88" spans="1:9" x14ac:dyDescent="0.3">
      <c r="A88" s="5" t="s">
        <v>22</v>
      </c>
      <c r="B88" t="s">
        <v>259</v>
      </c>
      <c r="C88" t="s">
        <v>265</v>
      </c>
      <c r="D88" t="s">
        <v>270</v>
      </c>
      <c r="E88" t="s">
        <v>274</v>
      </c>
      <c r="F88" t="s">
        <v>284</v>
      </c>
      <c r="G88" s="7">
        <v>2</v>
      </c>
      <c r="H88" s="3">
        <v>35431.18</v>
      </c>
      <c r="I88" s="3">
        <v>70862.36</v>
      </c>
    </row>
    <row r="89" spans="1:9" x14ac:dyDescent="0.3">
      <c r="A89" s="5" t="s">
        <v>23</v>
      </c>
      <c r="B89" t="s">
        <v>260</v>
      </c>
      <c r="C89" t="s">
        <v>264</v>
      </c>
      <c r="D89" t="s">
        <v>270</v>
      </c>
      <c r="E89" t="s">
        <v>273</v>
      </c>
      <c r="F89" t="s">
        <v>279</v>
      </c>
      <c r="G89" s="7">
        <v>4</v>
      </c>
      <c r="H89" s="3">
        <v>51975.61</v>
      </c>
      <c r="I89" s="3">
        <v>207902.44</v>
      </c>
    </row>
    <row r="90" spans="1:9" x14ac:dyDescent="0.3">
      <c r="A90" s="5" t="s">
        <v>23</v>
      </c>
      <c r="B90" t="s">
        <v>254</v>
      </c>
      <c r="C90" t="s">
        <v>262</v>
      </c>
      <c r="D90" t="s">
        <v>268</v>
      </c>
      <c r="E90" t="s">
        <v>273</v>
      </c>
      <c r="F90" t="s">
        <v>278</v>
      </c>
      <c r="G90" s="7">
        <v>7</v>
      </c>
      <c r="H90" s="3">
        <v>48778.76</v>
      </c>
      <c r="I90" s="3">
        <v>341451.32</v>
      </c>
    </row>
    <row r="91" spans="1:9" x14ac:dyDescent="0.3">
      <c r="A91" s="5" t="s">
        <v>23</v>
      </c>
      <c r="B91" t="s">
        <v>258</v>
      </c>
      <c r="C91" t="s">
        <v>265</v>
      </c>
      <c r="D91" t="s">
        <v>269</v>
      </c>
      <c r="E91" t="s">
        <v>274</v>
      </c>
      <c r="F91" t="s">
        <v>289</v>
      </c>
      <c r="G91" s="7">
        <v>8</v>
      </c>
      <c r="H91" s="3">
        <v>30607.759999999998</v>
      </c>
      <c r="I91" s="3">
        <v>244862.07999999999</v>
      </c>
    </row>
    <row r="92" spans="1:9" x14ac:dyDescent="0.3">
      <c r="A92" s="5" t="s">
        <v>23</v>
      </c>
      <c r="B92" t="s">
        <v>257</v>
      </c>
      <c r="C92" t="s">
        <v>261</v>
      </c>
      <c r="D92" t="s">
        <v>267</v>
      </c>
      <c r="E92" t="s">
        <v>271</v>
      </c>
      <c r="F92" t="s">
        <v>282</v>
      </c>
      <c r="G92" s="7">
        <v>3</v>
      </c>
      <c r="H92" s="3">
        <v>7331.57</v>
      </c>
      <c r="I92" s="3">
        <v>21994.71</v>
      </c>
    </row>
    <row r="93" spans="1:9" x14ac:dyDescent="0.3">
      <c r="A93" s="5" t="s">
        <v>23</v>
      </c>
      <c r="B93" t="s">
        <v>254</v>
      </c>
      <c r="C93" t="s">
        <v>263</v>
      </c>
      <c r="D93" t="s">
        <v>268</v>
      </c>
      <c r="E93" t="s">
        <v>272</v>
      </c>
      <c r="F93" t="s">
        <v>277</v>
      </c>
      <c r="G93" s="7">
        <v>9</v>
      </c>
      <c r="H93" s="3">
        <v>25137.83</v>
      </c>
      <c r="I93" s="3">
        <v>226240.47</v>
      </c>
    </row>
    <row r="94" spans="1:9" x14ac:dyDescent="0.3">
      <c r="A94" s="5" t="s">
        <v>23</v>
      </c>
      <c r="B94" t="s">
        <v>258</v>
      </c>
      <c r="C94" t="s">
        <v>265</v>
      </c>
      <c r="D94" t="s">
        <v>269</v>
      </c>
      <c r="E94" t="s">
        <v>273</v>
      </c>
      <c r="F94" t="s">
        <v>288</v>
      </c>
      <c r="G94" s="7">
        <v>2</v>
      </c>
      <c r="H94" s="3">
        <v>49451.45</v>
      </c>
      <c r="I94" s="3">
        <v>98902.9</v>
      </c>
    </row>
    <row r="95" spans="1:9" x14ac:dyDescent="0.3">
      <c r="A95" s="5" t="s">
        <v>24</v>
      </c>
      <c r="B95" t="s">
        <v>259</v>
      </c>
      <c r="C95" t="s">
        <v>262</v>
      </c>
      <c r="D95" t="s">
        <v>267</v>
      </c>
      <c r="E95" t="s">
        <v>274</v>
      </c>
      <c r="F95" t="s">
        <v>284</v>
      </c>
      <c r="G95" s="7">
        <v>8</v>
      </c>
      <c r="H95" s="3">
        <v>39160.58</v>
      </c>
      <c r="I95" s="3">
        <v>313284.64</v>
      </c>
    </row>
    <row r="96" spans="1:9" x14ac:dyDescent="0.3">
      <c r="A96" s="5" t="s">
        <v>24</v>
      </c>
      <c r="B96" t="s">
        <v>259</v>
      </c>
      <c r="C96" t="s">
        <v>261</v>
      </c>
      <c r="D96" t="s">
        <v>266</v>
      </c>
      <c r="E96" t="s">
        <v>273</v>
      </c>
      <c r="F96" t="s">
        <v>288</v>
      </c>
      <c r="G96" s="7">
        <v>8</v>
      </c>
      <c r="H96" s="3">
        <v>41967.62</v>
      </c>
      <c r="I96" s="3">
        <v>335740.96</v>
      </c>
    </row>
    <row r="97" spans="1:9" x14ac:dyDescent="0.3">
      <c r="A97" s="5" t="s">
        <v>24</v>
      </c>
      <c r="B97" t="s">
        <v>259</v>
      </c>
      <c r="C97" t="s">
        <v>262</v>
      </c>
      <c r="D97" t="s">
        <v>267</v>
      </c>
      <c r="E97" t="s">
        <v>274</v>
      </c>
      <c r="F97" t="s">
        <v>280</v>
      </c>
      <c r="G97" s="7">
        <v>4</v>
      </c>
      <c r="H97" s="3">
        <v>36608.33</v>
      </c>
      <c r="I97" s="3">
        <v>146433.32</v>
      </c>
    </row>
    <row r="98" spans="1:9" x14ac:dyDescent="0.3">
      <c r="A98" s="5" t="s">
        <v>24</v>
      </c>
      <c r="B98" t="s">
        <v>258</v>
      </c>
      <c r="C98" t="s">
        <v>262</v>
      </c>
      <c r="D98" t="s">
        <v>270</v>
      </c>
      <c r="E98" t="s">
        <v>272</v>
      </c>
      <c r="F98" t="s">
        <v>277</v>
      </c>
      <c r="G98" s="7">
        <v>1</v>
      </c>
      <c r="H98" s="3">
        <v>33504.25</v>
      </c>
      <c r="I98" s="3">
        <v>33504.25</v>
      </c>
    </row>
    <row r="99" spans="1:9" x14ac:dyDescent="0.3">
      <c r="A99" s="5" t="s">
        <v>24</v>
      </c>
      <c r="B99" t="s">
        <v>254</v>
      </c>
      <c r="C99" t="s">
        <v>261</v>
      </c>
      <c r="D99" t="s">
        <v>270</v>
      </c>
      <c r="E99" t="s">
        <v>272</v>
      </c>
      <c r="F99" t="s">
        <v>290</v>
      </c>
      <c r="G99" s="7">
        <v>1</v>
      </c>
      <c r="H99" s="3">
        <v>29633.88</v>
      </c>
      <c r="I99" s="3">
        <v>29633.88</v>
      </c>
    </row>
    <row r="100" spans="1:9" x14ac:dyDescent="0.3">
      <c r="A100" s="5" t="s">
        <v>24</v>
      </c>
      <c r="B100" t="s">
        <v>259</v>
      </c>
      <c r="C100" t="s">
        <v>262</v>
      </c>
      <c r="D100" t="s">
        <v>266</v>
      </c>
      <c r="E100" t="s">
        <v>271</v>
      </c>
      <c r="F100" t="s">
        <v>275</v>
      </c>
      <c r="G100" s="7">
        <v>2</v>
      </c>
      <c r="H100" s="3">
        <v>9500.5</v>
      </c>
      <c r="I100" s="3">
        <v>19001</v>
      </c>
    </row>
    <row r="101" spans="1:9" x14ac:dyDescent="0.3">
      <c r="A101" s="5" t="s">
        <v>25</v>
      </c>
      <c r="B101" t="s">
        <v>255</v>
      </c>
      <c r="C101" t="s">
        <v>261</v>
      </c>
      <c r="D101" t="s">
        <v>268</v>
      </c>
      <c r="E101" t="s">
        <v>274</v>
      </c>
      <c r="F101" t="s">
        <v>289</v>
      </c>
      <c r="G101" s="7">
        <v>9</v>
      </c>
      <c r="H101" s="3">
        <v>37632.199999999997</v>
      </c>
      <c r="I101" s="3">
        <v>338689.8</v>
      </c>
    </row>
    <row r="102" spans="1:9" x14ac:dyDescent="0.3">
      <c r="A102" s="5" t="s">
        <v>25</v>
      </c>
      <c r="B102" t="s">
        <v>253</v>
      </c>
      <c r="C102" t="s">
        <v>265</v>
      </c>
      <c r="D102" t="s">
        <v>269</v>
      </c>
      <c r="E102" t="s">
        <v>274</v>
      </c>
      <c r="F102" t="s">
        <v>280</v>
      </c>
      <c r="G102" s="7">
        <v>2</v>
      </c>
      <c r="H102" s="3">
        <v>30536.639999999999</v>
      </c>
      <c r="I102" s="3">
        <v>61073.279999999999</v>
      </c>
    </row>
    <row r="103" spans="1:9" x14ac:dyDescent="0.3">
      <c r="A103" s="5" t="s">
        <v>25</v>
      </c>
      <c r="B103" t="s">
        <v>258</v>
      </c>
      <c r="C103" t="s">
        <v>261</v>
      </c>
      <c r="D103" t="s">
        <v>267</v>
      </c>
      <c r="E103" t="s">
        <v>271</v>
      </c>
      <c r="F103" t="s">
        <v>282</v>
      </c>
      <c r="G103" s="7">
        <v>2</v>
      </c>
      <c r="H103" s="3">
        <v>8234.4500000000007</v>
      </c>
      <c r="I103" s="3">
        <v>16468.900000000001</v>
      </c>
    </row>
    <row r="104" spans="1:9" x14ac:dyDescent="0.3">
      <c r="A104" s="5" t="s">
        <v>25</v>
      </c>
      <c r="B104" t="s">
        <v>258</v>
      </c>
      <c r="C104" t="s">
        <v>261</v>
      </c>
      <c r="D104" t="s">
        <v>270</v>
      </c>
      <c r="E104" t="s">
        <v>271</v>
      </c>
      <c r="F104" t="s">
        <v>282</v>
      </c>
      <c r="G104" s="7">
        <v>6</v>
      </c>
      <c r="H104" s="3">
        <v>7227.13</v>
      </c>
      <c r="I104" s="3">
        <v>43362.78</v>
      </c>
    </row>
    <row r="105" spans="1:9" x14ac:dyDescent="0.3">
      <c r="A105" s="5" t="s">
        <v>25</v>
      </c>
      <c r="B105" t="s">
        <v>254</v>
      </c>
      <c r="C105" t="s">
        <v>263</v>
      </c>
      <c r="D105" t="s">
        <v>268</v>
      </c>
      <c r="E105" t="s">
        <v>274</v>
      </c>
      <c r="F105" t="s">
        <v>287</v>
      </c>
      <c r="G105" s="7">
        <v>7</v>
      </c>
      <c r="H105" s="3">
        <v>39527.599999999999</v>
      </c>
      <c r="I105" s="3">
        <v>276693.2</v>
      </c>
    </row>
    <row r="106" spans="1:9" x14ac:dyDescent="0.3">
      <c r="A106" s="5" t="s">
        <v>25</v>
      </c>
      <c r="B106" t="s">
        <v>258</v>
      </c>
      <c r="C106" t="s">
        <v>261</v>
      </c>
      <c r="D106" t="s">
        <v>266</v>
      </c>
      <c r="E106" t="s">
        <v>271</v>
      </c>
      <c r="F106" t="s">
        <v>281</v>
      </c>
      <c r="G106" s="7">
        <v>7</v>
      </c>
      <c r="H106" s="3">
        <v>10344.65</v>
      </c>
      <c r="I106" s="3">
        <v>72412.55</v>
      </c>
    </row>
    <row r="107" spans="1:9" x14ac:dyDescent="0.3">
      <c r="A107" s="5" t="s">
        <v>26</v>
      </c>
      <c r="B107" t="s">
        <v>258</v>
      </c>
      <c r="C107" t="s">
        <v>261</v>
      </c>
      <c r="D107" t="s">
        <v>270</v>
      </c>
      <c r="E107" t="s">
        <v>272</v>
      </c>
      <c r="F107" t="s">
        <v>286</v>
      </c>
      <c r="G107" s="7">
        <v>9</v>
      </c>
      <c r="H107" s="3">
        <v>32363.16</v>
      </c>
      <c r="I107" s="3">
        <v>291268.44</v>
      </c>
    </row>
    <row r="108" spans="1:9" x14ac:dyDescent="0.3">
      <c r="A108" s="5" t="s">
        <v>26</v>
      </c>
      <c r="B108" t="s">
        <v>259</v>
      </c>
      <c r="C108" t="s">
        <v>265</v>
      </c>
      <c r="D108" t="s">
        <v>266</v>
      </c>
      <c r="E108" t="s">
        <v>273</v>
      </c>
      <c r="F108" t="s">
        <v>283</v>
      </c>
      <c r="G108" s="7">
        <v>6</v>
      </c>
      <c r="H108" s="3">
        <v>39673.370000000003</v>
      </c>
      <c r="I108" s="3">
        <v>238040.22</v>
      </c>
    </row>
    <row r="109" spans="1:9" x14ac:dyDescent="0.3">
      <c r="A109" s="5" t="s">
        <v>26</v>
      </c>
      <c r="B109" t="s">
        <v>254</v>
      </c>
      <c r="C109" t="s">
        <v>263</v>
      </c>
      <c r="D109" t="s">
        <v>267</v>
      </c>
      <c r="E109" t="s">
        <v>272</v>
      </c>
      <c r="F109" t="s">
        <v>290</v>
      </c>
      <c r="G109" s="7">
        <v>8</v>
      </c>
      <c r="H109" s="3">
        <v>28812.03</v>
      </c>
      <c r="I109" s="3">
        <v>230496.24</v>
      </c>
    </row>
    <row r="110" spans="1:9" x14ac:dyDescent="0.3">
      <c r="A110" s="5" t="s">
        <v>26</v>
      </c>
      <c r="B110" t="s">
        <v>259</v>
      </c>
      <c r="C110" t="s">
        <v>264</v>
      </c>
      <c r="D110" t="s">
        <v>269</v>
      </c>
      <c r="E110" t="s">
        <v>271</v>
      </c>
      <c r="F110" t="s">
        <v>285</v>
      </c>
      <c r="G110" s="7">
        <v>6</v>
      </c>
      <c r="H110" s="3">
        <v>7571.43</v>
      </c>
      <c r="I110" s="3">
        <v>45428.58</v>
      </c>
    </row>
    <row r="111" spans="1:9" x14ac:dyDescent="0.3">
      <c r="A111" s="5" t="s">
        <v>26</v>
      </c>
      <c r="B111" t="s">
        <v>253</v>
      </c>
      <c r="C111" t="s">
        <v>265</v>
      </c>
      <c r="D111" t="s">
        <v>270</v>
      </c>
      <c r="E111" t="s">
        <v>274</v>
      </c>
      <c r="F111" t="s">
        <v>289</v>
      </c>
      <c r="G111" s="7">
        <v>2</v>
      </c>
      <c r="H111" s="3">
        <v>27403.78</v>
      </c>
      <c r="I111" s="3">
        <v>54807.56</v>
      </c>
    </row>
    <row r="112" spans="1:9" x14ac:dyDescent="0.3">
      <c r="A112" s="5" t="s">
        <v>26</v>
      </c>
      <c r="B112" t="s">
        <v>257</v>
      </c>
      <c r="C112" t="s">
        <v>265</v>
      </c>
      <c r="D112" t="s">
        <v>270</v>
      </c>
      <c r="E112" t="s">
        <v>274</v>
      </c>
      <c r="F112" t="s">
        <v>280</v>
      </c>
      <c r="G112" s="7">
        <v>1</v>
      </c>
      <c r="H112" s="3">
        <v>35087.14</v>
      </c>
      <c r="I112" s="3">
        <v>35087.14</v>
      </c>
    </row>
    <row r="113" spans="1:9" x14ac:dyDescent="0.3">
      <c r="A113" s="5" t="s">
        <v>26</v>
      </c>
      <c r="B113" t="s">
        <v>253</v>
      </c>
      <c r="C113" t="s">
        <v>264</v>
      </c>
      <c r="D113" t="s">
        <v>267</v>
      </c>
      <c r="E113" t="s">
        <v>272</v>
      </c>
      <c r="F113" t="s">
        <v>286</v>
      </c>
      <c r="G113" s="7">
        <v>5</v>
      </c>
      <c r="H113" s="3">
        <v>34561.29</v>
      </c>
      <c r="I113" s="3">
        <v>172806.45</v>
      </c>
    </row>
    <row r="114" spans="1:9" x14ac:dyDescent="0.3">
      <c r="A114" s="5" t="s">
        <v>27</v>
      </c>
      <c r="B114" t="s">
        <v>257</v>
      </c>
      <c r="C114" t="s">
        <v>261</v>
      </c>
      <c r="D114" t="s">
        <v>268</v>
      </c>
      <c r="E114" t="s">
        <v>274</v>
      </c>
      <c r="F114" t="s">
        <v>280</v>
      </c>
      <c r="G114" s="7">
        <v>9</v>
      </c>
      <c r="H114" s="3">
        <v>38756.71</v>
      </c>
      <c r="I114" s="3">
        <v>348810.39</v>
      </c>
    </row>
    <row r="115" spans="1:9" x14ac:dyDescent="0.3">
      <c r="A115" s="5" t="s">
        <v>27</v>
      </c>
      <c r="B115" t="s">
        <v>259</v>
      </c>
      <c r="C115" t="s">
        <v>262</v>
      </c>
      <c r="D115" t="s">
        <v>269</v>
      </c>
      <c r="E115" t="s">
        <v>271</v>
      </c>
      <c r="F115" t="s">
        <v>281</v>
      </c>
      <c r="G115" s="7">
        <v>8</v>
      </c>
      <c r="H115" s="3">
        <v>9593.9699999999993</v>
      </c>
      <c r="I115" s="3">
        <v>76751.759999999995</v>
      </c>
    </row>
    <row r="116" spans="1:9" x14ac:dyDescent="0.3">
      <c r="A116" s="5" t="s">
        <v>27</v>
      </c>
      <c r="B116" t="s">
        <v>253</v>
      </c>
      <c r="C116" t="s">
        <v>263</v>
      </c>
      <c r="D116" t="s">
        <v>270</v>
      </c>
      <c r="E116" t="s">
        <v>272</v>
      </c>
      <c r="F116" t="s">
        <v>276</v>
      </c>
      <c r="G116" s="7">
        <v>4</v>
      </c>
      <c r="H116" s="3">
        <v>24882.37</v>
      </c>
      <c r="I116" s="3">
        <v>99529.48</v>
      </c>
    </row>
    <row r="117" spans="1:9" x14ac:dyDescent="0.3">
      <c r="A117" s="5" t="s">
        <v>27</v>
      </c>
      <c r="B117" t="s">
        <v>254</v>
      </c>
      <c r="C117" t="s">
        <v>262</v>
      </c>
      <c r="D117" t="s">
        <v>269</v>
      </c>
      <c r="E117" t="s">
        <v>274</v>
      </c>
      <c r="F117" t="s">
        <v>287</v>
      </c>
      <c r="G117" s="7">
        <v>5</v>
      </c>
      <c r="H117" s="3">
        <v>30709.3</v>
      </c>
      <c r="I117" s="3">
        <v>153546.5</v>
      </c>
    </row>
    <row r="118" spans="1:9" x14ac:dyDescent="0.3">
      <c r="A118" s="5" t="s">
        <v>27</v>
      </c>
      <c r="B118" t="s">
        <v>260</v>
      </c>
      <c r="C118" t="s">
        <v>264</v>
      </c>
      <c r="D118" t="s">
        <v>270</v>
      </c>
      <c r="E118" t="s">
        <v>273</v>
      </c>
      <c r="F118" t="s">
        <v>279</v>
      </c>
      <c r="G118" s="7">
        <v>5</v>
      </c>
      <c r="H118" s="3">
        <v>44011.02</v>
      </c>
      <c r="I118" s="3">
        <v>220055.1</v>
      </c>
    </row>
    <row r="119" spans="1:9" x14ac:dyDescent="0.3">
      <c r="A119" s="5" t="s">
        <v>27</v>
      </c>
      <c r="B119" t="s">
        <v>259</v>
      </c>
      <c r="C119" t="s">
        <v>265</v>
      </c>
      <c r="D119" t="s">
        <v>269</v>
      </c>
      <c r="E119" t="s">
        <v>273</v>
      </c>
      <c r="F119" t="s">
        <v>288</v>
      </c>
      <c r="G119" s="7">
        <v>6</v>
      </c>
      <c r="H119" s="3">
        <v>51986.7</v>
      </c>
      <c r="I119" s="3">
        <v>311920.2</v>
      </c>
    </row>
    <row r="120" spans="1:9" x14ac:dyDescent="0.3">
      <c r="A120" s="5" t="s">
        <v>28</v>
      </c>
      <c r="B120" t="s">
        <v>257</v>
      </c>
      <c r="C120" t="s">
        <v>265</v>
      </c>
      <c r="D120" t="s">
        <v>266</v>
      </c>
      <c r="E120" t="s">
        <v>271</v>
      </c>
      <c r="F120" t="s">
        <v>275</v>
      </c>
      <c r="G120" s="7">
        <v>3</v>
      </c>
      <c r="H120" s="3">
        <v>9952.65</v>
      </c>
      <c r="I120" s="3">
        <v>29857.95</v>
      </c>
    </row>
    <row r="121" spans="1:9" x14ac:dyDescent="0.3">
      <c r="A121" s="5" t="s">
        <v>28</v>
      </c>
      <c r="B121" t="s">
        <v>255</v>
      </c>
      <c r="C121" t="s">
        <v>263</v>
      </c>
      <c r="D121" t="s">
        <v>270</v>
      </c>
      <c r="E121" t="s">
        <v>274</v>
      </c>
      <c r="F121" t="s">
        <v>287</v>
      </c>
      <c r="G121" s="7">
        <v>5</v>
      </c>
      <c r="H121" s="3">
        <v>32129.360000000001</v>
      </c>
      <c r="I121" s="3">
        <v>160646.79999999999</v>
      </c>
    </row>
    <row r="122" spans="1:9" x14ac:dyDescent="0.3">
      <c r="A122" s="5" t="s">
        <v>28</v>
      </c>
      <c r="B122" t="s">
        <v>257</v>
      </c>
      <c r="C122" t="s">
        <v>265</v>
      </c>
      <c r="D122" t="s">
        <v>269</v>
      </c>
      <c r="E122" t="s">
        <v>271</v>
      </c>
      <c r="F122" t="s">
        <v>285</v>
      </c>
      <c r="G122" s="7">
        <v>2</v>
      </c>
      <c r="H122" s="3">
        <v>8645.81</v>
      </c>
      <c r="I122" s="3">
        <v>17291.62</v>
      </c>
    </row>
    <row r="123" spans="1:9" x14ac:dyDescent="0.3">
      <c r="A123" s="5" t="s">
        <v>28</v>
      </c>
      <c r="B123" t="s">
        <v>255</v>
      </c>
      <c r="C123" t="s">
        <v>265</v>
      </c>
      <c r="D123" t="s">
        <v>268</v>
      </c>
      <c r="E123" t="s">
        <v>272</v>
      </c>
      <c r="F123" t="s">
        <v>277</v>
      </c>
      <c r="G123" s="7">
        <v>1</v>
      </c>
      <c r="H123" s="3">
        <v>24298.5</v>
      </c>
      <c r="I123" s="3">
        <v>24298.5</v>
      </c>
    </row>
    <row r="124" spans="1:9" x14ac:dyDescent="0.3">
      <c r="A124" s="5" t="s">
        <v>28</v>
      </c>
      <c r="B124" t="s">
        <v>258</v>
      </c>
      <c r="C124" t="s">
        <v>263</v>
      </c>
      <c r="D124" t="s">
        <v>266</v>
      </c>
      <c r="E124" t="s">
        <v>273</v>
      </c>
      <c r="F124" t="s">
        <v>283</v>
      </c>
      <c r="G124" s="7">
        <v>1</v>
      </c>
      <c r="H124" s="3">
        <v>43454.46</v>
      </c>
      <c r="I124" s="3">
        <v>43454.46</v>
      </c>
    </row>
    <row r="125" spans="1:9" x14ac:dyDescent="0.3">
      <c r="A125" s="5" t="s">
        <v>28</v>
      </c>
      <c r="B125" t="s">
        <v>253</v>
      </c>
      <c r="C125" t="s">
        <v>263</v>
      </c>
      <c r="D125" t="s">
        <v>266</v>
      </c>
      <c r="E125" t="s">
        <v>272</v>
      </c>
      <c r="F125" t="s">
        <v>276</v>
      </c>
      <c r="G125" s="7">
        <v>7</v>
      </c>
      <c r="H125" s="3">
        <v>28854.39</v>
      </c>
      <c r="I125" s="3">
        <v>201980.73</v>
      </c>
    </row>
    <row r="126" spans="1:9" x14ac:dyDescent="0.3">
      <c r="A126" s="5" t="s">
        <v>29</v>
      </c>
      <c r="B126" t="s">
        <v>255</v>
      </c>
      <c r="C126" t="s">
        <v>264</v>
      </c>
      <c r="D126" t="s">
        <v>268</v>
      </c>
      <c r="E126" t="s">
        <v>274</v>
      </c>
      <c r="F126" t="s">
        <v>280</v>
      </c>
      <c r="G126" s="7">
        <v>2</v>
      </c>
      <c r="H126" s="3">
        <v>28697.38</v>
      </c>
      <c r="I126" s="3">
        <v>57394.76</v>
      </c>
    </row>
    <row r="127" spans="1:9" x14ac:dyDescent="0.3">
      <c r="A127" s="5" t="s">
        <v>29</v>
      </c>
      <c r="B127" t="s">
        <v>257</v>
      </c>
      <c r="C127" t="s">
        <v>265</v>
      </c>
      <c r="D127" t="s">
        <v>269</v>
      </c>
      <c r="E127" t="s">
        <v>271</v>
      </c>
      <c r="F127" t="s">
        <v>285</v>
      </c>
      <c r="G127" s="7">
        <v>4</v>
      </c>
      <c r="H127" s="3">
        <v>8766.11</v>
      </c>
      <c r="I127" s="3">
        <v>35064.44</v>
      </c>
    </row>
    <row r="128" spans="1:9" x14ac:dyDescent="0.3">
      <c r="A128" s="5" t="s">
        <v>29</v>
      </c>
      <c r="B128" t="s">
        <v>258</v>
      </c>
      <c r="C128" t="s">
        <v>265</v>
      </c>
      <c r="D128" t="s">
        <v>267</v>
      </c>
      <c r="E128" t="s">
        <v>271</v>
      </c>
      <c r="F128" t="s">
        <v>285</v>
      </c>
      <c r="G128" s="7">
        <v>5</v>
      </c>
      <c r="H128" s="3">
        <v>10125.799999999999</v>
      </c>
      <c r="I128" s="3">
        <v>50629</v>
      </c>
    </row>
    <row r="129" spans="1:9" x14ac:dyDescent="0.3">
      <c r="A129" s="5" t="s">
        <v>29</v>
      </c>
      <c r="B129" t="s">
        <v>260</v>
      </c>
      <c r="C129" t="s">
        <v>264</v>
      </c>
      <c r="D129" t="s">
        <v>268</v>
      </c>
      <c r="E129" t="s">
        <v>271</v>
      </c>
      <c r="F129" t="s">
        <v>275</v>
      </c>
      <c r="G129" s="7">
        <v>7</v>
      </c>
      <c r="H129" s="3">
        <v>9201.49</v>
      </c>
      <c r="I129" s="3">
        <v>64410.43</v>
      </c>
    </row>
    <row r="130" spans="1:9" x14ac:dyDescent="0.3">
      <c r="A130" s="5" t="s">
        <v>29</v>
      </c>
      <c r="B130" t="s">
        <v>254</v>
      </c>
      <c r="C130" t="s">
        <v>261</v>
      </c>
      <c r="D130" t="s">
        <v>269</v>
      </c>
      <c r="E130" t="s">
        <v>272</v>
      </c>
      <c r="F130" t="s">
        <v>290</v>
      </c>
      <c r="G130" s="7">
        <v>2</v>
      </c>
      <c r="H130" s="3">
        <v>24684.01</v>
      </c>
      <c r="I130" s="3">
        <v>49368.02</v>
      </c>
    </row>
    <row r="131" spans="1:9" x14ac:dyDescent="0.3">
      <c r="A131" s="5" t="s">
        <v>29</v>
      </c>
      <c r="B131" t="s">
        <v>254</v>
      </c>
      <c r="C131" t="s">
        <v>261</v>
      </c>
      <c r="D131" t="s">
        <v>268</v>
      </c>
      <c r="E131" t="s">
        <v>273</v>
      </c>
      <c r="F131" t="s">
        <v>283</v>
      </c>
      <c r="G131" s="7">
        <v>6</v>
      </c>
      <c r="H131" s="3">
        <v>41700.080000000002</v>
      </c>
      <c r="I131" s="3">
        <v>250200.48</v>
      </c>
    </row>
    <row r="132" spans="1:9" x14ac:dyDescent="0.3">
      <c r="A132" s="5" t="s">
        <v>30</v>
      </c>
      <c r="B132" t="s">
        <v>254</v>
      </c>
      <c r="C132" t="s">
        <v>261</v>
      </c>
      <c r="D132" t="s">
        <v>268</v>
      </c>
      <c r="E132" t="s">
        <v>272</v>
      </c>
      <c r="F132" t="s">
        <v>286</v>
      </c>
      <c r="G132" s="7">
        <v>1</v>
      </c>
      <c r="H132" s="3">
        <v>29114.9</v>
      </c>
      <c r="I132" s="3">
        <v>29114.9</v>
      </c>
    </row>
    <row r="133" spans="1:9" x14ac:dyDescent="0.3">
      <c r="A133" s="5" t="s">
        <v>30</v>
      </c>
      <c r="B133" t="s">
        <v>255</v>
      </c>
      <c r="C133" t="s">
        <v>264</v>
      </c>
      <c r="D133" t="s">
        <v>270</v>
      </c>
      <c r="E133" t="s">
        <v>272</v>
      </c>
      <c r="F133" t="s">
        <v>277</v>
      </c>
      <c r="G133" s="7">
        <v>7</v>
      </c>
      <c r="H133" s="3">
        <v>27848.66</v>
      </c>
      <c r="I133" s="3">
        <v>194940.62</v>
      </c>
    </row>
    <row r="134" spans="1:9" x14ac:dyDescent="0.3">
      <c r="A134" s="5" t="s">
        <v>30</v>
      </c>
      <c r="B134" t="s">
        <v>260</v>
      </c>
      <c r="C134" t="s">
        <v>265</v>
      </c>
      <c r="D134" t="s">
        <v>269</v>
      </c>
      <c r="E134" t="s">
        <v>274</v>
      </c>
      <c r="F134" t="s">
        <v>289</v>
      </c>
      <c r="G134" s="7">
        <v>9</v>
      </c>
      <c r="H134" s="3">
        <v>31791.71</v>
      </c>
      <c r="I134" s="3">
        <v>286125.39</v>
      </c>
    </row>
    <row r="135" spans="1:9" x14ac:dyDescent="0.3">
      <c r="A135" s="5" t="s">
        <v>30</v>
      </c>
      <c r="B135" t="s">
        <v>255</v>
      </c>
      <c r="C135" t="s">
        <v>264</v>
      </c>
      <c r="D135" t="s">
        <v>267</v>
      </c>
      <c r="E135" t="s">
        <v>274</v>
      </c>
      <c r="F135" t="s">
        <v>287</v>
      </c>
      <c r="G135" s="7">
        <v>5</v>
      </c>
      <c r="H135" s="3">
        <v>33974.620000000003</v>
      </c>
      <c r="I135" s="3">
        <v>169873.1</v>
      </c>
    </row>
    <row r="136" spans="1:9" x14ac:dyDescent="0.3">
      <c r="A136" s="5" t="s">
        <v>30</v>
      </c>
      <c r="B136" t="s">
        <v>253</v>
      </c>
      <c r="C136" t="s">
        <v>264</v>
      </c>
      <c r="D136" t="s">
        <v>270</v>
      </c>
      <c r="E136" t="s">
        <v>274</v>
      </c>
      <c r="F136" t="s">
        <v>289</v>
      </c>
      <c r="G136" s="7">
        <v>5</v>
      </c>
      <c r="H136" s="3">
        <v>34680.269999999997</v>
      </c>
      <c r="I136" s="3">
        <v>173401.35</v>
      </c>
    </row>
    <row r="137" spans="1:9" x14ac:dyDescent="0.3">
      <c r="A137" s="5" t="s">
        <v>30</v>
      </c>
      <c r="B137" t="s">
        <v>255</v>
      </c>
      <c r="C137" t="s">
        <v>261</v>
      </c>
      <c r="D137" t="s">
        <v>268</v>
      </c>
      <c r="E137" t="s">
        <v>273</v>
      </c>
      <c r="F137" t="s">
        <v>278</v>
      </c>
      <c r="G137" s="7">
        <v>4</v>
      </c>
      <c r="H137" s="3">
        <v>52593.51</v>
      </c>
      <c r="I137" s="3">
        <v>210374.04</v>
      </c>
    </row>
    <row r="138" spans="1:9" x14ac:dyDescent="0.3">
      <c r="A138" s="5" t="s">
        <v>31</v>
      </c>
      <c r="B138" t="s">
        <v>260</v>
      </c>
      <c r="C138" t="s">
        <v>262</v>
      </c>
      <c r="D138" t="s">
        <v>268</v>
      </c>
      <c r="E138" t="s">
        <v>273</v>
      </c>
      <c r="F138" t="s">
        <v>283</v>
      </c>
      <c r="G138" s="7">
        <v>3</v>
      </c>
      <c r="H138" s="3">
        <v>44387.4</v>
      </c>
      <c r="I138" s="3">
        <v>133162.20000000001</v>
      </c>
    </row>
    <row r="139" spans="1:9" x14ac:dyDescent="0.3">
      <c r="A139" s="5" t="s">
        <v>31</v>
      </c>
      <c r="B139" t="s">
        <v>260</v>
      </c>
      <c r="C139" t="s">
        <v>265</v>
      </c>
      <c r="D139" t="s">
        <v>268</v>
      </c>
      <c r="E139" t="s">
        <v>274</v>
      </c>
      <c r="F139" t="s">
        <v>289</v>
      </c>
      <c r="G139" s="7">
        <v>9</v>
      </c>
      <c r="H139" s="3">
        <v>37509.97</v>
      </c>
      <c r="I139" s="3">
        <v>337589.73</v>
      </c>
    </row>
    <row r="140" spans="1:9" x14ac:dyDescent="0.3">
      <c r="A140" s="5" t="s">
        <v>31</v>
      </c>
      <c r="B140" t="s">
        <v>253</v>
      </c>
      <c r="C140" t="s">
        <v>261</v>
      </c>
      <c r="D140" t="s">
        <v>269</v>
      </c>
      <c r="E140" t="s">
        <v>274</v>
      </c>
      <c r="F140" t="s">
        <v>280</v>
      </c>
      <c r="G140" s="7">
        <v>5</v>
      </c>
      <c r="H140" s="3">
        <v>31534.22</v>
      </c>
      <c r="I140" s="3">
        <v>157671.1</v>
      </c>
    </row>
    <row r="141" spans="1:9" x14ac:dyDescent="0.3">
      <c r="A141" s="5" t="s">
        <v>31</v>
      </c>
      <c r="B141" t="s">
        <v>260</v>
      </c>
      <c r="C141" t="s">
        <v>262</v>
      </c>
      <c r="D141" t="s">
        <v>269</v>
      </c>
      <c r="E141" t="s">
        <v>273</v>
      </c>
      <c r="F141" t="s">
        <v>279</v>
      </c>
      <c r="G141" s="7">
        <v>8</v>
      </c>
      <c r="H141" s="3">
        <v>39247.79</v>
      </c>
      <c r="I141" s="3">
        <v>313982.32</v>
      </c>
    </row>
    <row r="142" spans="1:9" x14ac:dyDescent="0.3">
      <c r="A142" s="5" t="s">
        <v>31</v>
      </c>
      <c r="B142" t="s">
        <v>257</v>
      </c>
      <c r="C142" t="s">
        <v>262</v>
      </c>
      <c r="D142" t="s">
        <v>270</v>
      </c>
      <c r="E142" t="s">
        <v>271</v>
      </c>
      <c r="F142" t="s">
        <v>275</v>
      </c>
      <c r="G142" s="7">
        <v>9</v>
      </c>
      <c r="H142" s="3">
        <v>9109.24</v>
      </c>
      <c r="I142" s="3">
        <v>81983.16</v>
      </c>
    </row>
    <row r="143" spans="1:9" x14ac:dyDescent="0.3">
      <c r="A143" s="5" t="s">
        <v>31</v>
      </c>
      <c r="B143" t="s">
        <v>260</v>
      </c>
      <c r="C143" t="s">
        <v>263</v>
      </c>
      <c r="D143" t="s">
        <v>267</v>
      </c>
      <c r="E143" t="s">
        <v>273</v>
      </c>
      <c r="F143" t="s">
        <v>278</v>
      </c>
      <c r="G143" s="7">
        <v>5</v>
      </c>
      <c r="H143" s="3">
        <v>48832.24</v>
      </c>
      <c r="I143" s="3">
        <v>244161.2</v>
      </c>
    </row>
    <row r="144" spans="1:9" x14ac:dyDescent="0.3">
      <c r="A144" s="5" t="s">
        <v>32</v>
      </c>
      <c r="B144" t="s">
        <v>254</v>
      </c>
      <c r="C144" t="s">
        <v>265</v>
      </c>
      <c r="D144" t="s">
        <v>270</v>
      </c>
      <c r="E144" t="s">
        <v>273</v>
      </c>
      <c r="F144" t="s">
        <v>279</v>
      </c>
      <c r="G144" s="7">
        <v>9</v>
      </c>
      <c r="H144" s="3">
        <v>55071.72</v>
      </c>
      <c r="I144" s="3">
        <v>495645.48</v>
      </c>
    </row>
    <row r="145" spans="1:9" x14ac:dyDescent="0.3">
      <c r="A145" s="5" t="s">
        <v>32</v>
      </c>
      <c r="B145" t="s">
        <v>257</v>
      </c>
      <c r="C145" t="s">
        <v>262</v>
      </c>
      <c r="D145" t="s">
        <v>266</v>
      </c>
      <c r="E145" t="s">
        <v>273</v>
      </c>
      <c r="F145" t="s">
        <v>288</v>
      </c>
      <c r="G145" s="7">
        <v>2</v>
      </c>
      <c r="H145" s="3">
        <v>51319.1</v>
      </c>
      <c r="I145" s="3">
        <v>102638.2</v>
      </c>
    </row>
    <row r="146" spans="1:9" x14ac:dyDescent="0.3">
      <c r="A146" s="5" t="s">
        <v>32</v>
      </c>
      <c r="B146" t="s">
        <v>257</v>
      </c>
      <c r="C146" t="s">
        <v>261</v>
      </c>
      <c r="D146" t="s">
        <v>268</v>
      </c>
      <c r="E146" t="s">
        <v>274</v>
      </c>
      <c r="F146" t="s">
        <v>287</v>
      </c>
      <c r="G146" s="7">
        <v>9</v>
      </c>
      <c r="H146" s="3">
        <v>38947.49</v>
      </c>
      <c r="I146" s="3">
        <v>350527.41</v>
      </c>
    </row>
    <row r="147" spans="1:9" x14ac:dyDescent="0.3">
      <c r="A147" s="5" t="s">
        <v>32</v>
      </c>
      <c r="B147" t="s">
        <v>253</v>
      </c>
      <c r="C147" t="s">
        <v>263</v>
      </c>
      <c r="D147" t="s">
        <v>268</v>
      </c>
      <c r="E147" t="s">
        <v>271</v>
      </c>
      <c r="F147" t="s">
        <v>285</v>
      </c>
      <c r="G147" s="7">
        <v>4</v>
      </c>
      <c r="H147" s="3">
        <v>10313.379999999999</v>
      </c>
      <c r="I147" s="3">
        <v>41253.519999999997</v>
      </c>
    </row>
    <row r="148" spans="1:9" x14ac:dyDescent="0.3">
      <c r="A148" s="5" t="s">
        <v>32</v>
      </c>
      <c r="B148" t="s">
        <v>256</v>
      </c>
      <c r="C148" t="s">
        <v>265</v>
      </c>
      <c r="D148" t="s">
        <v>268</v>
      </c>
      <c r="E148" t="s">
        <v>273</v>
      </c>
      <c r="F148" t="s">
        <v>283</v>
      </c>
      <c r="G148" s="7">
        <v>6</v>
      </c>
      <c r="H148" s="3">
        <v>49132.33</v>
      </c>
      <c r="I148" s="3">
        <v>294793.98</v>
      </c>
    </row>
    <row r="149" spans="1:9" x14ac:dyDescent="0.3">
      <c r="A149" s="5" t="s">
        <v>32</v>
      </c>
      <c r="B149" t="s">
        <v>256</v>
      </c>
      <c r="C149" t="s">
        <v>264</v>
      </c>
      <c r="D149" t="s">
        <v>270</v>
      </c>
      <c r="E149" t="s">
        <v>274</v>
      </c>
      <c r="F149" t="s">
        <v>280</v>
      </c>
      <c r="G149" s="7">
        <v>6</v>
      </c>
      <c r="H149" s="3">
        <v>33955.35</v>
      </c>
      <c r="I149" s="3">
        <v>203732.1</v>
      </c>
    </row>
    <row r="150" spans="1:9" x14ac:dyDescent="0.3">
      <c r="A150" s="5" t="s">
        <v>32</v>
      </c>
      <c r="B150" t="s">
        <v>260</v>
      </c>
      <c r="C150" t="s">
        <v>261</v>
      </c>
      <c r="D150" t="s">
        <v>270</v>
      </c>
      <c r="E150" t="s">
        <v>272</v>
      </c>
      <c r="F150" t="s">
        <v>276</v>
      </c>
      <c r="G150" s="7">
        <v>6</v>
      </c>
      <c r="H150" s="3">
        <v>30043.34</v>
      </c>
      <c r="I150" s="3">
        <v>180260.04</v>
      </c>
    </row>
    <row r="151" spans="1:9" x14ac:dyDescent="0.3">
      <c r="A151" s="5" t="s">
        <v>33</v>
      </c>
      <c r="B151" t="s">
        <v>257</v>
      </c>
      <c r="C151" t="s">
        <v>262</v>
      </c>
      <c r="D151" t="s">
        <v>268</v>
      </c>
      <c r="E151" t="s">
        <v>272</v>
      </c>
      <c r="F151" t="s">
        <v>286</v>
      </c>
      <c r="G151" s="7">
        <v>2</v>
      </c>
      <c r="H151" s="3">
        <v>34757.31</v>
      </c>
      <c r="I151" s="3">
        <v>69514.62</v>
      </c>
    </row>
    <row r="152" spans="1:9" x14ac:dyDescent="0.3">
      <c r="A152" s="5" t="s">
        <v>33</v>
      </c>
      <c r="B152" t="s">
        <v>256</v>
      </c>
      <c r="C152" t="s">
        <v>262</v>
      </c>
      <c r="D152" t="s">
        <v>270</v>
      </c>
      <c r="E152" t="s">
        <v>273</v>
      </c>
      <c r="F152" t="s">
        <v>278</v>
      </c>
      <c r="G152" s="7">
        <v>7</v>
      </c>
      <c r="H152" s="3">
        <v>52167.02</v>
      </c>
      <c r="I152" s="3">
        <v>365169.14</v>
      </c>
    </row>
    <row r="153" spans="1:9" x14ac:dyDescent="0.3">
      <c r="A153" s="5" t="s">
        <v>33</v>
      </c>
      <c r="B153" t="s">
        <v>256</v>
      </c>
      <c r="C153" t="s">
        <v>261</v>
      </c>
      <c r="D153" t="s">
        <v>269</v>
      </c>
      <c r="E153" t="s">
        <v>272</v>
      </c>
      <c r="F153" t="s">
        <v>286</v>
      </c>
      <c r="G153" s="7">
        <v>6</v>
      </c>
      <c r="H153" s="3">
        <v>24990.18</v>
      </c>
      <c r="I153" s="3">
        <v>149941.07999999999</v>
      </c>
    </row>
    <row r="154" spans="1:9" x14ac:dyDescent="0.3">
      <c r="A154" s="5" t="s">
        <v>33</v>
      </c>
      <c r="B154" t="s">
        <v>260</v>
      </c>
      <c r="C154" t="s">
        <v>262</v>
      </c>
      <c r="D154" t="s">
        <v>269</v>
      </c>
      <c r="E154" t="s">
        <v>271</v>
      </c>
      <c r="F154" t="s">
        <v>285</v>
      </c>
      <c r="G154" s="7">
        <v>1</v>
      </c>
      <c r="H154" s="3">
        <v>9871.66</v>
      </c>
      <c r="I154" s="3">
        <v>9871.66</v>
      </c>
    </row>
    <row r="155" spans="1:9" x14ac:dyDescent="0.3">
      <c r="A155" s="5" t="s">
        <v>33</v>
      </c>
      <c r="B155" t="s">
        <v>256</v>
      </c>
      <c r="C155" t="s">
        <v>263</v>
      </c>
      <c r="D155" t="s">
        <v>270</v>
      </c>
      <c r="E155" t="s">
        <v>272</v>
      </c>
      <c r="F155" t="s">
        <v>276</v>
      </c>
      <c r="G155" s="7">
        <v>2</v>
      </c>
      <c r="H155" s="3">
        <v>25710.03</v>
      </c>
      <c r="I155" s="3">
        <v>51420.06</v>
      </c>
    </row>
    <row r="156" spans="1:9" x14ac:dyDescent="0.3">
      <c r="A156" s="5" t="s">
        <v>33</v>
      </c>
      <c r="B156" t="s">
        <v>255</v>
      </c>
      <c r="C156" t="s">
        <v>265</v>
      </c>
      <c r="D156" t="s">
        <v>268</v>
      </c>
      <c r="E156" t="s">
        <v>272</v>
      </c>
      <c r="F156" t="s">
        <v>290</v>
      </c>
      <c r="G156" s="7">
        <v>7</v>
      </c>
      <c r="H156" s="3">
        <v>28810.33</v>
      </c>
      <c r="I156" s="3">
        <v>201672.31</v>
      </c>
    </row>
    <row r="157" spans="1:9" x14ac:dyDescent="0.3">
      <c r="A157" s="5" t="s">
        <v>34</v>
      </c>
      <c r="B157" t="s">
        <v>258</v>
      </c>
      <c r="C157" t="s">
        <v>263</v>
      </c>
      <c r="D157" t="s">
        <v>270</v>
      </c>
      <c r="E157" t="s">
        <v>271</v>
      </c>
      <c r="F157" t="s">
        <v>285</v>
      </c>
      <c r="G157" s="7">
        <v>1</v>
      </c>
      <c r="H157" s="3">
        <v>7940.56</v>
      </c>
      <c r="I157" s="3">
        <v>7940.56</v>
      </c>
    </row>
    <row r="158" spans="1:9" x14ac:dyDescent="0.3">
      <c r="A158" s="5" t="s">
        <v>34</v>
      </c>
      <c r="B158" t="s">
        <v>253</v>
      </c>
      <c r="C158" t="s">
        <v>262</v>
      </c>
      <c r="D158" t="s">
        <v>270</v>
      </c>
      <c r="E158" t="s">
        <v>273</v>
      </c>
      <c r="F158" t="s">
        <v>279</v>
      </c>
      <c r="G158" s="7">
        <v>1</v>
      </c>
      <c r="H158" s="3">
        <v>50662.5</v>
      </c>
      <c r="I158" s="3">
        <v>50662.5</v>
      </c>
    </row>
    <row r="159" spans="1:9" x14ac:dyDescent="0.3">
      <c r="A159" s="5" t="s">
        <v>34</v>
      </c>
      <c r="B159" t="s">
        <v>258</v>
      </c>
      <c r="C159" t="s">
        <v>264</v>
      </c>
      <c r="D159" t="s">
        <v>270</v>
      </c>
      <c r="E159" t="s">
        <v>273</v>
      </c>
      <c r="F159" t="s">
        <v>288</v>
      </c>
      <c r="G159" s="7">
        <v>1</v>
      </c>
      <c r="H159" s="3">
        <v>54041.58</v>
      </c>
      <c r="I159" s="3">
        <v>54041.58</v>
      </c>
    </row>
    <row r="160" spans="1:9" x14ac:dyDescent="0.3">
      <c r="A160" s="5" t="s">
        <v>34</v>
      </c>
      <c r="B160" t="s">
        <v>260</v>
      </c>
      <c r="C160" t="s">
        <v>265</v>
      </c>
      <c r="D160" t="s">
        <v>266</v>
      </c>
      <c r="E160" t="s">
        <v>271</v>
      </c>
      <c r="F160" t="s">
        <v>275</v>
      </c>
      <c r="G160" s="7">
        <v>8</v>
      </c>
      <c r="H160" s="3">
        <v>8212.23</v>
      </c>
      <c r="I160" s="3">
        <v>65697.84</v>
      </c>
    </row>
    <row r="161" spans="1:9" x14ac:dyDescent="0.3">
      <c r="A161" s="5" t="s">
        <v>34</v>
      </c>
      <c r="B161" t="s">
        <v>254</v>
      </c>
      <c r="C161" t="s">
        <v>265</v>
      </c>
      <c r="D161" t="s">
        <v>269</v>
      </c>
      <c r="E161" t="s">
        <v>271</v>
      </c>
      <c r="F161" t="s">
        <v>285</v>
      </c>
      <c r="G161" s="7">
        <v>4</v>
      </c>
      <c r="H161" s="3">
        <v>7503.84</v>
      </c>
      <c r="I161" s="3">
        <v>30015.360000000001</v>
      </c>
    </row>
    <row r="162" spans="1:9" x14ac:dyDescent="0.3">
      <c r="A162" s="5" t="s">
        <v>34</v>
      </c>
      <c r="B162" t="s">
        <v>253</v>
      </c>
      <c r="C162" t="s">
        <v>261</v>
      </c>
      <c r="D162" t="s">
        <v>267</v>
      </c>
      <c r="E162" t="s">
        <v>271</v>
      </c>
      <c r="F162" t="s">
        <v>275</v>
      </c>
      <c r="G162" s="7">
        <v>4</v>
      </c>
      <c r="H162" s="3">
        <v>8239.8799999999992</v>
      </c>
      <c r="I162" s="3">
        <v>32959.519999999997</v>
      </c>
    </row>
    <row r="163" spans="1:9" x14ac:dyDescent="0.3">
      <c r="A163" s="5" t="s">
        <v>35</v>
      </c>
      <c r="B163" t="s">
        <v>260</v>
      </c>
      <c r="C163" t="s">
        <v>261</v>
      </c>
      <c r="D163" t="s">
        <v>267</v>
      </c>
      <c r="E163" t="s">
        <v>272</v>
      </c>
      <c r="F163" t="s">
        <v>290</v>
      </c>
      <c r="G163" s="7">
        <v>2</v>
      </c>
      <c r="H163" s="3">
        <v>31330.45</v>
      </c>
      <c r="I163" s="3">
        <v>62660.9</v>
      </c>
    </row>
    <row r="164" spans="1:9" x14ac:dyDescent="0.3">
      <c r="A164" s="5" t="s">
        <v>35</v>
      </c>
      <c r="B164" t="s">
        <v>257</v>
      </c>
      <c r="C164" t="s">
        <v>264</v>
      </c>
      <c r="D164" t="s">
        <v>266</v>
      </c>
      <c r="E164" t="s">
        <v>271</v>
      </c>
      <c r="F164" t="s">
        <v>275</v>
      </c>
      <c r="G164" s="7">
        <v>1</v>
      </c>
      <c r="H164" s="3">
        <v>8342.7800000000007</v>
      </c>
      <c r="I164" s="3">
        <v>8342.7800000000007</v>
      </c>
    </row>
    <row r="165" spans="1:9" x14ac:dyDescent="0.3">
      <c r="A165" s="5" t="s">
        <v>35</v>
      </c>
      <c r="B165" t="s">
        <v>254</v>
      </c>
      <c r="C165" t="s">
        <v>265</v>
      </c>
      <c r="D165" t="s">
        <v>270</v>
      </c>
      <c r="E165" t="s">
        <v>274</v>
      </c>
      <c r="F165" t="s">
        <v>280</v>
      </c>
      <c r="G165" s="7">
        <v>9</v>
      </c>
      <c r="H165" s="3">
        <v>30759.84</v>
      </c>
      <c r="I165" s="3">
        <v>276838.56</v>
      </c>
    </row>
    <row r="166" spans="1:9" x14ac:dyDescent="0.3">
      <c r="A166" s="5" t="s">
        <v>35</v>
      </c>
      <c r="B166" t="s">
        <v>258</v>
      </c>
      <c r="C166" t="s">
        <v>264</v>
      </c>
      <c r="D166" t="s">
        <v>266</v>
      </c>
      <c r="E166" t="s">
        <v>272</v>
      </c>
      <c r="F166" t="s">
        <v>277</v>
      </c>
      <c r="G166" s="7">
        <v>7</v>
      </c>
      <c r="H166" s="3">
        <v>25865.67</v>
      </c>
      <c r="I166" s="3">
        <v>181059.69</v>
      </c>
    </row>
    <row r="167" spans="1:9" x14ac:dyDescent="0.3">
      <c r="A167" s="5" t="s">
        <v>35</v>
      </c>
      <c r="B167" t="s">
        <v>260</v>
      </c>
      <c r="C167" t="s">
        <v>261</v>
      </c>
      <c r="D167" t="s">
        <v>266</v>
      </c>
      <c r="E167" t="s">
        <v>273</v>
      </c>
      <c r="F167" t="s">
        <v>279</v>
      </c>
      <c r="G167" s="7">
        <v>4</v>
      </c>
      <c r="H167" s="3">
        <v>47205.3</v>
      </c>
      <c r="I167" s="3">
        <v>188821.2</v>
      </c>
    </row>
    <row r="168" spans="1:9" x14ac:dyDescent="0.3">
      <c r="A168" s="5" t="s">
        <v>35</v>
      </c>
      <c r="B168" t="s">
        <v>257</v>
      </c>
      <c r="C168" t="s">
        <v>261</v>
      </c>
      <c r="D168" t="s">
        <v>268</v>
      </c>
      <c r="E168" t="s">
        <v>273</v>
      </c>
      <c r="F168" t="s">
        <v>288</v>
      </c>
      <c r="G168" s="7">
        <v>6</v>
      </c>
      <c r="H168" s="3">
        <v>43217.08</v>
      </c>
      <c r="I168" s="3">
        <v>259302.48</v>
      </c>
    </row>
    <row r="169" spans="1:9" x14ac:dyDescent="0.3">
      <c r="A169" s="5" t="s">
        <v>36</v>
      </c>
      <c r="B169" t="s">
        <v>253</v>
      </c>
      <c r="C169" t="s">
        <v>265</v>
      </c>
      <c r="D169" t="s">
        <v>269</v>
      </c>
      <c r="E169" t="s">
        <v>273</v>
      </c>
      <c r="F169" t="s">
        <v>278</v>
      </c>
      <c r="G169" s="7">
        <v>2</v>
      </c>
      <c r="H169" s="3">
        <v>51408.19</v>
      </c>
      <c r="I169" s="3">
        <v>102816.38</v>
      </c>
    </row>
    <row r="170" spans="1:9" x14ac:dyDescent="0.3">
      <c r="A170" s="5" t="s">
        <v>36</v>
      </c>
      <c r="B170" t="s">
        <v>253</v>
      </c>
      <c r="C170" t="s">
        <v>263</v>
      </c>
      <c r="D170" t="s">
        <v>267</v>
      </c>
      <c r="E170" t="s">
        <v>272</v>
      </c>
      <c r="F170" t="s">
        <v>277</v>
      </c>
      <c r="G170" s="7">
        <v>7</v>
      </c>
      <c r="H170" s="3">
        <v>24658.17</v>
      </c>
      <c r="I170" s="3">
        <v>172607.19</v>
      </c>
    </row>
    <row r="171" spans="1:9" x14ac:dyDescent="0.3">
      <c r="A171" s="5" t="s">
        <v>36</v>
      </c>
      <c r="B171" t="s">
        <v>259</v>
      </c>
      <c r="C171" t="s">
        <v>262</v>
      </c>
      <c r="D171" t="s">
        <v>270</v>
      </c>
      <c r="E171" t="s">
        <v>274</v>
      </c>
      <c r="F171" t="s">
        <v>289</v>
      </c>
      <c r="G171" s="7">
        <v>2</v>
      </c>
      <c r="H171" s="3">
        <v>35699.620000000003</v>
      </c>
      <c r="I171" s="3">
        <v>71399.240000000005</v>
      </c>
    </row>
    <row r="172" spans="1:9" x14ac:dyDescent="0.3">
      <c r="A172" s="5" t="s">
        <v>36</v>
      </c>
      <c r="B172" t="s">
        <v>257</v>
      </c>
      <c r="C172" t="s">
        <v>261</v>
      </c>
      <c r="D172" t="s">
        <v>267</v>
      </c>
      <c r="E172" t="s">
        <v>271</v>
      </c>
      <c r="F172" t="s">
        <v>285</v>
      </c>
      <c r="G172" s="7">
        <v>8</v>
      </c>
      <c r="H172" s="3">
        <v>8032.7</v>
      </c>
      <c r="I172" s="3">
        <v>64261.599999999999</v>
      </c>
    </row>
    <row r="173" spans="1:9" x14ac:dyDescent="0.3">
      <c r="A173" s="5" t="s">
        <v>36</v>
      </c>
      <c r="B173" t="s">
        <v>255</v>
      </c>
      <c r="C173" t="s">
        <v>261</v>
      </c>
      <c r="D173" t="s">
        <v>267</v>
      </c>
      <c r="E173" t="s">
        <v>271</v>
      </c>
      <c r="F173" t="s">
        <v>281</v>
      </c>
      <c r="G173" s="7">
        <v>8</v>
      </c>
      <c r="H173" s="3">
        <v>8888.5499999999993</v>
      </c>
      <c r="I173" s="3">
        <v>71108.399999999994</v>
      </c>
    </row>
    <row r="174" spans="1:9" x14ac:dyDescent="0.3">
      <c r="A174" s="5" t="s">
        <v>36</v>
      </c>
      <c r="B174" t="s">
        <v>256</v>
      </c>
      <c r="C174" t="s">
        <v>263</v>
      </c>
      <c r="D174" t="s">
        <v>269</v>
      </c>
      <c r="E174" t="s">
        <v>273</v>
      </c>
      <c r="F174" t="s">
        <v>283</v>
      </c>
      <c r="G174" s="7">
        <v>1</v>
      </c>
      <c r="H174" s="3">
        <v>43399.62</v>
      </c>
      <c r="I174" s="3">
        <v>43399.62</v>
      </c>
    </row>
    <row r="175" spans="1:9" x14ac:dyDescent="0.3">
      <c r="A175" s="5" t="s">
        <v>37</v>
      </c>
      <c r="B175" t="s">
        <v>254</v>
      </c>
      <c r="C175" t="s">
        <v>263</v>
      </c>
      <c r="D175" t="s">
        <v>267</v>
      </c>
      <c r="E175" t="s">
        <v>273</v>
      </c>
      <c r="F175" t="s">
        <v>279</v>
      </c>
      <c r="G175" s="7">
        <v>8</v>
      </c>
      <c r="H175" s="3">
        <v>51259.839999999997</v>
      </c>
      <c r="I175" s="3">
        <v>410078.71999999997</v>
      </c>
    </row>
    <row r="176" spans="1:9" x14ac:dyDescent="0.3">
      <c r="A176" s="5" t="s">
        <v>37</v>
      </c>
      <c r="B176" t="s">
        <v>257</v>
      </c>
      <c r="C176" t="s">
        <v>264</v>
      </c>
      <c r="D176" t="s">
        <v>267</v>
      </c>
      <c r="E176" t="s">
        <v>272</v>
      </c>
      <c r="F176" t="s">
        <v>290</v>
      </c>
      <c r="G176" s="7">
        <v>2</v>
      </c>
      <c r="H176" s="3">
        <v>34387.440000000002</v>
      </c>
      <c r="I176" s="3">
        <v>68774.880000000005</v>
      </c>
    </row>
    <row r="177" spans="1:9" x14ac:dyDescent="0.3">
      <c r="A177" s="5" t="s">
        <v>37</v>
      </c>
      <c r="B177" t="s">
        <v>259</v>
      </c>
      <c r="C177" t="s">
        <v>264</v>
      </c>
      <c r="D177" t="s">
        <v>266</v>
      </c>
      <c r="E177" t="s">
        <v>274</v>
      </c>
      <c r="F177" t="s">
        <v>289</v>
      </c>
      <c r="G177" s="7">
        <v>6</v>
      </c>
      <c r="H177" s="3">
        <v>38938.58</v>
      </c>
      <c r="I177" s="3">
        <v>233631.48</v>
      </c>
    </row>
    <row r="178" spans="1:9" x14ac:dyDescent="0.3">
      <c r="A178" s="5" t="s">
        <v>37</v>
      </c>
      <c r="B178" t="s">
        <v>256</v>
      </c>
      <c r="C178" t="s">
        <v>262</v>
      </c>
      <c r="D178" t="s">
        <v>269</v>
      </c>
      <c r="E178" t="s">
        <v>271</v>
      </c>
      <c r="F178" t="s">
        <v>282</v>
      </c>
      <c r="G178" s="7">
        <v>1</v>
      </c>
      <c r="H178" s="3">
        <v>9208.65</v>
      </c>
      <c r="I178" s="3">
        <v>9208.65</v>
      </c>
    </row>
    <row r="179" spans="1:9" x14ac:dyDescent="0.3">
      <c r="A179" s="5" t="s">
        <v>37</v>
      </c>
      <c r="B179" t="s">
        <v>256</v>
      </c>
      <c r="C179" t="s">
        <v>262</v>
      </c>
      <c r="D179" t="s">
        <v>268</v>
      </c>
      <c r="E179" t="s">
        <v>272</v>
      </c>
      <c r="F179" t="s">
        <v>286</v>
      </c>
      <c r="G179" s="7">
        <v>5</v>
      </c>
      <c r="H179" s="3">
        <v>28981.24</v>
      </c>
      <c r="I179" s="3">
        <v>144906.20000000001</v>
      </c>
    </row>
    <row r="180" spans="1:9" x14ac:dyDescent="0.3">
      <c r="A180" s="5" t="s">
        <v>37</v>
      </c>
      <c r="B180" t="s">
        <v>260</v>
      </c>
      <c r="C180" t="s">
        <v>265</v>
      </c>
      <c r="D180" t="s">
        <v>270</v>
      </c>
      <c r="E180" t="s">
        <v>271</v>
      </c>
      <c r="F180" t="s">
        <v>285</v>
      </c>
      <c r="G180" s="7">
        <v>7</v>
      </c>
      <c r="H180" s="3">
        <v>10007.219999999999</v>
      </c>
      <c r="I180" s="3">
        <v>70050.539999999994</v>
      </c>
    </row>
    <row r="181" spans="1:9" x14ac:dyDescent="0.3">
      <c r="A181" s="5" t="s">
        <v>38</v>
      </c>
      <c r="B181" t="s">
        <v>256</v>
      </c>
      <c r="C181" t="s">
        <v>264</v>
      </c>
      <c r="D181" t="s">
        <v>267</v>
      </c>
      <c r="E181" t="s">
        <v>273</v>
      </c>
      <c r="F181" t="s">
        <v>288</v>
      </c>
      <c r="G181" s="7">
        <v>1</v>
      </c>
      <c r="H181" s="3">
        <v>50549.87</v>
      </c>
      <c r="I181" s="3">
        <v>50549.87</v>
      </c>
    </row>
    <row r="182" spans="1:9" x14ac:dyDescent="0.3">
      <c r="A182" s="5" t="s">
        <v>38</v>
      </c>
      <c r="B182" t="s">
        <v>255</v>
      </c>
      <c r="C182" t="s">
        <v>261</v>
      </c>
      <c r="D182" t="s">
        <v>270</v>
      </c>
      <c r="E182" t="s">
        <v>271</v>
      </c>
      <c r="F182" t="s">
        <v>282</v>
      </c>
      <c r="G182" s="7">
        <v>2</v>
      </c>
      <c r="H182" s="3">
        <v>7849.12</v>
      </c>
      <c r="I182" s="3">
        <v>15698.24</v>
      </c>
    </row>
    <row r="183" spans="1:9" x14ac:dyDescent="0.3">
      <c r="A183" s="5" t="s">
        <v>38</v>
      </c>
      <c r="B183" t="s">
        <v>253</v>
      </c>
      <c r="C183" t="s">
        <v>264</v>
      </c>
      <c r="D183" t="s">
        <v>268</v>
      </c>
      <c r="E183" t="s">
        <v>274</v>
      </c>
      <c r="F183" t="s">
        <v>289</v>
      </c>
      <c r="G183" s="7">
        <v>7</v>
      </c>
      <c r="H183" s="3">
        <v>37707.769999999997</v>
      </c>
      <c r="I183" s="3">
        <v>263954.39</v>
      </c>
    </row>
    <row r="184" spans="1:9" x14ac:dyDescent="0.3">
      <c r="A184" s="5" t="s">
        <v>38</v>
      </c>
      <c r="B184" t="s">
        <v>259</v>
      </c>
      <c r="C184" t="s">
        <v>261</v>
      </c>
      <c r="D184" t="s">
        <v>270</v>
      </c>
      <c r="E184" t="s">
        <v>274</v>
      </c>
      <c r="F184" t="s">
        <v>287</v>
      </c>
      <c r="G184" s="7">
        <v>6</v>
      </c>
      <c r="H184" s="3">
        <v>32689.72</v>
      </c>
      <c r="I184" s="3">
        <v>196138.32</v>
      </c>
    </row>
    <row r="185" spans="1:9" x14ac:dyDescent="0.3">
      <c r="A185" s="5" t="s">
        <v>38</v>
      </c>
      <c r="B185" t="s">
        <v>256</v>
      </c>
      <c r="C185" t="s">
        <v>263</v>
      </c>
      <c r="D185" t="s">
        <v>268</v>
      </c>
      <c r="E185" t="s">
        <v>273</v>
      </c>
      <c r="F185" t="s">
        <v>279</v>
      </c>
      <c r="G185" s="7">
        <v>3</v>
      </c>
      <c r="H185" s="3">
        <v>41651.74</v>
      </c>
      <c r="I185" s="3">
        <v>124955.22</v>
      </c>
    </row>
    <row r="186" spans="1:9" x14ac:dyDescent="0.3">
      <c r="A186" s="5" t="s">
        <v>38</v>
      </c>
      <c r="B186" t="s">
        <v>260</v>
      </c>
      <c r="C186" t="s">
        <v>264</v>
      </c>
      <c r="D186" t="s">
        <v>266</v>
      </c>
      <c r="E186" t="s">
        <v>274</v>
      </c>
      <c r="F186" t="s">
        <v>284</v>
      </c>
      <c r="G186" s="7">
        <v>2</v>
      </c>
      <c r="H186" s="3">
        <v>30807.01</v>
      </c>
      <c r="I186" s="3">
        <v>61614.02</v>
      </c>
    </row>
    <row r="187" spans="1:9" x14ac:dyDescent="0.3">
      <c r="A187" s="5" t="s">
        <v>38</v>
      </c>
      <c r="B187" t="s">
        <v>255</v>
      </c>
      <c r="C187" t="s">
        <v>263</v>
      </c>
      <c r="D187" t="s">
        <v>267</v>
      </c>
      <c r="E187" t="s">
        <v>274</v>
      </c>
      <c r="F187" t="s">
        <v>284</v>
      </c>
      <c r="G187" s="7">
        <v>4</v>
      </c>
      <c r="H187" s="3">
        <v>30624.35</v>
      </c>
      <c r="I187" s="3">
        <v>122497.4</v>
      </c>
    </row>
    <row r="188" spans="1:9" x14ac:dyDescent="0.3">
      <c r="A188" s="5" t="s">
        <v>39</v>
      </c>
      <c r="B188" t="s">
        <v>258</v>
      </c>
      <c r="C188" t="s">
        <v>262</v>
      </c>
      <c r="D188" t="s">
        <v>268</v>
      </c>
      <c r="E188" t="s">
        <v>272</v>
      </c>
      <c r="F188" t="s">
        <v>286</v>
      </c>
      <c r="G188" s="7">
        <v>3</v>
      </c>
      <c r="H188" s="3">
        <v>29615.119999999999</v>
      </c>
      <c r="I188" s="3">
        <v>88845.36</v>
      </c>
    </row>
    <row r="189" spans="1:9" x14ac:dyDescent="0.3">
      <c r="A189" s="5" t="s">
        <v>39</v>
      </c>
      <c r="B189" t="s">
        <v>253</v>
      </c>
      <c r="C189" t="s">
        <v>262</v>
      </c>
      <c r="D189" t="s">
        <v>270</v>
      </c>
      <c r="E189" t="s">
        <v>271</v>
      </c>
      <c r="F189" t="s">
        <v>275</v>
      </c>
      <c r="G189" s="7">
        <v>7</v>
      </c>
      <c r="H189" s="3">
        <v>8021.86</v>
      </c>
      <c r="I189" s="3">
        <v>56153.02</v>
      </c>
    </row>
    <row r="190" spans="1:9" x14ac:dyDescent="0.3">
      <c r="A190" s="5" t="s">
        <v>39</v>
      </c>
      <c r="B190" t="s">
        <v>253</v>
      </c>
      <c r="C190" t="s">
        <v>265</v>
      </c>
      <c r="D190" t="s">
        <v>267</v>
      </c>
      <c r="E190" t="s">
        <v>273</v>
      </c>
      <c r="F190" t="s">
        <v>283</v>
      </c>
      <c r="G190" s="7">
        <v>8</v>
      </c>
      <c r="H190" s="3">
        <v>40474.199999999997</v>
      </c>
      <c r="I190" s="3">
        <v>323793.59999999998</v>
      </c>
    </row>
    <row r="191" spans="1:9" x14ac:dyDescent="0.3">
      <c r="A191" s="5" t="s">
        <v>39</v>
      </c>
      <c r="B191" t="s">
        <v>259</v>
      </c>
      <c r="C191" t="s">
        <v>264</v>
      </c>
      <c r="D191" t="s">
        <v>266</v>
      </c>
      <c r="E191" t="s">
        <v>273</v>
      </c>
      <c r="F191" t="s">
        <v>283</v>
      </c>
      <c r="G191" s="7">
        <v>2</v>
      </c>
      <c r="H191" s="3">
        <v>40476.44</v>
      </c>
      <c r="I191" s="3">
        <v>80952.88</v>
      </c>
    </row>
    <row r="192" spans="1:9" x14ac:dyDescent="0.3">
      <c r="A192" s="5" t="s">
        <v>39</v>
      </c>
      <c r="B192" t="s">
        <v>253</v>
      </c>
      <c r="C192" t="s">
        <v>263</v>
      </c>
      <c r="D192" t="s">
        <v>267</v>
      </c>
      <c r="E192" t="s">
        <v>273</v>
      </c>
      <c r="F192" t="s">
        <v>288</v>
      </c>
      <c r="G192" s="7">
        <v>7</v>
      </c>
      <c r="H192" s="3">
        <v>48748.97</v>
      </c>
      <c r="I192" s="3">
        <v>341242.79</v>
      </c>
    </row>
    <row r="193" spans="1:9" x14ac:dyDescent="0.3">
      <c r="A193" s="5" t="s">
        <v>39</v>
      </c>
      <c r="B193" t="s">
        <v>256</v>
      </c>
      <c r="C193" t="s">
        <v>261</v>
      </c>
      <c r="D193" t="s">
        <v>268</v>
      </c>
      <c r="E193" t="s">
        <v>273</v>
      </c>
      <c r="F193" t="s">
        <v>288</v>
      </c>
      <c r="G193" s="7">
        <v>8</v>
      </c>
      <c r="H193" s="3">
        <v>51475.67</v>
      </c>
      <c r="I193" s="3">
        <v>411805.36</v>
      </c>
    </row>
    <row r="194" spans="1:9" x14ac:dyDescent="0.3">
      <c r="A194" s="5" t="s">
        <v>40</v>
      </c>
      <c r="B194" t="s">
        <v>260</v>
      </c>
      <c r="C194" t="s">
        <v>262</v>
      </c>
      <c r="D194" t="s">
        <v>266</v>
      </c>
      <c r="E194" t="s">
        <v>273</v>
      </c>
      <c r="F194" t="s">
        <v>279</v>
      </c>
      <c r="G194" s="7">
        <v>6</v>
      </c>
      <c r="H194" s="3">
        <v>44037.59</v>
      </c>
      <c r="I194" s="3">
        <v>264225.53999999998</v>
      </c>
    </row>
    <row r="195" spans="1:9" x14ac:dyDescent="0.3">
      <c r="A195" s="5" t="s">
        <v>40</v>
      </c>
      <c r="B195" t="s">
        <v>253</v>
      </c>
      <c r="C195" t="s">
        <v>262</v>
      </c>
      <c r="D195" t="s">
        <v>270</v>
      </c>
      <c r="E195" t="s">
        <v>274</v>
      </c>
      <c r="F195" t="s">
        <v>287</v>
      </c>
      <c r="G195" s="7">
        <v>6</v>
      </c>
      <c r="H195" s="3">
        <v>27643.53</v>
      </c>
      <c r="I195" s="3">
        <v>165861.18</v>
      </c>
    </row>
    <row r="196" spans="1:9" x14ac:dyDescent="0.3">
      <c r="A196" s="5" t="s">
        <v>40</v>
      </c>
      <c r="B196" t="s">
        <v>253</v>
      </c>
      <c r="C196" t="s">
        <v>261</v>
      </c>
      <c r="D196" t="s">
        <v>266</v>
      </c>
      <c r="E196" t="s">
        <v>272</v>
      </c>
      <c r="F196" t="s">
        <v>276</v>
      </c>
      <c r="G196" s="7">
        <v>1</v>
      </c>
      <c r="H196" s="3">
        <v>25224.92</v>
      </c>
      <c r="I196" s="3">
        <v>25224.92</v>
      </c>
    </row>
    <row r="197" spans="1:9" x14ac:dyDescent="0.3">
      <c r="A197" s="5" t="s">
        <v>40</v>
      </c>
      <c r="B197" t="s">
        <v>258</v>
      </c>
      <c r="C197" t="s">
        <v>263</v>
      </c>
      <c r="D197" t="s">
        <v>266</v>
      </c>
      <c r="E197" t="s">
        <v>273</v>
      </c>
      <c r="F197" t="s">
        <v>278</v>
      </c>
      <c r="G197" s="7">
        <v>4</v>
      </c>
      <c r="H197" s="3">
        <v>54714.5</v>
      </c>
      <c r="I197" s="3">
        <v>218858</v>
      </c>
    </row>
    <row r="198" spans="1:9" x14ac:dyDescent="0.3">
      <c r="A198" s="5" t="s">
        <v>40</v>
      </c>
      <c r="B198" t="s">
        <v>258</v>
      </c>
      <c r="C198" t="s">
        <v>263</v>
      </c>
      <c r="D198" t="s">
        <v>269</v>
      </c>
      <c r="E198" t="s">
        <v>272</v>
      </c>
      <c r="F198" t="s">
        <v>290</v>
      </c>
      <c r="G198" s="7">
        <v>1</v>
      </c>
      <c r="H198" s="3">
        <v>29327.69</v>
      </c>
      <c r="I198" s="3">
        <v>29327.69</v>
      </c>
    </row>
    <row r="199" spans="1:9" x14ac:dyDescent="0.3">
      <c r="A199" s="5" t="s">
        <v>40</v>
      </c>
      <c r="B199" t="s">
        <v>254</v>
      </c>
      <c r="C199" t="s">
        <v>264</v>
      </c>
      <c r="D199" t="s">
        <v>266</v>
      </c>
      <c r="E199" t="s">
        <v>272</v>
      </c>
      <c r="F199" t="s">
        <v>286</v>
      </c>
      <c r="G199" s="7">
        <v>4</v>
      </c>
      <c r="H199" s="3">
        <v>28880.02</v>
      </c>
      <c r="I199" s="3">
        <v>115520.08</v>
      </c>
    </row>
    <row r="200" spans="1:9" x14ac:dyDescent="0.3">
      <c r="A200" s="5" t="s">
        <v>41</v>
      </c>
      <c r="B200" t="s">
        <v>255</v>
      </c>
      <c r="C200" t="s">
        <v>264</v>
      </c>
      <c r="D200" t="s">
        <v>266</v>
      </c>
      <c r="E200" t="s">
        <v>274</v>
      </c>
      <c r="F200" t="s">
        <v>284</v>
      </c>
      <c r="G200" s="7">
        <v>2</v>
      </c>
      <c r="H200" s="3">
        <v>27687.03</v>
      </c>
      <c r="I200" s="3">
        <v>55374.06</v>
      </c>
    </row>
    <row r="201" spans="1:9" x14ac:dyDescent="0.3">
      <c r="A201" s="5" t="s">
        <v>41</v>
      </c>
      <c r="B201" t="s">
        <v>256</v>
      </c>
      <c r="C201" t="s">
        <v>265</v>
      </c>
      <c r="D201" t="s">
        <v>267</v>
      </c>
      <c r="E201" t="s">
        <v>273</v>
      </c>
      <c r="F201" t="s">
        <v>279</v>
      </c>
      <c r="G201" s="7">
        <v>5</v>
      </c>
      <c r="H201" s="3">
        <v>51365.47</v>
      </c>
      <c r="I201" s="3">
        <v>256827.35</v>
      </c>
    </row>
    <row r="202" spans="1:9" x14ac:dyDescent="0.3">
      <c r="A202" s="5" t="s">
        <v>41</v>
      </c>
      <c r="B202" t="s">
        <v>253</v>
      </c>
      <c r="C202" t="s">
        <v>262</v>
      </c>
      <c r="D202" t="s">
        <v>270</v>
      </c>
      <c r="E202" t="s">
        <v>274</v>
      </c>
      <c r="F202" t="s">
        <v>287</v>
      </c>
      <c r="G202" s="7">
        <v>9</v>
      </c>
      <c r="H202" s="3">
        <v>33959.269999999997</v>
      </c>
      <c r="I202" s="3">
        <v>305633.43</v>
      </c>
    </row>
    <row r="203" spans="1:9" x14ac:dyDescent="0.3">
      <c r="A203" s="5" t="s">
        <v>41</v>
      </c>
      <c r="B203" t="s">
        <v>257</v>
      </c>
      <c r="C203" t="s">
        <v>264</v>
      </c>
      <c r="D203" t="s">
        <v>267</v>
      </c>
      <c r="E203" t="s">
        <v>273</v>
      </c>
      <c r="F203" t="s">
        <v>278</v>
      </c>
      <c r="G203" s="7">
        <v>3</v>
      </c>
      <c r="H203" s="3">
        <v>41887.46</v>
      </c>
      <c r="I203" s="3">
        <v>125662.38</v>
      </c>
    </row>
    <row r="204" spans="1:9" x14ac:dyDescent="0.3">
      <c r="A204" s="5" t="s">
        <v>41</v>
      </c>
      <c r="B204" t="s">
        <v>253</v>
      </c>
      <c r="C204" t="s">
        <v>263</v>
      </c>
      <c r="D204" t="s">
        <v>267</v>
      </c>
      <c r="E204" t="s">
        <v>274</v>
      </c>
      <c r="F204" t="s">
        <v>280</v>
      </c>
      <c r="G204" s="7">
        <v>8</v>
      </c>
      <c r="H204" s="3">
        <v>28608.94</v>
      </c>
      <c r="I204" s="3">
        <v>228871.52</v>
      </c>
    </row>
    <row r="205" spans="1:9" x14ac:dyDescent="0.3">
      <c r="A205" s="5" t="s">
        <v>41</v>
      </c>
      <c r="B205" t="s">
        <v>260</v>
      </c>
      <c r="C205" t="s">
        <v>261</v>
      </c>
      <c r="D205" t="s">
        <v>268</v>
      </c>
      <c r="E205" t="s">
        <v>272</v>
      </c>
      <c r="F205" t="s">
        <v>286</v>
      </c>
      <c r="G205" s="7">
        <v>3</v>
      </c>
      <c r="H205" s="3">
        <v>28093.94</v>
      </c>
      <c r="I205" s="3">
        <v>84281.82</v>
      </c>
    </row>
    <row r="206" spans="1:9" x14ac:dyDescent="0.3">
      <c r="A206" s="5" t="s">
        <v>42</v>
      </c>
      <c r="B206" t="s">
        <v>254</v>
      </c>
      <c r="C206" t="s">
        <v>263</v>
      </c>
      <c r="D206" t="s">
        <v>267</v>
      </c>
      <c r="E206" t="s">
        <v>273</v>
      </c>
      <c r="F206" t="s">
        <v>283</v>
      </c>
      <c r="G206" s="7">
        <v>6</v>
      </c>
      <c r="H206" s="3">
        <v>53318.92</v>
      </c>
      <c r="I206" s="3">
        <v>319913.52</v>
      </c>
    </row>
    <row r="207" spans="1:9" x14ac:dyDescent="0.3">
      <c r="A207" s="5" t="s">
        <v>42</v>
      </c>
      <c r="B207" t="s">
        <v>255</v>
      </c>
      <c r="C207" t="s">
        <v>262</v>
      </c>
      <c r="D207" t="s">
        <v>269</v>
      </c>
      <c r="E207" t="s">
        <v>271</v>
      </c>
      <c r="F207" t="s">
        <v>282</v>
      </c>
      <c r="G207" s="7">
        <v>4</v>
      </c>
      <c r="H207" s="3">
        <v>10167</v>
      </c>
      <c r="I207" s="3">
        <v>40668</v>
      </c>
    </row>
    <row r="208" spans="1:9" x14ac:dyDescent="0.3">
      <c r="A208" s="5" t="s">
        <v>42</v>
      </c>
      <c r="B208" t="s">
        <v>257</v>
      </c>
      <c r="C208" t="s">
        <v>263</v>
      </c>
      <c r="D208" t="s">
        <v>269</v>
      </c>
      <c r="E208" t="s">
        <v>272</v>
      </c>
      <c r="F208" t="s">
        <v>277</v>
      </c>
      <c r="G208" s="7">
        <v>8</v>
      </c>
      <c r="H208" s="3">
        <v>30551.88</v>
      </c>
      <c r="I208" s="3">
        <v>244415.04</v>
      </c>
    </row>
    <row r="209" spans="1:9" x14ac:dyDescent="0.3">
      <c r="A209" s="5" t="s">
        <v>42</v>
      </c>
      <c r="B209" t="s">
        <v>254</v>
      </c>
      <c r="C209" t="s">
        <v>265</v>
      </c>
      <c r="D209" t="s">
        <v>268</v>
      </c>
      <c r="E209" t="s">
        <v>271</v>
      </c>
      <c r="F209" t="s">
        <v>285</v>
      </c>
      <c r="G209" s="7">
        <v>6</v>
      </c>
      <c r="H209" s="3">
        <v>9698.6200000000008</v>
      </c>
      <c r="I209" s="3">
        <v>58191.72</v>
      </c>
    </row>
    <row r="210" spans="1:9" x14ac:dyDescent="0.3">
      <c r="A210" s="5" t="s">
        <v>42</v>
      </c>
      <c r="B210" t="s">
        <v>259</v>
      </c>
      <c r="C210" t="s">
        <v>262</v>
      </c>
      <c r="D210" t="s">
        <v>270</v>
      </c>
      <c r="E210" t="s">
        <v>272</v>
      </c>
      <c r="F210" t="s">
        <v>286</v>
      </c>
      <c r="G210" s="7">
        <v>8</v>
      </c>
      <c r="H210" s="3">
        <v>25089.74</v>
      </c>
      <c r="I210" s="3">
        <v>200717.92</v>
      </c>
    </row>
    <row r="211" spans="1:9" x14ac:dyDescent="0.3">
      <c r="A211" s="5" t="s">
        <v>42</v>
      </c>
      <c r="B211" t="s">
        <v>255</v>
      </c>
      <c r="C211" t="s">
        <v>261</v>
      </c>
      <c r="D211" t="s">
        <v>270</v>
      </c>
      <c r="E211" t="s">
        <v>274</v>
      </c>
      <c r="F211" t="s">
        <v>289</v>
      </c>
      <c r="G211" s="7">
        <v>1</v>
      </c>
      <c r="H211" s="3">
        <v>34728.01</v>
      </c>
      <c r="I211" s="3">
        <v>34728.01</v>
      </c>
    </row>
    <row r="212" spans="1:9" x14ac:dyDescent="0.3">
      <c r="A212" s="5" t="s">
        <v>43</v>
      </c>
      <c r="B212" t="s">
        <v>253</v>
      </c>
      <c r="C212" t="s">
        <v>265</v>
      </c>
      <c r="D212" t="s">
        <v>267</v>
      </c>
      <c r="E212" t="s">
        <v>273</v>
      </c>
      <c r="F212" t="s">
        <v>288</v>
      </c>
      <c r="G212" s="7">
        <v>6</v>
      </c>
      <c r="H212" s="3">
        <v>50255.38</v>
      </c>
      <c r="I212" s="3">
        <v>301532.28000000003</v>
      </c>
    </row>
    <row r="213" spans="1:9" x14ac:dyDescent="0.3">
      <c r="A213" s="5" t="s">
        <v>43</v>
      </c>
      <c r="B213" t="s">
        <v>253</v>
      </c>
      <c r="C213" t="s">
        <v>262</v>
      </c>
      <c r="D213" t="s">
        <v>267</v>
      </c>
      <c r="E213" t="s">
        <v>272</v>
      </c>
      <c r="F213" t="s">
        <v>276</v>
      </c>
      <c r="G213" s="7">
        <v>1</v>
      </c>
      <c r="H213" s="3">
        <v>26047.98</v>
      </c>
      <c r="I213" s="3">
        <v>26047.98</v>
      </c>
    </row>
    <row r="214" spans="1:9" x14ac:dyDescent="0.3">
      <c r="A214" s="5" t="s">
        <v>43</v>
      </c>
      <c r="B214" t="s">
        <v>255</v>
      </c>
      <c r="C214" t="s">
        <v>261</v>
      </c>
      <c r="D214" t="s">
        <v>267</v>
      </c>
      <c r="E214" t="s">
        <v>274</v>
      </c>
      <c r="F214" t="s">
        <v>287</v>
      </c>
      <c r="G214" s="7">
        <v>1</v>
      </c>
      <c r="H214" s="3">
        <v>38465.980000000003</v>
      </c>
      <c r="I214" s="3">
        <v>38465.980000000003</v>
      </c>
    </row>
    <row r="215" spans="1:9" x14ac:dyDescent="0.3">
      <c r="A215" s="5" t="s">
        <v>43</v>
      </c>
      <c r="B215" t="s">
        <v>253</v>
      </c>
      <c r="C215" t="s">
        <v>265</v>
      </c>
      <c r="D215" t="s">
        <v>270</v>
      </c>
      <c r="E215" t="s">
        <v>273</v>
      </c>
      <c r="F215" t="s">
        <v>283</v>
      </c>
      <c r="G215" s="7">
        <v>8</v>
      </c>
      <c r="H215" s="3">
        <v>41759.94</v>
      </c>
      <c r="I215" s="3">
        <v>334079.52</v>
      </c>
    </row>
    <row r="216" spans="1:9" x14ac:dyDescent="0.3">
      <c r="A216" s="5" t="s">
        <v>43</v>
      </c>
      <c r="B216" t="s">
        <v>256</v>
      </c>
      <c r="C216" t="s">
        <v>265</v>
      </c>
      <c r="D216" t="s">
        <v>266</v>
      </c>
      <c r="E216" t="s">
        <v>273</v>
      </c>
      <c r="F216" t="s">
        <v>278</v>
      </c>
      <c r="G216" s="7">
        <v>7</v>
      </c>
      <c r="H216" s="3">
        <v>43892.59</v>
      </c>
      <c r="I216" s="3">
        <v>307248.13</v>
      </c>
    </row>
    <row r="217" spans="1:9" x14ac:dyDescent="0.3">
      <c r="A217" s="5" t="s">
        <v>43</v>
      </c>
      <c r="B217" t="s">
        <v>255</v>
      </c>
      <c r="C217" t="s">
        <v>262</v>
      </c>
      <c r="D217" t="s">
        <v>269</v>
      </c>
      <c r="E217" t="s">
        <v>272</v>
      </c>
      <c r="F217" t="s">
        <v>276</v>
      </c>
      <c r="G217" s="7">
        <v>3</v>
      </c>
      <c r="H217" s="3">
        <v>30750.240000000002</v>
      </c>
      <c r="I217" s="3">
        <v>92250.72</v>
      </c>
    </row>
    <row r="218" spans="1:9" x14ac:dyDescent="0.3">
      <c r="A218" s="5" t="s">
        <v>44</v>
      </c>
      <c r="B218" t="s">
        <v>254</v>
      </c>
      <c r="C218" t="s">
        <v>264</v>
      </c>
      <c r="D218" t="s">
        <v>266</v>
      </c>
      <c r="E218" t="s">
        <v>273</v>
      </c>
      <c r="F218" t="s">
        <v>288</v>
      </c>
      <c r="G218" s="7">
        <v>6</v>
      </c>
      <c r="H218" s="3">
        <v>49740.3</v>
      </c>
      <c r="I218" s="3">
        <v>298441.8</v>
      </c>
    </row>
    <row r="219" spans="1:9" x14ac:dyDescent="0.3">
      <c r="A219" s="5" t="s">
        <v>44</v>
      </c>
      <c r="B219" t="s">
        <v>255</v>
      </c>
      <c r="C219" t="s">
        <v>265</v>
      </c>
      <c r="D219" t="s">
        <v>266</v>
      </c>
      <c r="E219" t="s">
        <v>272</v>
      </c>
      <c r="F219" t="s">
        <v>276</v>
      </c>
      <c r="G219" s="7">
        <v>9</v>
      </c>
      <c r="H219" s="3">
        <v>31633.11</v>
      </c>
      <c r="I219" s="3">
        <v>284697.99</v>
      </c>
    </row>
    <row r="220" spans="1:9" x14ac:dyDescent="0.3">
      <c r="A220" s="5" t="s">
        <v>44</v>
      </c>
      <c r="B220" t="s">
        <v>257</v>
      </c>
      <c r="C220" t="s">
        <v>265</v>
      </c>
      <c r="D220" t="s">
        <v>270</v>
      </c>
      <c r="E220" t="s">
        <v>273</v>
      </c>
      <c r="F220" t="s">
        <v>278</v>
      </c>
      <c r="G220" s="7">
        <v>7</v>
      </c>
      <c r="H220" s="3">
        <v>40266.21</v>
      </c>
      <c r="I220" s="3">
        <v>281863.46999999997</v>
      </c>
    </row>
    <row r="221" spans="1:9" x14ac:dyDescent="0.3">
      <c r="A221" s="5" t="s">
        <v>44</v>
      </c>
      <c r="B221" t="s">
        <v>253</v>
      </c>
      <c r="C221" t="s">
        <v>261</v>
      </c>
      <c r="D221" t="s">
        <v>266</v>
      </c>
      <c r="E221" t="s">
        <v>271</v>
      </c>
      <c r="F221" t="s">
        <v>275</v>
      </c>
      <c r="G221" s="7">
        <v>3</v>
      </c>
      <c r="H221" s="3">
        <v>10113.18</v>
      </c>
      <c r="I221" s="3">
        <v>30339.54</v>
      </c>
    </row>
    <row r="222" spans="1:9" x14ac:dyDescent="0.3">
      <c r="A222" s="5" t="s">
        <v>44</v>
      </c>
      <c r="B222" t="s">
        <v>256</v>
      </c>
      <c r="C222" t="s">
        <v>263</v>
      </c>
      <c r="D222" t="s">
        <v>268</v>
      </c>
      <c r="E222" t="s">
        <v>274</v>
      </c>
      <c r="F222" t="s">
        <v>289</v>
      </c>
      <c r="G222" s="7">
        <v>6</v>
      </c>
      <c r="H222" s="3">
        <v>34020.44</v>
      </c>
      <c r="I222" s="3">
        <v>204122.64</v>
      </c>
    </row>
    <row r="223" spans="1:9" x14ac:dyDescent="0.3">
      <c r="A223" s="5" t="s">
        <v>44</v>
      </c>
      <c r="B223" t="s">
        <v>256</v>
      </c>
      <c r="C223" t="s">
        <v>262</v>
      </c>
      <c r="D223" t="s">
        <v>267</v>
      </c>
      <c r="E223" t="s">
        <v>271</v>
      </c>
      <c r="F223" t="s">
        <v>281</v>
      </c>
      <c r="G223" s="7">
        <v>4</v>
      </c>
      <c r="H223" s="3">
        <v>8827.49</v>
      </c>
      <c r="I223" s="3">
        <v>35309.96</v>
      </c>
    </row>
    <row r="224" spans="1:9" x14ac:dyDescent="0.3">
      <c r="A224" s="5" t="s">
        <v>44</v>
      </c>
      <c r="B224" t="s">
        <v>259</v>
      </c>
      <c r="C224" t="s">
        <v>262</v>
      </c>
      <c r="D224" t="s">
        <v>268</v>
      </c>
      <c r="E224" t="s">
        <v>272</v>
      </c>
      <c r="F224" t="s">
        <v>286</v>
      </c>
      <c r="G224" s="7">
        <v>3</v>
      </c>
      <c r="H224" s="3">
        <v>34788.29</v>
      </c>
      <c r="I224" s="3">
        <v>104364.87</v>
      </c>
    </row>
    <row r="225" spans="1:9" x14ac:dyDescent="0.3">
      <c r="A225" s="5" t="s">
        <v>45</v>
      </c>
      <c r="B225" t="s">
        <v>254</v>
      </c>
      <c r="C225" t="s">
        <v>264</v>
      </c>
      <c r="D225" t="s">
        <v>269</v>
      </c>
      <c r="E225" t="s">
        <v>271</v>
      </c>
      <c r="F225" t="s">
        <v>285</v>
      </c>
      <c r="G225" s="7">
        <v>9</v>
      </c>
      <c r="H225" s="3">
        <v>9742.2900000000009</v>
      </c>
      <c r="I225" s="3">
        <v>87680.61</v>
      </c>
    </row>
    <row r="226" spans="1:9" x14ac:dyDescent="0.3">
      <c r="A226" s="5" t="s">
        <v>45</v>
      </c>
      <c r="B226" t="s">
        <v>258</v>
      </c>
      <c r="C226" t="s">
        <v>264</v>
      </c>
      <c r="D226" t="s">
        <v>267</v>
      </c>
      <c r="E226" t="s">
        <v>272</v>
      </c>
      <c r="F226" t="s">
        <v>277</v>
      </c>
      <c r="G226" s="7">
        <v>2</v>
      </c>
      <c r="H226" s="3">
        <v>25121.67</v>
      </c>
      <c r="I226" s="3">
        <v>50243.34</v>
      </c>
    </row>
    <row r="227" spans="1:9" x14ac:dyDescent="0.3">
      <c r="A227" s="5" t="s">
        <v>45</v>
      </c>
      <c r="B227" t="s">
        <v>258</v>
      </c>
      <c r="C227" t="s">
        <v>262</v>
      </c>
      <c r="D227" t="s">
        <v>266</v>
      </c>
      <c r="E227" t="s">
        <v>273</v>
      </c>
      <c r="F227" t="s">
        <v>279</v>
      </c>
      <c r="G227" s="7">
        <v>1</v>
      </c>
      <c r="H227" s="3">
        <v>51867.71</v>
      </c>
      <c r="I227" s="3">
        <v>51867.71</v>
      </c>
    </row>
    <row r="228" spans="1:9" x14ac:dyDescent="0.3">
      <c r="A228" s="5" t="s">
        <v>45</v>
      </c>
      <c r="B228" t="s">
        <v>255</v>
      </c>
      <c r="C228" t="s">
        <v>264</v>
      </c>
      <c r="D228" t="s">
        <v>269</v>
      </c>
      <c r="E228" t="s">
        <v>273</v>
      </c>
      <c r="F228" t="s">
        <v>279</v>
      </c>
      <c r="G228" s="7">
        <v>2</v>
      </c>
      <c r="H228" s="3">
        <v>39964.480000000003</v>
      </c>
      <c r="I228" s="3">
        <v>79928.960000000006</v>
      </c>
    </row>
    <row r="229" spans="1:9" x14ac:dyDescent="0.3">
      <c r="A229" s="5" t="s">
        <v>45</v>
      </c>
      <c r="B229" t="s">
        <v>259</v>
      </c>
      <c r="C229" t="s">
        <v>261</v>
      </c>
      <c r="D229" t="s">
        <v>267</v>
      </c>
      <c r="E229" t="s">
        <v>272</v>
      </c>
      <c r="F229" t="s">
        <v>276</v>
      </c>
      <c r="G229" s="7">
        <v>7</v>
      </c>
      <c r="H229" s="3">
        <v>24107.67</v>
      </c>
      <c r="I229" s="3">
        <v>168753.69</v>
      </c>
    </row>
    <row r="230" spans="1:9" x14ac:dyDescent="0.3">
      <c r="A230" s="5" t="s">
        <v>45</v>
      </c>
      <c r="B230" t="s">
        <v>260</v>
      </c>
      <c r="C230" t="s">
        <v>262</v>
      </c>
      <c r="D230" t="s">
        <v>266</v>
      </c>
      <c r="E230" t="s">
        <v>271</v>
      </c>
      <c r="F230" t="s">
        <v>281</v>
      </c>
      <c r="G230" s="7">
        <v>1</v>
      </c>
      <c r="H230" s="3">
        <v>8597.33</v>
      </c>
      <c r="I230" s="3">
        <v>8597.33</v>
      </c>
    </row>
    <row r="231" spans="1:9" x14ac:dyDescent="0.3">
      <c r="A231" s="5" t="s">
        <v>46</v>
      </c>
      <c r="B231" t="s">
        <v>255</v>
      </c>
      <c r="C231" t="s">
        <v>264</v>
      </c>
      <c r="D231" t="s">
        <v>268</v>
      </c>
      <c r="E231" t="s">
        <v>273</v>
      </c>
      <c r="F231" t="s">
        <v>288</v>
      </c>
      <c r="G231" s="7">
        <v>6</v>
      </c>
      <c r="H231" s="3">
        <v>56134.41</v>
      </c>
      <c r="I231" s="3">
        <v>336806.46</v>
      </c>
    </row>
    <row r="232" spans="1:9" x14ac:dyDescent="0.3">
      <c r="A232" s="5" t="s">
        <v>46</v>
      </c>
      <c r="B232" t="s">
        <v>259</v>
      </c>
      <c r="C232" t="s">
        <v>262</v>
      </c>
      <c r="D232" t="s">
        <v>267</v>
      </c>
      <c r="E232" t="s">
        <v>274</v>
      </c>
      <c r="F232" t="s">
        <v>280</v>
      </c>
      <c r="G232" s="7">
        <v>7</v>
      </c>
      <c r="H232" s="3">
        <v>29438.51</v>
      </c>
      <c r="I232" s="3">
        <v>206069.57</v>
      </c>
    </row>
    <row r="233" spans="1:9" x14ac:dyDescent="0.3">
      <c r="A233" s="5" t="s">
        <v>46</v>
      </c>
      <c r="B233" t="s">
        <v>254</v>
      </c>
      <c r="C233" t="s">
        <v>263</v>
      </c>
      <c r="D233" t="s">
        <v>266</v>
      </c>
      <c r="E233" t="s">
        <v>273</v>
      </c>
      <c r="F233" t="s">
        <v>283</v>
      </c>
      <c r="G233" s="7">
        <v>9</v>
      </c>
      <c r="H233" s="3">
        <v>50357.599999999999</v>
      </c>
      <c r="I233" s="3">
        <v>453218.4</v>
      </c>
    </row>
    <row r="234" spans="1:9" x14ac:dyDescent="0.3">
      <c r="A234" s="5" t="s">
        <v>46</v>
      </c>
      <c r="B234" t="s">
        <v>254</v>
      </c>
      <c r="C234" t="s">
        <v>265</v>
      </c>
      <c r="D234" t="s">
        <v>268</v>
      </c>
      <c r="E234" t="s">
        <v>274</v>
      </c>
      <c r="F234" t="s">
        <v>284</v>
      </c>
      <c r="G234" s="7">
        <v>8</v>
      </c>
      <c r="H234" s="3">
        <v>29419.47</v>
      </c>
      <c r="I234" s="3">
        <v>235355.76</v>
      </c>
    </row>
    <row r="235" spans="1:9" x14ac:dyDescent="0.3">
      <c r="A235" s="5" t="s">
        <v>46</v>
      </c>
      <c r="B235" t="s">
        <v>254</v>
      </c>
      <c r="C235" t="s">
        <v>262</v>
      </c>
      <c r="D235" t="s">
        <v>269</v>
      </c>
      <c r="E235" t="s">
        <v>271</v>
      </c>
      <c r="F235" t="s">
        <v>281</v>
      </c>
      <c r="G235" s="7">
        <v>6</v>
      </c>
      <c r="H235" s="3">
        <v>9689.2800000000007</v>
      </c>
      <c r="I235" s="3">
        <v>58135.68</v>
      </c>
    </row>
    <row r="236" spans="1:9" x14ac:dyDescent="0.3">
      <c r="A236" s="5" t="s">
        <v>46</v>
      </c>
      <c r="B236" t="s">
        <v>254</v>
      </c>
      <c r="C236" t="s">
        <v>265</v>
      </c>
      <c r="D236" t="s">
        <v>269</v>
      </c>
      <c r="E236" t="s">
        <v>274</v>
      </c>
      <c r="F236" t="s">
        <v>287</v>
      </c>
      <c r="G236" s="7">
        <v>3</v>
      </c>
      <c r="H236" s="3">
        <v>33668.53</v>
      </c>
      <c r="I236" s="3">
        <v>101005.59</v>
      </c>
    </row>
    <row r="237" spans="1:9" x14ac:dyDescent="0.3">
      <c r="A237" s="5" t="s">
        <v>47</v>
      </c>
      <c r="B237" t="s">
        <v>254</v>
      </c>
      <c r="C237" t="s">
        <v>264</v>
      </c>
      <c r="D237" t="s">
        <v>269</v>
      </c>
      <c r="E237" t="s">
        <v>274</v>
      </c>
      <c r="F237" t="s">
        <v>289</v>
      </c>
      <c r="G237" s="7">
        <v>8</v>
      </c>
      <c r="H237" s="3">
        <v>35903.64</v>
      </c>
      <c r="I237" s="3">
        <v>287229.12</v>
      </c>
    </row>
    <row r="238" spans="1:9" x14ac:dyDescent="0.3">
      <c r="A238" s="5" t="s">
        <v>47</v>
      </c>
      <c r="B238" t="s">
        <v>259</v>
      </c>
      <c r="C238" t="s">
        <v>265</v>
      </c>
      <c r="D238" t="s">
        <v>269</v>
      </c>
      <c r="E238" t="s">
        <v>274</v>
      </c>
      <c r="F238" t="s">
        <v>289</v>
      </c>
      <c r="G238" s="7">
        <v>7</v>
      </c>
      <c r="H238" s="3">
        <v>29796.78</v>
      </c>
      <c r="I238" s="3">
        <v>208577.46</v>
      </c>
    </row>
    <row r="239" spans="1:9" x14ac:dyDescent="0.3">
      <c r="A239" s="5" t="s">
        <v>47</v>
      </c>
      <c r="B239" t="s">
        <v>259</v>
      </c>
      <c r="C239" t="s">
        <v>262</v>
      </c>
      <c r="D239" t="s">
        <v>270</v>
      </c>
      <c r="E239" t="s">
        <v>274</v>
      </c>
      <c r="F239" t="s">
        <v>289</v>
      </c>
      <c r="G239" s="7">
        <v>3</v>
      </c>
      <c r="H239" s="3">
        <v>36744.04</v>
      </c>
      <c r="I239" s="3">
        <v>110232.12</v>
      </c>
    </row>
    <row r="240" spans="1:9" x14ac:dyDescent="0.3">
      <c r="A240" s="5" t="s">
        <v>47</v>
      </c>
      <c r="B240" t="s">
        <v>256</v>
      </c>
      <c r="C240" t="s">
        <v>263</v>
      </c>
      <c r="D240" t="s">
        <v>267</v>
      </c>
      <c r="E240" t="s">
        <v>273</v>
      </c>
      <c r="F240" t="s">
        <v>279</v>
      </c>
      <c r="G240" s="7">
        <v>9</v>
      </c>
      <c r="H240" s="3">
        <v>56171.14</v>
      </c>
      <c r="I240" s="3">
        <v>505540.26</v>
      </c>
    </row>
    <row r="241" spans="1:9" x14ac:dyDescent="0.3">
      <c r="A241" s="5" t="s">
        <v>47</v>
      </c>
      <c r="B241" t="s">
        <v>257</v>
      </c>
      <c r="C241" t="s">
        <v>264</v>
      </c>
      <c r="D241" t="s">
        <v>267</v>
      </c>
      <c r="E241" t="s">
        <v>274</v>
      </c>
      <c r="F241" t="s">
        <v>287</v>
      </c>
      <c r="G241" s="7">
        <v>2</v>
      </c>
      <c r="H241" s="3">
        <v>35720.33</v>
      </c>
      <c r="I241" s="3">
        <v>71440.66</v>
      </c>
    </row>
    <row r="242" spans="1:9" x14ac:dyDescent="0.3">
      <c r="A242" s="5" t="s">
        <v>47</v>
      </c>
      <c r="B242" t="s">
        <v>258</v>
      </c>
      <c r="C242" t="s">
        <v>262</v>
      </c>
      <c r="D242" t="s">
        <v>270</v>
      </c>
      <c r="E242" t="s">
        <v>273</v>
      </c>
      <c r="F242" t="s">
        <v>279</v>
      </c>
      <c r="G242" s="7">
        <v>3</v>
      </c>
      <c r="H242" s="3">
        <v>47132.639999999999</v>
      </c>
      <c r="I242" s="3">
        <v>141397.92000000001</v>
      </c>
    </row>
    <row r="243" spans="1:9" x14ac:dyDescent="0.3">
      <c r="A243" s="5" t="s">
        <v>48</v>
      </c>
      <c r="B243" t="s">
        <v>253</v>
      </c>
      <c r="C243" t="s">
        <v>264</v>
      </c>
      <c r="D243" t="s">
        <v>266</v>
      </c>
      <c r="E243" t="s">
        <v>274</v>
      </c>
      <c r="F243" t="s">
        <v>287</v>
      </c>
      <c r="G243" s="7">
        <v>2</v>
      </c>
      <c r="H243" s="3">
        <v>39016.629999999997</v>
      </c>
      <c r="I243" s="3">
        <v>78033.259999999995</v>
      </c>
    </row>
    <row r="244" spans="1:9" x14ac:dyDescent="0.3">
      <c r="A244" s="5" t="s">
        <v>48</v>
      </c>
      <c r="B244" t="s">
        <v>254</v>
      </c>
      <c r="C244" t="s">
        <v>261</v>
      </c>
      <c r="D244" t="s">
        <v>266</v>
      </c>
      <c r="E244" t="s">
        <v>272</v>
      </c>
      <c r="F244" t="s">
        <v>276</v>
      </c>
      <c r="G244" s="7">
        <v>1</v>
      </c>
      <c r="H244" s="3">
        <v>23977.54</v>
      </c>
      <c r="I244" s="3">
        <v>23977.54</v>
      </c>
    </row>
    <row r="245" spans="1:9" x14ac:dyDescent="0.3">
      <c r="A245" s="5" t="s">
        <v>48</v>
      </c>
      <c r="B245" t="s">
        <v>260</v>
      </c>
      <c r="C245" t="s">
        <v>265</v>
      </c>
      <c r="D245" t="s">
        <v>269</v>
      </c>
      <c r="E245" t="s">
        <v>271</v>
      </c>
      <c r="F245" t="s">
        <v>281</v>
      </c>
      <c r="G245" s="7">
        <v>4</v>
      </c>
      <c r="H245" s="3">
        <v>9706.74</v>
      </c>
      <c r="I245" s="3">
        <v>38826.959999999999</v>
      </c>
    </row>
    <row r="246" spans="1:9" x14ac:dyDescent="0.3">
      <c r="A246" s="5" t="s">
        <v>48</v>
      </c>
      <c r="B246" t="s">
        <v>253</v>
      </c>
      <c r="C246" t="s">
        <v>261</v>
      </c>
      <c r="D246" t="s">
        <v>268</v>
      </c>
      <c r="E246" t="s">
        <v>274</v>
      </c>
      <c r="F246" t="s">
        <v>287</v>
      </c>
      <c r="G246" s="7">
        <v>5</v>
      </c>
      <c r="H246" s="3">
        <v>38575.96</v>
      </c>
      <c r="I246" s="3">
        <v>192879.8</v>
      </c>
    </row>
    <row r="247" spans="1:9" x14ac:dyDescent="0.3">
      <c r="A247" s="5" t="s">
        <v>48</v>
      </c>
      <c r="B247" t="s">
        <v>259</v>
      </c>
      <c r="C247" t="s">
        <v>262</v>
      </c>
      <c r="D247" t="s">
        <v>266</v>
      </c>
      <c r="E247" t="s">
        <v>272</v>
      </c>
      <c r="F247" t="s">
        <v>276</v>
      </c>
      <c r="G247" s="7">
        <v>6</v>
      </c>
      <c r="H247" s="3">
        <v>24490.76</v>
      </c>
      <c r="I247" s="3">
        <v>146944.56</v>
      </c>
    </row>
    <row r="248" spans="1:9" x14ac:dyDescent="0.3">
      <c r="A248" s="5" t="s">
        <v>48</v>
      </c>
      <c r="B248" t="s">
        <v>260</v>
      </c>
      <c r="C248" t="s">
        <v>263</v>
      </c>
      <c r="D248" t="s">
        <v>268</v>
      </c>
      <c r="E248" t="s">
        <v>274</v>
      </c>
      <c r="F248" t="s">
        <v>287</v>
      </c>
      <c r="G248" s="7">
        <v>5</v>
      </c>
      <c r="H248" s="3">
        <v>32960.82</v>
      </c>
      <c r="I248" s="3">
        <v>164804.1</v>
      </c>
    </row>
    <row r="249" spans="1:9" x14ac:dyDescent="0.3">
      <c r="A249" s="5" t="s">
        <v>49</v>
      </c>
      <c r="B249" t="s">
        <v>260</v>
      </c>
      <c r="C249" t="s">
        <v>264</v>
      </c>
      <c r="D249" t="s">
        <v>267</v>
      </c>
      <c r="E249" t="s">
        <v>274</v>
      </c>
      <c r="F249" t="s">
        <v>287</v>
      </c>
      <c r="G249" s="7">
        <v>1</v>
      </c>
      <c r="H249" s="3">
        <v>29820.41</v>
      </c>
      <c r="I249" s="3">
        <v>29820.41</v>
      </c>
    </row>
    <row r="250" spans="1:9" x14ac:dyDescent="0.3">
      <c r="A250" s="5" t="s">
        <v>49</v>
      </c>
      <c r="B250" t="s">
        <v>260</v>
      </c>
      <c r="C250" t="s">
        <v>265</v>
      </c>
      <c r="D250" t="s">
        <v>268</v>
      </c>
      <c r="E250" t="s">
        <v>274</v>
      </c>
      <c r="F250" t="s">
        <v>289</v>
      </c>
      <c r="G250" s="7">
        <v>3</v>
      </c>
      <c r="H250" s="3">
        <v>34451.43</v>
      </c>
      <c r="I250" s="3">
        <v>103354.29</v>
      </c>
    </row>
    <row r="251" spans="1:9" x14ac:dyDescent="0.3">
      <c r="A251" s="5" t="s">
        <v>49</v>
      </c>
      <c r="B251" t="s">
        <v>256</v>
      </c>
      <c r="C251" t="s">
        <v>264</v>
      </c>
      <c r="D251" t="s">
        <v>267</v>
      </c>
      <c r="E251" t="s">
        <v>272</v>
      </c>
      <c r="F251" t="s">
        <v>276</v>
      </c>
      <c r="G251" s="7">
        <v>1</v>
      </c>
      <c r="H251" s="3">
        <v>31074.880000000001</v>
      </c>
      <c r="I251" s="3">
        <v>31074.880000000001</v>
      </c>
    </row>
    <row r="252" spans="1:9" x14ac:dyDescent="0.3">
      <c r="A252" s="5" t="s">
        <v>49</v>
      </c>
      <c r="B252" t="s">
        <v>259</v>
      </c>
      <c r="C252" t="s">
        <v>262</v>
      </c>
      <c r="D252" t="s">
        <v>270</v>
      </c>
      <c r="E252" t="s">
        <v>271</v>
      </c>
      <c r="F252" t="s">
        <v>281</v>
      </c>
      <c r="G252" s="7">
        <v>5</v>
      </c>
      <c r="H252" s="3">
        <v>8253.92</v>
      </c>
      <c r="I252" s="3">
        <v>41269.599999999999</v>
      </c>
    </row>
    <row r="253" spans="1:9" x14ac:dyDescent="0.3">
      <c r="A253" s="5" t="s">
        <v>49</v>
      </c>
      <c r="B253" t="s">
        <v>260</v>
      </c>
      <c r="C253" t="s">
        <v>264</v>
      </c>
      <c r="D253" t="s">
        <v>270</v>
      </c>
      <c r="E253" t="s">
        <v>272</v>
      </c>
      <c r="F253" t="s">
        <v>277</v>
      </c>
      <c r="G253" s="7">
        <v>5</v>
      </c>
      <c r="H253" s="3">
        <v>28951.79</v>
      </c>
      <c r="I253" s="3">
        <v>144758.95000000001</v>
      </c>
    </row>
    <row r="254" spans="1:9" x14ac:dyDescent="0.3">
      <c r="A254" s="5" t="s">
        <v>49</v>
      </c>
      <c r="B254" t="s">
        <v>254</v>
      </c>
      <c r="C254" t="s">
        <v>265</v>
      </c>
      <c r="D254" t="s">
        <v>269</v>
      </c>
      <c r="E254" t="s">
        <v>271</v>
      </c>
      <c r="F254" t="s">
        <v>281</v>
      </c>
      <c r="G254" s="7">
        <v>6</v>
      </c>
      <c r="H254" s="3">
        <v>8174.75</v>
      </c>
      <c r="I254" s="3">
        <v>49048.5</v>
      </c>
    </row>
    <row r="255" spans="1:9" x14ac:dyDescent="0.3">
      <c r="A255" s="5" t="s">
        <v>50</v>
      </c>
      <c r="B255" t="s">
        <v>255</v>
      </c>
      <c r="C255" t="s">
        <v>262</v>
      </c>
      <c r="D255" t="s">
        <v>266</v>
      </c>
      <c r="E255" t="s">
        <v>274</v>
      </c>
      <c r="F255" t="s">
        <v>284</v>
      </c>
      <c r="G255" s="7">
        <v>8</v>
      </c>
      <c r="H255" s="3">
        <v>31928.21</v>
      </c>
      <c r="I255" s="3">
        <v>255425.68</v>
      </c>
    </row>
    <row r="256" spans="1:9" x14ac:dyDescent="0.3">
      <c r="A256" s="5" t="s">
        <v>50</v>
      </c>
      <c r="B256" t="s">
        <v>260</v>
      </c>
      <c r="C256" t="s">
        <v>264</v>
      </c>
      <c r="D256" t="s">
        <v>269</v>
      </c>
      <c r="E256" t="s">
        <v>273</v>
      </c>
      <c r="F256" t="s">
        <v>288</v>
      </c>
      <c r="G256" s="7">
        <v>1</v>
      </c>
      <c r="H256" s="3">
        <v>41121.72</v>
      </c>
      <c r="I256" s="3">
        <v>41121.72</v>
      </c>
    </row>
    <row r="257" spans="1:9" x14ac:dyDescent="0.3">
      <c r="A257" s="5" t="s">
        <v>50</v>
      </c>
      <c r="B257" t="s">
        <v>256</v>
      </c>
      <c r="C257" t="s">
        <v>263</v>
      </c>
      <c r="D257" t="s">
        <v>267</v>
      </c>
      <c r="E257" t="s">
        <v>274</v>
      </c>
      <c r="F257" t="s">
        <v>287</v>
      </c>
      <c r="G257" s="7">
        <v>4</v>
      </c>
      <c r="H257" s="3">
        <v>38535.160000000003</v>
      </c>
      <c r="I257" s="3">
        <v>154140.64000000001</v>
      </c>
    </row>
    <row r="258" spans="1:9" x14ac:dyDescent="0.3">
      <c r="A258" s="5" t="s">
        <v>50</v>
      </c>
      <c r="B258" t="s">
        <v>253</v>
      </c>
      <c r="C258" t="s">
        <v>262</v>
      </c>
      <c r="D258" t="s">
        <v>269</v>
      </c>
      <c r="E258" t="s">
        <v>271</v>
      </c>
      <c r="F258" t="s">
        <v>285</v>
      </c>
      <c r="G258" s="7">
        <v>1</v>
      </c>
      <c r="H258" s="3">
        <v>7259.04</v>
      </c>
      <c r="I258" s="3">
        <v>7259.04</v>
      </c>
    </row>
    <row r="259" spans="1:9" x14ac:dyDescent="0.3">
      <c r="A259" s="5" t="s">
        <v>50</v>
      </c>
      <c r="B259" t="s">
        <v>259</v>
      </c>
      <c r="C259" t="s">
        <v>262</v>
      </c>
      <c r="D259" t="s">
        <v>268</v>
      </c>
      <c r="E259" t="s">
        <v>272</v>
      </c>
      <c r="F259" t="s">
        <v>276</v>
      </c>
      <c r="G259" s="7">
        <v>9</v>
      </c>
      <c r="H259" s="3">
        <v>33682.980000000003</v>
      </c>
      <c r="I259" s="3">
        <v>303146.82</v>
      </c>
    </row>
    <row r="260" spans="1:9" x14ac:dyDescent="0.3">
      <c r="A260" s="5" t="s">
        <v>50</v>
      </c>
      <c r="B260" t="s">
        <v>257</v>
      </c>
      <c r="C260" t="s">
        <v>263</v>
      </c>
      <c r="D260" t="s">
        <v>267</v>
      </c>
      <c r="E260" t="s">
        <v>274</v>
      </c>
      <c r="F260" t="s">
        <v>284</v>
      </c>
      <c r="G260" s="7">
        <v>7</v>
      </c>
      <c r="H260" s="3">
        <v>34517.49</v>
      </c>
      <c r="I260" s="3">
        <v>241622.43</v>
      </c>
    </row>
    <row r="261" spans="1:9" x14ac:dyDescent="0.3">
      <c r="A261" s="5" t="s">
        <v>50</v>
      </c>
      <c r="B261" t="s">
        <v>256</v>
      </c>
      <c r="C261" t="s">
        <v>261</v>
      </c>
      <c r="D261" t="s">
        <v>270</v>
      </c>
      <c r="E261" t="s">
        <v>272</v>
      </c>
      <c r="F261" t="s">
        <v>290</v>
      </c>
      <c r="G261" s="7">
        <v>7</v>
      </c>
      <c r="H261" s="3">
        <v>27514.57</v>
      </c>
      <c r="I261" s="3">
        <v>192601.99</v>
      </c>
    </row>
    <row r="262" spans="1:9" x14ac:dyDescent="0.3">
      <c r="A262" s="5" t="s">
        <v>51</v>
      </c>
      <c r="B262" t="s">
        <v>260</v>
      </c>
      <c r="C262" t="s">
        <v>265</v>
      </c>
      <c r="D262" t="s">
        <v>266</v>
      </c>
      <c r="E262" t="s">
        <v>272</v>
      </c>
      <c r="F262" t="s">
        <v>277</v>
      </c>
      <c r="G262" s="7">
        <v>5</v>
      </c>
      <c r="H262" s="3">
        <v>31898.240000000002</v>
      </c>
      <c r="I262" s="3">
        <v>159491.20000000001</v>
      </c>
    </row>
    <row r="263" spans="1:9" x14ac:dyDescent="0.3">
      <c r="A263" s="5" t="s">
        <v>51</v>
      </c>
      <c r="B263" t="s">
        <v>259</v>
      </c>
      <c r="C263" t="s">
        <v>261</v>
      </c>
      <c r="D263" t="s">
        <v>267</v>
      </c>
      <c r="E263" t="s">
        <v>272</v>
      </c>
      <c r="F263" t="s">
        <v>277</v>
      </c>
      <c r="G263" s="7">
        <v>7</v>
      </c>
      <c r="H263" s="3">
        <v>29486.82</v>
      </c>
      <c r="I263" s="3">
        <v>206407.74</v>
      </c>
    </row>
    <row r="264" spans="1:9" x14ac:dyDescent="0.3">
      <c r="A264" s="5" t="s">
        <v>51</v>
      </c>
      <c r="B264" t="s">
        <v>255</v>
      </c>
      <c r="C264" t="s">
        <v>264</v>
      </c>
      <c r="D264" t="s">
        <v>267</v>
      </c>
      <c r="E264" t="s">
        <v>274</v>
      </c>
      <c r="F264" t="s">
        <v>284</v>
      </c>
      <c r="G264" s="7">
        <v>2</v>
      </c>
      <c r="H264" s="3">
        <v>33588.589999999997</v>
      </c>
      <c r="I264" s="3">
        <v>67177.179999999993</v>
      </c>
    </row>
    <row r="265" spans="1:9" x14ac:dyDescent="0.3">
      <c r="A265" s="5" t="s">
        <v>51</v>
      </c>
      <c r="B265" t="s">
        <v>260</v>
      </c>
      <c r="C265" t="s">
        <v>263</v>
      </c>
      <c r="D265" t="s">
        <v>268</v>
      </c>
      <c r="E265" t="s">
        <v>272</v>
      </c>
      <c r="F265" t="s">
        <v>277</v>
      </c>
      <c r="G265" s="7">
        <v>4</v>
      </c>
      <c r="H265" s="3">
        <v>25033.59</v>
      </c>
      <c r="I265" s="3">
        <v>100134.36</v>
      </c>
    </row>
    <row r="266" spans="1:9" x14ac:dyDescent="0.3">
      <c r="A266" s="5" t="s">
        <v>51</v>
      </c>
      <c r="B266" t="s">
        <v>256</v>
      </c>
      <c r="C266" t="s">
        <v>261</v>
      </c>
      <c r="D266" t="s">
        <v>266</v>
      </c>
      <c r="E266" t="s">
        <v>272</v>
      </c>
      <c r="F266" t="s">
        <v>290</v>
      </c>
      <c r="G266" s="7">
        <v>7</v>
      </c>
      <c r="H266" s="3">
        <v>28162.58</v>
      </c>
      <c r="I266" s="3">
        <v>197138.06</v>
      </c>
    </row>
    <row r="267" spans="1:9" x14ac:dyDescent="0.3">
      <c r="A267" s="5" t="s">
        <v>51</v>
      </c>
      <c r="B267" t="s">
        <v>258</v>
      </c>
      <c r="C267" t="s">
        <v>262</v>
      </c>
      <c r="D267" t="s">
        <v>270</v>
      </c>
      <c r="E267" t="s">
        <v>274</v>
      </c>
      <c r="F267" t="s">
        <v>289</v>
      </c>
      <c r="G267" s="7">
        <v>3</v>
      </c>
      <c r="H267" s="3">
        <v>30285.62</v>
      </c>
      <c r="I267" s="3">
        <v>90856.86</v>
      </c>
    </row>
    <row r="268" spans="1:9" x14ac:dyDescent="0.3">
      <c r="A268" s="5" t="s">
        <v>52</v>
      </c>
      <c r="B268" t="s">
        <v>254</v>
      </c>
      <c r="C268" t="s">
        <v>264</v>
      </c>
      <c r="D268" t="s">
        <v>267</v>
      </c>
      <c r="E268" t="s">
        <v>272</v>
      </c>
      <c r="F268" t="s">
        <v>277</v>
      </c>
      <c r="G268" s="7">
        <v>2</v>
      </c>
      <c r="H268" s="3">
        <v>23975.79</v>
      </c>
      <c r="I268" s="3">
        <v>47951.58</v>
      </c>
    </row>
    <row r="269" spans="1:9" x14ac:dyDescent="0.3">
      <c r="A269" s="5" t="s">
        <v>52</v>
      </c>
      <c r="B269" t="s">
        <v>257</v>
      </c>
      <c r="C269" t="s">
        <v>264</v>
      </c>
      <c r="D269" t="s">
        <v>267</v>
      </c>
      <c r="E269" t="s">
        <v>274</v>
      </c>
      <c r="F269" t="s">
        <v>280</v>
      </c>
      <c r="G269" s="7">
        <v>2</v>
      </c>
      <c r="H269" s="3">
        <v>31809.279999999999</v>
      </c>
      <c r="I269" s="3">
        <v>63618.559999999998</v>
      </c>
    </row>
    <row r="270" spans="1:9" x14ac:dyDescent="0.3">
      <c r="A270" s="5" t="s">
        <v>52</v>
      </c>
      <c r="B270" t="s">
        <v>253</v>
      </c>
      <c r="C270" t="s">
        <v>261</v>
      </c>
      <c r="D270" t="s">
        <v>268</v>
      </c>
      <c r="E270" t="s">
        <v>271</v>
      </c>
      <c r="F270" t="s">
        <v>281</v>
      </c>
      <c r="G270" s="7">
        <v>1</v>
      </c>
      <c r="H270" s="3">
        <v>7530.4</v>
      </c>
      <c r="I270" s="3">
        <v>7530.4</v>
      </c>
    </row>
    <row r="271" spans="1:9" x14ac:dyDescent="0.3">
      <c r="A271" s="5" t="s">
        <v>52</v>
      </c>
      <c r="B271" t="s">
        <v>256</v>
      </c>
      <c r="C271" t="s">
        <v>261</v>
      </c>
      <c r="D271" t="s">
        <v>269</v>
      </c>
      <c r="E271" t="s">
        <v>271</v>
      </c>
      <c r="F271" t="s">
        <v>282</v>
      </c>
      <c r="G271" s="7">
        <v>5</v>
      </c>
      <c r="H271" s="3">
        <v>8098.22</v>
      </c>
      <c r="I271" s="3">
        <v>40491.1</v>
      </c>
    </row>
    <row r="272" spans="1:9" x14ac:dyDescent="0.3">
      <c r="A272" s="5" t="s">
        <v>52</v>
      </c>
      <c r="B272" t="s">
        <v>259</v>
      </c>
      <c r="C272" t="s">
        <v>263</v>
      </c>
      <c r="D272" t="s">
        <v>270</v>
      </c>
      <c r="E272" t="s">
        <v>271</v>
      </c>
      <c r="F272" t="s">
        <v>285</v>
      </c>
      <c r="G272" s="7">
        <v>6</v>
      </c>
      <c r="H272" s="3">
        <v>7539.56</v>
      </c>
      <c r="I272" s="3">
        <v>45237.36</v>
      </c>
    </row>
    <row r="273" spans="1:9" x14ac:dyDescent="0.3">
      <c r="A273" s="5" t="s">
        <v>52</v>
      </c>
      <c r="B273" t="s">
        <v>257</v>
      </c>
      <c r="C273" t="s">
        <v>265</v>
      </c>
      <c r="D273" t="s">
        <v>266</v>
      </c>
      <c r="E273" t="s">
        <v>272</v>
      </c>
      <c r="F273" t="s">
        <v>276</v>
      </c>
      <c r="G273" s="7">
        <v>6</v>
      </c>
      <c r="H273" s="3">
        <v>24930.55</v>
      </c>
      <c r="I273" s="3">
        <v>149583.29999999999</v>
      </c>
    </row>
    <row r="274" spans="1:9" x14ac:dyDescent="0.3">
      <c r="A274" s="5" t="s">
        <v>53</v>
      </c>
      <c r="B274" t="s">
        <v>257</v>
      </c>
      <c r="C274" t="s">
        <v>261</v>
      </c>
      <c r="D274" t="s">
        <v>267</v>
      </c>
      <c r="E274" t="s">
        <v>273</v>
      </c>
      <c r="F274" t="s">
        <v>283</v>
      </c>
      <c r="G274" s="7">
        <v>9</v>
      </c>
      <c r="H274" s="3">
        <v>41832.199999999997</v>
      </c>
      <c r="I274" s="3">
        <v>376489.8</v>
      </c>
    </row>
    <row r="275" spans="1:9" x14ac:dyDescent="0.3">
      <c r="A275" s="5" t="s">
        <v>53</v>
      </c>
      <c r="B275" t="s">
        <v>257</v>
      </c>
      <c r="C275" t="s">
        <v>261</v>
      </c>
      <c r="D275" t="s">
        <v>267</v>
      </c>
      <c r="E275" t="s">
        <v>273</v>
      </c>
      <c r="F275" t="s">
        <v>278</v>
      </c>
      <c r="G275" s="7">
        <v>4</v>
      </c>
      <c r="H275" s="3">
        <v>56247.29</v>
      </c>
      <c r="I275" s="3">
        <v>224989.16</v>
      </c>
    </row>
    <row r="276" spans="1:9" x14ac:dyDescent="0.3">
      <c r="A276" s="5" t="s">
        <v>53</v>
      </c>
      <c r="B276" t="s">
        <v>260</v>
      </c>
      <c r="C276" t="s">
        <v>262</v>
      </c>
      <c r="D276" t="s">
        <v>270</v>
      </c>
      <c r="E276" t="s">
        <v>272</v>
      </c>
      <c r="F276" t="s">
        <v>286</v>
      </c>
      <c r="G276" s="7">
        <v>1</v>
      </c>
      <c r="H276" s="3">
        <v>23824.46</v>
      </c>
      <c r="I276" s="3">
        <v>23824.46</v>
      </c>
    </row>
    <row r="277" spans="1:9" x14ac:dyDescent="0.3">
      <c r="A277" s="5" t="s">
        <v>53</v>
      </c>
      <c r="B277" t="s">
        <v>254</v>
      </c>
      <c r="C277" t="s">
        <v>264</v>
      </c>
      <c r="D277" t="s">
        <v>269</v>
      </c>
      <c r="E277" t="s">
        <v>273</v>
      </c>
      <c r="F277" t="s">
        <v>279</v>
      </c>
      <c r="G277" s="7">
        <v>6</v>
      </c>
      <c r="H277" s="3">
        <v>49746.11</v>
      </c>
      <c r="I277" s="3">
        <v>298476.65999999997</v>
      </c>
    </row>
    <row r="278" spans="1:9" x14ac:dyDescent="0.3">
      <c r="A278" s="5" t="s">
        <v>53</v>
      </c>
      <c r="B278" t="s">
        <v>260</v>
      </c>
      <c r="C278" t="s">
        <v>265</v>
      </c>
      <c r="D278" t="s">
        <v>267</v>
      </c>
      <c r="E278" t="s">
        <v>274</v>
      </c>
      <c r="F278" t="s">
        <v>280</v>
      </c>
      <c r="G278" s="7">
        <v>5</v>
      </c>
      <c r="H278" s="3">
        <v>29007.919999999998</v>
      </c>
      <c r="I278" s="3">
        <v>145039.6</v>
      </c>
    </row>
    <row r="279" spans="1:9" x14ac:dyDescent="0.3">
      <c r="A279" s="5" t="s">
        <v>53</v>
      </c>
      <c r="B279" t="s">
        <v>259</v>
      </c>
      <c r="C279" t="s">
        <v>262</v>
      </c>
      <c r="D279" t="s">
        <v>270</v>
      </c>
      <c r="E279" t="s">
        <v>273</v>
      </c>
      <c r="F279" t="s">
        <v>288</v>
      </c>
      <c r="G279" s="7">
        <v>6</v>
      </c>
      <c r="H279" s="3">
        <v>54821.31</v>
      </c>
      <c r="I279" s="3">
        <v>328927.86</v>
      </c>
    </row>
    <row r="280" spans="1:9" x14ac:dyDescent="0.3">
      <c r="A280" s="5" t="s">
        <v>54</v>
      </c>
      <c r="B280" t="s">
        <v>260</v>
      </c>
      <c r="C280" t="s">
        <v>263</v>
      </c>
      <c r="D280" t="s">
        <v>268</v>
      </c>
      <c r="E280" t="s">
        <v>272</v>
      </c>
      <c r="F280" t="s">
        <v>286</v>
      </c>
      <c r="G280" s="7">
        <v>3</v>
      </c>
      <c r="H280" s="3">
        <v>24848.69</v>
      </c>
      <c r="I280" s="3">
        <v>74546.070000000007</v>
      </c>
    </row>
    <row r="281" spans="1:9" x14ac:dyDescent="0.3">
      <c r="A281" s="5" t="s">
        <v>54</v>
      </c>
      <c r="B281" t="s">
        <v>258</v>
      </c>
      <c r="C281" t="s">
        <v>263</v>
      </c>
      <c r="D281" t="s">
        <v>269</v>
      </c>
      <c r="E281" t="s">
        <v>272</v>
      </c>
      <c r="F281" t="s">
        <v>276</v>
      </c>
      <c r="G281" s="7">
        <v>2</v>
      </c>
      <c r="H281" s="3">
        <v>34496.71</v>
      </c>
      <c r="I281" s="3">
        <v>68993.42</v>
      </c>
    </row>
    <row r="282" spans="1:9" x14ac:dyDescent="0.3">
      <c r="A282" s="5" t="s">
        <v>54</v>
      </c>
      <c r="B282" t="s">
        <v>254</v>
      </c>
      <c r="C282" t="s">
        <v>261</v>
      </c>
      <c r="D282" t="s">
        <v>266</v>
      </c>
      <c r="E282" t="s">
        <v>274</v>
      </c>
      <c r="F282" t="s">
        <v>284</v>
      </c>
      <c r="G282" s="7">
        <v>6</v>
      </c>
      <c r="H282" s="3">
        <v>35019.86</v>
      </c>
      <c r="I282" s="3">
        <v>210119.16</v>
      </c>
    </row>
    <row r="283" spans="1:9" x14ac:dyDescent="0.3">
      <c r="A283" s="5" t="s">
        <v>54</v>
      </c>
      <c r="B283" t="s">
        <v>254</v>
      </c>
      <c r="C283" t="s">
        <v>261</v>
      </c>
      <c r="D283" t="s">
        <v>267</v>
      </c>
      <c r="E283" t="s">
        <v>271</v>
      </c>
      <c r="F283" t="s">
        <v>281</v>
      </c>
      <c r="G283" s="7">
        <v>1</v>
      </c>
      <c r="H283" s="3">
        <v>7229.31</v>
      </c>
      <c r="I283" s="3">
        <v>7229.31</v>
      </c>
    </row>
    <row r="284" spans="1:9" x14ac:dyDescent="0.3">
      <c r="A284" s="5" t="s">
        <v>54</v>
      </c>
      <c r="B284" t="s">
        <v>259</v>
      </c>
      <c r="C284" t="s">
        <v>263</v>
      </c>
      <c r="D284" t="s">
        <v>270</v>
      </c>
      <c r="E284" t="s">
        <v>272</v>
      </c>
      <c r="F284" t="s">
        <v>277</v>
      </c>
      <c r="G284" s="7">
        <v>7</v>
      </c>
      <c r="H284" s="3">
        <v>33812.879999999997</v>
      </c>
      <c r="I284" s="3">
        <v>236690.16</v>
      </c>
    </row>
    <row r="285" spans="1:9" x14ac:dyDescent="0.3">
      <c r="A285" s="5" t="s">
        <v>54</v>
      </c>
      <c r="B285" t="s">
        <v>253</v>
      </c>
      <c r="C285" t="s">
        <v>261</v>
      </c>
      <c r="D285" t="s">
        <v>268</v>
      </c>
      <c r="E285" t="s">
        <v>274</v>
      </c>
      <c r="F285" t="s">
        <v>284</v>
      </c>
      <c r="G285" s="7">
        <v>7</v>
      </c>
      <c r="H285" s="3">
        <v>33877.910000000003</v>
      </c>
      <c r="I285" s="3">
        <v>237145.37</v>
      </c>
    </row>
    <row r="286" spans="1:9" x14ac:dyDescent="0.3">
      <c r="A286" s="5" t="s">
        <v>55</v>
      </c>
      <c r="B286" t="s">
        <v>258</v>
      </c>
      <c r="C286" t="s">
        <v>265</v>
      </c>
      <c r="D286" t="s">
        <v>266</v>
      </c>
      <c r="E286" t="s">
        <v>273</v>
      </c>
      <c r="F286" t="s">
        <v>278</v>
      </c>
      <c r="G286" s="7">
        <v>7</v>
      </c>
      <c r="H286" s="3">
        <v>42978.06</v>
      </c>
      <c r="I286" s="3">
        <v>300846.42</v>
      </c>
    </row>
    <row r="287" spans="1:9" x14ac:dyDescent="0.3">
      <c r="A287" s="5" t="s">
        <v>55</v>
      </c>
      <c r="B287" t="s">
        <v>256</v>
      </c>
      <c r="C287" t="s">
        <v>261</v>
      </c>
      <c r="D287" t="s">
        <v>270</v>
      </c>
      <c r="E287" t="s">
        <v>273</v>
      </c>
      <c r="F287" t="s">
        <v>278</v>
      </c>
      <c r="G287" s="7">
        <v>1</v>
      </c>
      <c r="H287" s="3">
        <v>52061.03</v>
      </c>
      <c r="I287" s="3">
        <v>52061.03</v>
      </c>
    </row>
    <row r="288" spans="1:9" x14ac:dyDescent="0.3">
      <c r="A288" s="5" t="s">
        <v>55</v>
      </c>
      <c r="B288" t="s">
        <v>260</v>
      </c>
      <c r="C288" t="s">
        <v>264</v>
      </c>
      <c r="D288" t="s">
        <v>270</v>
      </c>
      <c r="E288" t="s">
        <v>274</v>
      </c>
      <c r="F288" t="s">
        <v>287</v>
      </c>
      <c r="G288" s="7">
        <v>4</v>
      </c>
      <c r="H288" s="3">
        <v>39061.32</v>
      </c>
      <c r="I288" s="3">
        <v>156245.28</v>
      </c>
    </row>
    <row r="289" spans="1:9" x14ac:dyDescent="0.3">
      <c r="A289" s="5" t="s">
        <v>55</v>
      </c>
      <c r="B289" t="s">
        <v>255</v>
      </c>
      <c r="C289" t="s">
        <v>261</v>
      </c>
      <c r="D289" t="s">
        <v>266</v>
      </c>
      <c r="E289" t="s">
        <v>274</v>
      </c>
      <c r="F289" t="s">
        <v>287</v>
      </c>
      <c r="G289" s="7">
        <v>7</v>
      </c>
      <c r="H289" s="3">
        <v>33391.24</v>
      </c>
      <c r="I289" s="3">
        <v>233738.68</v>
      </c>
    </row>
    <row r="290" spans="1:9" x14ac:dyDescent="0.3">
      <c r="A290" s="5" t="s">
        <v>55</v>
      </c>
      <c r="B290" t="s">
        <v>260</v>
      </c>
      <c r="C290" t="s">
        <v>262</v>
      </c>
      <c r="D290" t="s">
        <v>268</v>
      </c>
      <c r="E290" t="s">
        <v>272</v>
      </c>
      <c r="F290" t="s">
        <v>277</v>
      </c>
      <c r="G290" s="7">
        <v>9</v>
      </c>
      <c r="H290" s="3">
        <v>27334.2</v>
      </c>
      <c r="I290" s="3">
        <v>246007.8</v>
      </c>
    </row>
    <row r="291" spans="1:9" x14ac:dyDescent="0.3">
      <c r="A291" s="5" t="s">
        <v>55</v>
      </c>
      <c r="B291" t="s">
        <v>257</v>
      </c>
      <c r="C291" t="s">
        <v>265</v>
      </c>
      <c r="D291" t="s">
        <v>268</v>
      </c>
      <c r="E291" t="s">
        <v>273</v>
      </c>
      <c r="F291" t="s">
        <v>279</v>
      </c>
      <c r="G291" s="7">
        <v>5</v>
      </c>
      <c r="H291" s="3">
        <v>52451.01</v>
      </c>
      <c r="I291" s="3">
        <v>262255.05</v>
      </c>
    </row>
    <row r="292" spans="1:9" x14ac:dyDescent="0.3">
      <c r="A292" s="5" t="s">
        <v>56</v>
      </c>
      <c r="B292" t="s">
        <v>260</v>
      </c>
      <c r="C292" t="s">
        <v>262</v>
      </c>
      <c r="D292" t="s">
        <v>269</v>
      </c>
      <c r="E292" t="s">
        <v>274</v>
      </c>
      <c r="F292" t="s">
        <v>289</v>
      </c>
      <c r="G292" s="7">
        <v>2</v>
      </c>
      <c r="H292" s="3">
        <v>35926.85</v>
      </c>
      <c r="I292" s="3">
        <v>71853.7</v>
      </c>
    </row>
    <row r="293" spans="1:9" x14ac:dyDescent="0.3">
      <c r="A293" s="5" t="s">
        <v>56</v>
      </c>
      <c r="B293" t="s">
        <v>256</v>
      </c>
      <c r="C293" t="s">
        <v>262</v>
      </c>
      <c r="D293" t="s">
        <v>267</v>
      </c>
      <c r="E293" t="s">
        <v>273</v>
      </c>
      <c r="F293" t="s">
        <v>283</v>
      </c>
      <c r="G293" s="7">
        <v>7</v>
      </c>
      <c r="H293" s="3">
        <v>54247.54</v>
      </c>
      <c r="I293" s="3">
        <v>379732.78</v>
      </c>
    </row>
    <row r="294" spans="1:9" x14ac:dyDescent="0.3">
      <c r="A294" s="5" t="s">
        <v>56</v>
      </c>
      <c r="B294" t="s">
        <v>260</v>
      </c>
      <c r="C294" t="s">
        <v>264</v>
      </c>
      <c r="D294" t="s">
        <v>266</v>
      </c>
      <c r="E294" t="s">
        <v>274</v>
      </c>
      <c r="F294" t="s">
        <v>287</v>
      </c>
      <c r="G294" s="7">
        <v>1</v>
      </c>
      <c r="H294" s="3">
        <v>36064.18</v>
      </c>
      <c r="I294" s="3">
        <v>36064.18</v>
      </c>
    </row>
    <row r="295" spans="1:9" x14ac:dyDescent="0.3">
      <c r="A295" s="5" t="s">
        <v>56</v>
      </c>
      <c r="B295" t="s">
        <v>258</v>
      </c>
      <c r="C295" t="s">
        <v>265</v>
      </c>
      <c r="D295" t="s">
        <v>266</v>
      </c>
      <c r="E295" t="s">
        <v>273</v>
      </c>
      <c r="F295" t="s">
        <v>278</v>
      </c>
      <c r="G295" s="7">
        <v>7</v>
      </c>
      <c r="H295" s="3">
        <v>42633.51</v>
      </c>
      <c r="I295" s="3">
        <v>298434.57</v>
      </c>
    </row>
    <row r="296" spans="1:9" x14ac:dyDescent="0.3">
      <c r="A296" s="5" t="s">
        <v>56</v>
      </c>
      <c r="B296" t="s">
        <v>258</v>
      </c>
      <c r="C296" t="s">
        <v>265</v>
      </c>
      <c r="D296" t="s">
        <v>266</v>
      </c>
      <c r="E296" t="s">
        <v>271</v>
      </c>
      <c r="F296" t="s">
        <v>282</v>
      </c>
      <c r="G296" s="7">
        <v>6</v>
      </c>
      <c r="H296" s="3">
        <v>10392.64</v>
      </c>
      <c r="I296" s="3">
        <v>62355.839999999997</v>
      </c>
    </row>
    <row r="297" spans="1:9" x14ac:dyDescent="0.3">
      <c r="A297" s="5" t="s">
        <v>56</v>
      </c>
      <c r="B297" t="s">
        <v>254</v>
      </c>
      <c r="C297" t="s">
        <v>265</v>
      </c>
      <c r="D297" t="s">
        <v>268</v>
      </c>
      <c r="E297" t="s">
        <v>272</v>
      </c>
      <c r="F297" t="s">
        <v>290</v>
      </c>
      <c r="G297" s="7">
        <v>7</v>
      </c>
      <c r="H297" s="3">
        <v>24974.16</v>
      </c>
      <c r="I297" s="3">
        <v>174819.12</v>
      </c>
    </row>
    <row r="298" spans="1:9" x14ac:dyDescent="0.3">
      <c r="A298" s="5" t="s">
        <v>56</v>
      </c>
      <c r="B298" t="s">
        <v>259</v>
      </c>
      <c r="C298" t="s">
        <v>265</v>
      </c>
      <c r="D298" t="s">
        <v>267</v>
      </c>
      <c r="E298" t="s">
        <v>273</v>
      </c>
      <c r="F298" t="s">
        <v>283</v>
      </c>
      <c r="G298" s="7">
        <v>3</v>
      </c>
      <c r="H298" s="3">
        <v>43072.97</v>
      </c>
      <c r="I298" s="3">
        <v>129218.91</v>
      </c>
    </row>
    <row r="299" spans="1:9" x14ac:dyDescent="0.3">
      <c r="A299" s="5" t="s">
        <v>57</v>
      </c>
      <c r="B299" t="s">
        <v>253</v>
      </c>
      <c r="C299" t="s">
        <v>265</v>
      </c>
      <c r="D299" t="s">
        <v>269</v>
      </c>
      <c r="E299" t="s">
        <v>271</v>
      </c>
      <c r="F299" t="s">
        <v>285</v>
      </c>
      <c r="G299" s="7">
        <v>3</v>
      </c>
      <c r="H299" s="3">
        <v>8993.66</v>
      </c>
      <c r="I299" s="3">
        <v>26980.98</v>
      </c>
    </row>
    <row r="300" spans="1:9" x14ac:dyDescent="0.3">
      <c r="A300" s="5" t="s">
        <v>57</v>
      </c>
      <c r="B300" t="s">
        <v>255</v>
      </c>
      <c r="C300" t="s">
        <v>264</v>
      </c>
      <c r="D300" t="s">
        <v>270</v>
      </c>
      <c r="E300" t="s">
        <v>273</v>
      </c>
      <c r="F300" t="s">
        <v>279</v>
      </c>
      <c r="G300" s="7">
        <v>7</v>
      </c>
      <c r="H300" s="3">
        <v>48433.36</v>
      </c>
      <c r="I300" s="3">
        <v>339033.52</v>
      </c>
    </row>
    <row r="301" spans="1:9" x14ac:dyDescent="0.3">
      <c r="A301" s="5" t="s">
        <v>57</v>
      </c>
      <c r="B301" t="s">
        <v>257</v>
      </c>
      <c r="C301" t="s">
        <v>261</v>
      </c>
      <c r="D301" t="s">
        <v>270</v>
      </c>
      <c r="E301" t="s">
        <v>273</v>
      </c>
      <c r="F301" t="s">
        <v>279</v>
      </c>
      <c r="G301" s="7">
        <v>2</v>
      </c>
      <c r="H301" s="3">
        <v>38525.589999999997</v>
      </c>
      <c r="I301" s="3">
        <v>77051.179999999993</v>
      </c>
    </row>
    <row r="302" spans="1:9" x14ac:dyDescent="0.3">
      <c r="A302" s="5" t="s">
        <v>57</v>
      </c>
      <c r="B302" t="s">
        <v>260</v>
      </c>
      <c r="C302" t="s">
        <v>262</v>
      </c>
      <c r="D302" t="s">
        <v>266</v>
      </c>
      <c r="E302" t="s">
        <v>271</v>
      </c>
      <c r="F302" t="s">
        <v>281</v>
      </c>
      <c r="G302" s="7">
        <v>1</v>
      </c>
      <c r="H302" s="3">
        <v>9878.9500000000007</v>
      </c>
      <c r="I302" s="3">
        <v>9878.9500000000007</v>
      </c>
    </row>
    <row r="303" spans="1:9" x14ac:dyDescent="0.3">
      <c r="A303" s="5" t="s">
        <v>57</v>
      </c>
      <c r="B303" t="s">
        <v>260</v>
      </c>
      <c r="C303" t="s">
        <v>265</v>
      </c>
      <c r="D303" t="s">
        <v>267</v>
      </c>
      <c r="E303" t="s">
        <v>273</v>
      </c>
      <c r="F303" t="s">
        <v>278</v>
      </c>
      <c r="G303" s="7">
        <v>9</v>
      </c>
      <c r="H303" s="3">
        <v>44758.93</v>
      </c>
      <c r="I303" s="3">
        <v>402830.37</v>
      </c>
    </row>
    <row r="304" spans="1:9" x14ac:dyDescent="0.3">
      <c r="A304" s="5" t="s">
        <v>57</v>
      </c>
      <c r="B304" t="s">
        <v>256</v>
      </c>
      <c r="C304" t="s">
        <v>261</v>
      </c>
      <c r="D304" t="s">
        <v>268</v>
      </c>
      <c r="E304" t="s">
        <v>273</v>
      </c>
      <c r="F304" t="s">
        <v>283</v>
      </c>
      <c r="G304" s="7">
        <v>9</v>
      </c>
      <c r="H304" s="3">
        <v>45565.53</v>
      </c>
      <c r="I304" s="3">
        <v>410089.77</v>
      </c>
    </row>
    <row r="305" spans="1:9" x14ac:dyDescent="0.3">
      <c r="A305" s="5" t="s">
        <v>58</v>
      </c>
      <c r="B305" t="s">
        <v>259</v>
      </c>
      <c r="C305" t="s">
        <v>261</v>
      </c>
      <c r="D305" t="s">
        <v>267</v>
      </c>
      <c r="E305" t="s">
        <v>272</v>
      </c>
      <c r="F305" t="s">
        <v>290</v>
      </c>
      <c r="G305" s="7">
        <v>7</v>
      </c>
      <c r="H305" s="3">
        <v>32864.94</v>
      </c>
      <c r="I305" s="3">
        <v>230054.58</v>
      </c>
    </row>
    <row r="306" spans="1:9" x14ac:dyDescent="0.3">
      <c r="A306" s="5" t="s">
        <v>58</v>
      </c>
      <c r="B306" t="s">
        <v>258</v>
      </c>
      <c r="C306" t="s">
        <v>262</v>
      </c>
      <c r="D306" t="s">
        <v>267</v>
      </c>
      <c r="E306" t="s">
        <v>271</v>
      </c>
      <c r="F306" t="s">
        <v>282</v>
      </c>
      <c r="G306" s="7">
        <v>7</v>
      </c>
      <c r="H306" s="3">
        <v>8514.56</v>
      </c>
      <c r="I306" s="3">
        <v>59601.919999999998</v>
      </c>
    </row>
    <row r="307" spans="1:9" x14ac:dyDescent="0.3">
      <c r="A307" s="5" t="s">
        <v>58</v>
      </c>
      <c r="B307" t="s">
        <v>255</v>
      </c>
      <c r="C307" t="s">
        <v>264</v>
      </c>
      <c r="D307" t="s">
        <v>268</v>
      </c>
      <c r="E307" t="s">
        <v>271</v>
      </c>
      <c r="F307" t="s">
        <v>275</v>
      </c>
      <c r="G307" s="7">
        <v>3</v>
      </c>
      <c r="H307" s="3">
        <v>7385.56</v>
      </c>
      <c r="I307" s="3">
        <v>22156.68</v>
      </c>
    </row>
    <row r="308" spans="1:9" x14ac:dyDescent="0.3">
      <c r="A308" s="5" t="s">
        <v>58</v>
      </c>
      <c r="B308" t="s">
        <v>254</v>
      </c>
      <c r="C308" t="s">
        <v>263</v>
      </c>
      <c r="D308" t="s">
        <v>266</v>
      </c>
      <c r="E308" t="s">
        <v>274</v>
      </c>
      <c r="F308" t="s">
        <v>280</v>
      </c>
      <c r="G308" s="7">
        <v>2</v>
      </c>
      <c r="H308" s="3">
        <v>29458.43</v>
      </c>
      <c r="I308" s="3">
        <v>58916.86</v>
      </c>
    </row>
    <row r="309" spans="1:9" x14ac:dyDescent="0.3">
      <c r="A309" s="5" t="s">
        <v>58</v>
      </c>
      <c r="B309" t="s">
        <v>258</v>
      </c>
      <c r="C309" t="s">
        <v>263</v>
      </c>
      <c r="D309" t="s">
        <v>267</v>
      </c>
      <c r="E309" t="s">
        <v>273</v>
      </c>
      <c r="F309" t="s">
        <v>288</v>
      </c>
      <c r="G309" s="7">
        <v>7</v>
      </c>
      <c r="H309" s="3">
        <v>55456.26</v>
      </c>
      <c r="I309" s="3">
        <v>388193.82</v>
      </c>
    </row>
    <row r="310" spans="1:9" x14ac:dyDescent="0.3">
      <c r="A310" s="5" t="s">
        <v>58</v>
      </c>
      <c r="B310" t="s">
        <v>257</v>
      </c>
      <c r="C310" t="s">
        <v>261</v>
      </c>
      <c r="D310" t="s">
        <v>270</v>
      </c>
      <c r="E310" t="s">
        <v>272</v>
      </c>
      <c r="F310" t="s">
        <v>286</v>
      </c>
      <c r="G310" s="7">
        <v>9</v>
      </c>
      <c r="H310" s="3">
        <v>24588.54</v>
      </c>
      <c r="I310" s="3">
        <v>221296.86</v>
      </c>
    </row>
    <row r="311" spans="1:9" x14ac:dyDescent="0.3">
      <c r="A311" s="5" t="s">
        <v>59</v>
      </c>
      <c r="B311" t="s">
        <v>259</v>
      </c>
      <c r="C311" t="s">
        <v>262</v>
      </c>
      <c r="D311" t="s">
        <v>268</v>
      </c>
      <c r="E311" t="s">
        <v>273</v>
      </c>
      <c r="F311" t="s">
        <v>283</v>
      </c>
      <c r="G311" s="7">
        <v>1</v>
      </c>
      <c r="H311" s="3">
        <v>44638.76</v>
      </c>
      <c r="I311" s="3">
        <v>44638.76</v>
      </c>
    </row>
    <row r="312" spans="1:9" x14ac:dyDescent="0.3">
      <c r="A312" s="5" t="s">
        <v>59</v>
      </c>
      <c r="B312" t="s">
        <v>257</v>
      </c>
      <c r="C312" t="s">
        <v>263</v>
      </c>
      <c r="D312" t="s">
        <v>269</v>
      </c>
      <c r="E312" t="s">
        <v>273</v>
      </c>
      <c r="F312" t="s">
        <v>283</v>
      </c>
      <c r="G312" s="7">
        <v>4</v>
      </c>
      <c r="H312" s="3">
        <v>47307.23</v>
      </c>
      <c r="I312" s="3">
        <v>189228.92</v>
      </c>
    </row>
    <row r="313" spans="1:9" x14ac:dyDescent="0.3">
      <c r="A313" s="5" t="s">
        <v>59</v>
      </c>
      <c r="B313" t="s">
        <v>253</v>
      </c>
      <c r="C313" t="s">
        <v>261</v>
      </c>
      <c r="D313" t="s">
        <v>266</v>
      </c>
      <c r="E313" t="s">
        <v>274</v>
      </c>
      <c r="F313" t="s">
        <v>289</v>
      </c>
      <c r="G313" s="7">
        <v>6</v>
      </c>
      <c r="H313" s="3">
        <v>33513.99</v>
      </c>
      <c r="I313" s="3">
        <v>201083.94</v>
      </c>
    </row>
    <row r="314" spans="1:9" x14ac:dyDescent="0.3">
      <c r="A314" s="5" t="s">
        <v>59</v>
      </c>
      <c r="B314" t="s">
        <v>254</v>
      </c>
      <c r="C314" t="s">
        <v>264</v>
      </c>
      <c r="D314" t="s">
        <v>268</v>
      </c>
      <c r="E314" t="s">
        <v>273</v>
      </c>
      <c r="F314" t="s">
        <v>278</v>
      </c>
      <c r="G314" s="7">
        <v>7</v>
      </c>
      <c r="H314" s="3">
        <v>38321.279999999999</v>
      </c>
      <c r="I314" s="3">
        <v>268248.96000000002</v>
      </c>
    </row>
    <row r="315" spans="1:9" x14ac:dyDescent="0.3">
      <c r="A315" s="5" t="s">
        <v>59</v>
      </c>
      <c r="B315" t="s">
        <v>253</v>
      </c>
      <c r="C315" t="s">
        <v>263</v>
      </c>
      <c r="D315" t="s">
        <v>269</v>
      </c>
      <c r="E315" t="s">
        <v>272</v>
      </c>
      <c r="F315" t="s">
        <v>286</v>
      </c>
      <c r="G315" s="7">
        <v>7</v>
      </c>
      <c r="H315" s="3">
        <v>29413.02</v>
      </c>
      <c r="I315" s="3">
        <v>205891.14</v>
      </c>
    </row>
    <row r="316" spans="1:9" x14ac:dyDescent="0.3">
      <c r="A316" s="5" t="s">
        <v>59</v>
      </c>
      <c r="B316" t="s">
        <v>256</v>
      </c>
      <c r="C316" t="s">
        <v>261</v>
      </c>
      <c r="D316" t="s">
        <v>269</v>
      </c>
      <c r="E316" t="s">
        <v>272</v>
      </c>
      <c r="F316" t="s">
        <v>277</v>
      </c>
      <c r="G316" s="7">
        <v>2</v>
      </c>
      <c r="H316" s="3">
        <v>28098.25</v>
      </c>
      <c r="I316" s="3">
        <v>56196.5</v>
      </c>
    </row>
    <row r="317" spans="1:9" x14ac:dyDescent="0.3">
      <c r="A317" s="5" t="s">
        <v>60</v>
      </c>
      <c r="B317" t="s">
        <v>257</v>
      </c>
      <c r="C317" t="s">
        <v>261</v>
      </c>
      <c r="D317" t="s">
        <v>267</v>
      </c>
      <c r="E317" t="s">
        <v>274</v>
      </c>
      <c r="F317" t="s">
        <v>289</v>
      </c>
      <c r="G317" s="7">
        <v>4</v>
      </c>
      <c r="H317" s="3">
        <v>39642.620000000003</v>
      </c>
      <c r="I317" s="3">
        <v>158570.48000000001</v>
      </c>
    </row>
    <row r="318" spans="1:9" x14ac:dyDescent="0.3">
      <c r="A318" s="5" t="s">
        <v>60</v>
      </c>
      <c r="B318" t="s">
        <v>256</v>
      </c>
      <c r="C318" t="s">
        <v>265</v>
      </c>
      <c r="D318" t="s">
        <v>267</v>
      </c>
      <c r="E318" t="s">
        <v>273</v>
      </c>
      <c r="F318" t="s">
        <v>278</v>
      </c>
      <c r="G318" s="7">
        <v>5</v>
      </c>
      <c r="H318" s="3">
        <v>41114.86</v>
      </c>
      <c r="I318" s="3">
        <v>205574.3</v>
      </c>
    </row>
    <row r="319" spans="1:9" x14ac:dyDescent="0.3">
      <c r="A319" s="5" t="s">
        <v>60</v>
      </c>
      <c r="B319" t="s">
        <v>260</v>
      </c>
      <c r="C319" t="s">
        <v>264</v>
      </c>
      <c r="D319" t="s">
        <v>267</v>
      </c>
      <c r="E319" t="s">
        <v>272</v>
      </c>
      <c r="F319" t="s">
        <v>276</v>
      </c>
      <c r="G319" s="7">
        <v>1</v>
      </c>
      <c r="H319" s="3">
        <v>27766.53</v>
      </c>
      <c r="I319" s="3">
        <v>27766.53</v>
      </c>
    </row>
    <row r="320" spans="1:9" x14ac:dyDescent="0.3">
      <c r="A320" s="5" t="s">
        <v>60</v>
      </c>
      <c r="B320" t="s">
        <v>253</v>
      </c>
      <c r="C320" t="s">
        <v>265</v>
      </c>
      <c r="D320" t="s">
        <v>268</v>
      </c>
      <c r="E320" t="s">
        <v>273</v>
      </c>
      <c r="F320" t="s">
        <v>279</v>
      </c>
      <c r="G320" s="7">
        <v>1</v>
      </c>
      <c r="H320" s="3">
        <v>45800.67</v>
      </c>
      <c r="I320" s="3">
        <v>45800.67</v>
      </c>
    </row>
    <row r="321" spans="1:9" x14ac:dyDescent="0.3">
      <c r="A321" s="5" t="s">
        <v>60</v>
      </c>
      <c r="B321" t="s">
        <v>259</v>
      </c>
      <c r="C321" t="s">
        <v>262</v>
      </c>
      <c r="D321" t="s">
        <v>268</v>
      </c>
      <c r="E321" t="s">
        <v>273</v>
      </c>
      <c r="F321" t="s">
        <v>288</v>
      </c>
      <c r="G321" s="7">
        <v>3</v>
      </c>
      <c r="H321" s="3">
        <v>45282.48</v>
      </c>
      <c r="I321" s="3">
        <v>135847.44</v>
      </c>
    </row>
    <row r="322" spans="1:9" x14ac:dyDescent="0.3">
      <c r="A322" s="5" t="s">
        <v>60</v>
      </c>
      <c r="B322" t="s">
        <v>257</v>
      </c>
      <c r="C322" t="s">
        <v>265</v>
      </c>
      <c r="D322" t="s">
        <v>266</v>
      </c>
      <c r="E322" t="s">
        <v>273</v>
      </c>
      <c r="F322" t="s">
        <v>278</v>
      </c>
      <c r="G322" s="7">
        <v>3</v>
      </c>
      <c r="H322" s="3">
        <v>50234.95</v>
      </c>
      <c r="I322" s="3">
        <v>150704.85</v>
      </c>
    </row>
    <row r="323" spans="1:9" x14ac:dyDescent="0.3">
      <c r="A323" s="5" t="s">
        <v>61</v>
      </c>
      <c r="B323" t="s">
        <v>255</v>
      </c>
      <c r="C323" t="s">
        <v>265</v>
      </c>
      <c r="D323" t="s">
        <v>267</v>
      </c>
      <c r="E323" t="s">
        <v>274</v>
      </c>
      <c r="F323" t="s">
        <v>287</v>
      </c>
      <c r="G323" s="7">
        <v>8</v>
      </c>
      <c r="H323" s="3">
        <v>29958.560000000001</v>
      </c>
      <c r="I323" s="3">
        <v>239668.48000000001</v>
      </c>
    </row>
    <row r="324" spans="1:9" x14ac:dyDescent="0.3">
      <c r="A324" s="5" t="s">
        <v>61</v>
      </c>
      <c r="B324" t="s">
        <v>254</v>
      </c>
      <c r="C324" t="s">
        <v>263</v>
      </c>
      <c r="D324" t="s">
        <v>269</v>
      </c>
      <c r="E324" t="s">
        <v>273</v>
      </c>
      <c r="F324" t="s">
        <v>288</v>
      </c>
      <c r="G324" s="7">
        <v>9</v>
      </c>
      <c r="H324" s="3">
        <v>42229.29</v>
      </c>
      <c r="I324" s="3">
        <v>380063.61</v>
      </c>
    </row>
    <row r="325" spans="1:9" x14ac:dyDescent="0.3">
      <c r="A325" s="5" t="s">
        <v>61</v>
      </c>
      <c r="B325" t="s">
        <v>258</v>
      </c>
      <c r="C325" t="s">
        <v>261</v>
      </c>
      <c r="D325" t="s">
        <v>270</v>
      </c>
      <c r="E325" t="s">
        <v>272</v>
      </c>
      <c r="F325" t="s">
        <v>286</v>
      </c>
      <c r="G325" s="7">
        <v>1</v>
      </c>
      <c r="H325" s="3">
        <v>31967.16</v>
      </c>
      <c r="I325" s="3">
        <v>31967.16</v>
      </c>
    </row>
    <row r="326" spans="1:9" x14ac:dyDescent="0.3">
      <c r="A326" s="5" t="s">
        <v>61</v>
      </c>
      <c r="B326" t="s">
        <v>259</v>
      </c>
      <c r="C326" t="s">
        <v>264</v>
      </c>
      <c r="D326" t="s">
        <v>266</v>
      </c>
      <c r="E326" t="s">
        <v>273</v>
      </c>
      <c r="F326" t="s">
        <v>278</v>
      </c>
      <c r="G326" s="7">
        <v>2</v>
      </c>
      <c r="H326" s="3">
        <v>47255.23</v>
      </c>
      <c r="I326" s="3">
        <v>94510.46</v>
      </c>
    </row>
    <row r="327" spans="1:9" x14ac:dyDescent="0.3">
      <c r="A327" s="5" t="s">
        <v>61</v>
      </c>
      <c r="B327" t="s">
        <v>259</v>
      </c>
      <c r="C327" t="s">
        <v>265</v>
      </c>
      <c r="D327" t="s">
        <v>268</v>
      </c>
      <c r="E327" t="s">
        <v>272</v>
      </c>
      <c r="F327" t="s">
        <v>277</v>
      </c>
      <c r="G327" s="7">
        <v>2</v>
      </c>
      <c r="H327" s="3">
        <v>28449.74</v>
      </c>
      <c r="I327" s="3">
        <v>56899.48</v>
      </c>
    </row>
    <row r="328" spans="1:9" x14ac:dyDescent="0.3">
      <c r="A328" s="5" t="s">
        <v>61</v>
      </c>
      <c r="B328" t="s">
        <v>256</v>
      </c>
      <c r="C328" t="s">
        <v>264</v>
      </c>
      <c r="D328" t="s">
        <v>266</v>
      </c>
      <c r="E328" t="s">
        <v>273</v>
      </c>
      <c r="F328" t="s">
        <v>288</v>
      </c>
      <c r="G328" s="7">
        <v>4</v>
      </c>
      <c r="H328" s="3">
        <v>41295.65</v>
      </c>
      <c r="I328" s="3">
        <v>165182.6</v>
      </c>
    </row>
    <row r="329" spans="1:9" x14ac:dyDescent="0.3">
      <c r="A329" s="5" t="s">
        <v>62</v>
      </c>
      <c r="B329" t="s">
        <v>253</v>
      </c>
      <c r="C329" t="s">
        <v>265</v>
      </c>
      <c r="D329" t="s">
        <v>266</v>
      </c>
      <c r="E329" t="s">
        <v>272</v>
      </c>
      <c r="F329" t="s">
        <v>277</v>
      </c>
      <c r="G329" s="7">
        <v>2</v>
      </c>
      <c r="H329" s="3">
        <v>25900.3</v>
      </c>
      <c r="I329" s="3">
        <v>51800.6</v>
      </c>
    </row>
    <row r="330" spans="1:9" x14ac:dyDescent="0.3">
      <c r="A330" s="5" t="s">
        <v>62</v>
      </c>
      <c r="B330" t="s">
        <v>257</v>
      </c>
      <c r="C330" t="s">
        <v>262</v>
      </c>
      <c r="D330" t="s">
        <v>266</v>
      </c>
      <c r="E330" t="s">
        <v>272</v>
      </c>
      <c r="F330" t="s">
        <v>277</v>
      </c>
      <c r="G330" s="7">
        <v>7</v>
      </c>
      <c r="H330" s="3">
        <v>23918.18</v>
      </c>
      <c r="I330" s="3">
        <v>167427.26</v>
      </c>
    </row>
    <row r="331" spans="1:9" x14ac:dyDescent="0.3">
      <c r="A331" s="5" t="s">
        <v>62</v>
      </c>
      <c r="B331" t="s">
        <v>257</v>
      </c>
      <c r="C331" t="s">
        <v>265</v>
      </c>
      <c r="D331" t="s">
        <v>266</v>
      </c>
      <c r="E331" t="s">
        <v>273</v>
      </c>
      <c r="F331" t="s">
        <v>279</v>
      </c>
      <c r="G331" s="7">
        <v>9</v>
      </c>
      <c r="H331" s="3">
        <v>39895.67</v>
      </c>
      <c r="I331" s="3">
        <v>359061.03</v>
      </c>
    </row>
    <row r="332" spans="1:9" x14ac:dyDescent="0.3">
      <c r="A332" s="5" t="s">
        <v>62</v>
      </c>
      <c r="B332" t="s">
        <v>260</v>
      </c>
      <c r="C332" t="s">
        <v>263</v>
      </c>
      <c r="D332" t="s">
        <v>270</v>
      </c>
      <c r="E332" t="s">
        <v>273</v>
      </c>
      <c r="F332" t="s">
        <v>283</v>
      </c>
      <c r="G332" s="7">
        <v>7</v>
      </c>
      <c r="H332" s="3">
        <v>48273.1</v>
      </c>
      <c r="I332" s="3">
        <v>337911.7</v>
      </c>
    </row>
    <row r="333" spans="1:9" x14ac:dyDescent="0.3">
      <c r="A333" s="5" t="s">
        <v>62</v>
      </c>
      <c r="B333" t="s">
        <v>260</v>
      </c>
      <c r="C333" t="s">
        <v>261</v>
      </c>
      <c r="D333" t="s">
        <v>267</v>
      </c>
      <c r="E333" t="s">
        <v>272</v>
      </c>
      <c r="F333" t="s">
        <v>290</v>
      </c>
      <c r="G333" s="7">
        <v>6</v>
      </c>
      <c r="H333" s="3">
        <v>33788.980000000003</v>
      </c>
      <c r="I333" s="3">
        <v>202733.88</v>
      </c>
    </row>
    <row r="334" spans="1:9" x14ac:dyDescent="0.3">
      <c r="A334" s="5" t="s">
        <v>62</v>
      </c>
      <c r="B334" t="s">
        <v>254</v>
      </c>
      <c r="C334" t="s">
        <v>262</v>
      </c>
      <c r="D334" t="s">
        <v>269</v>
      </c>
      <c r="E334" t="s">
        <v>271</v>
      </c>
      <c r="F334" t="s">
        <v>275</v>
      </c>
      <c r="G334" s="7">
        <v>1</v>
      </c>
      <c r="H334" s="3">
        <v>8201.36</v>
      </c>
      <c r="I334" s="3">
        <v>8201.36</v>
      </c>
    </row>
    <row r="335" spans="1:9" x14ac:dyDescent="0.3">
      <c r="A335" s="5" t="s">
        <v>62</v>
      </c>
      <c r="B335" t="s">
        <v>256</v>
      </c>
      <c r="C335" t="s">
        <v>265</v>
      </c>
      <c r="D335" t="s">
        <v>266</v>
      </c>
      <c r="E335" t="s">
        <v>274</v>
      </c>
      <c r="F335" t="s">
        <v>287</v>
      </c>
      <c r="G335" s="7">
        <v>9</v>
      </c>
      <c r="H335" s="3">
        <v>31395.16</v>
      </c>
      <c r="I335" s="3">
        <v>282556.44</v>
      </c>
    </row>
    <row r="336" spans="1:9" x14ac:dyDescent="0.3">
      <c r="A336" s="5" t="s">
        <v>63</v>
      </c>
      <c r="B336" t="s">
        <v>259</v>
      </c>
      <c r="C336" t="s">
        <v>264</v>
      </c>
      <c r="D336" t="s">
        <v>266</v>
      </c>
      <c r="E336" t="s">
        <v>271</v>
      </c>
      <c r="F336" t="s">
        <v>275</v>
      </c>
      <c r="G336" s="7">
        <v>5</v>
      </c>
      <c r="H336" s="3">
        <v>7618.06</v>
      </c>
      <c r="I336" s="3">
        <v>38090.300000000003</v>
      </c>
    </row>
    <row r="337" spans="1:9" x14ac:dyDescent="0.3">
      <c r="A337" s="5" t="s">
        <v>63</v>
      </c>
      <c r="B337" t="s">
        <v>257</v>
      </c>
      <c r="C337" t="s">
        <v>262</v>
      </c>
      <c r="D337" t="s">
        <v>266</v>
      </c>
      <c r="E337" t="s">
        <v>271</v>
      </c>
      <c r="F337" t="s">
        <v>282</v>
      </c>
      <c r="G337" s="7">
        <v>5</v>
      </c>
      <c r="H337" s="3">
        <v>8546.35</v>
      </c>
      <c r="I337" s="3">
        <v>42731.75</v>
      </c>
    </row>
    <row r="338" spans="1:9" x14ac:dyDescent="0.3">
      <c r="A338" s="5" t="s">
        <v>63</v>
      </c>
      <c r="B338" t="s">
        <v>255</v>
      </c>
      <c r="C338" t="s">
        <v>262</v>
      </c>
      <c r="D338" t="s">
        <v>267</v>
      </c>
      <c r="E338" t="s">
        <v>273</v>
      </c>
      <c r="F338" t="s">
        <v>288</v>
      </c>
      <c r="G338" s="7">
        <v>6</v>
      </c>
      <c r="H338" s="3">
        <v>38919.99</v>
      </c>
      <c r="I338" s="3">
        <v>233519.94</v>
      </c>
    </row>
    <row r="339" spans="1:9" x14ac:dyDescent="0.3">
      <c r="A339" s="5" t="s">
        <v>63</v>
      </c>
      <c r="B339" t="s">
        <v>256</v>
      </c>
      <c r="C339" t="s">
        <v>265</v>
      </c>
      <c r="D339" t="s">
        <v>268</v>
      </c>
      <c r="E339" t="s">
        <v>274</v>
      </c>
      <c r="F339" t="s">
        <v>280</v>
      </c>
      <c r="G339" s="7">
        <v>9</v>
      </c>
      <c r="H339" s="3">
        <v>38945.29</v>
      </c>
      <c r="I339" s="3">
        <v>350507.61</v>
      </c>
    </row>
    <row r="340" spans="1:9" x14ac:dyDescent="0.3">
      <c r="A340" s="5" t="s">
        <v>63</v>
      </c>
      <c r="B340" t="s">
        <v>254</v>
      </c>
      <c r="C340" t="s">
        <v>262</v>
      </c>
      <c r="D340" t="s">
        <v>268</v>
      </c>
      <c r="E340" t="s">
        <v>271</v>
      </c>
      <c r="F340" t="s">
        <v>275</v>
      </c>
      <c r="G340" s="7">
        <v>8</v>
      </c>
      <c r="H340" s="3">
        <v>9513.58</v>
      </c>
      <c r="I340" s="3">
        <v>76108.639999999999</v>
      </c>
    </row>
    <row r="341" spans="1:9" x14ac:dyDescent="0.3">
      <c r="A341" s="5" t="s">
        <v>63</v>
      </c>
      <c r="B341" t="s">
        <v>254</v>
      </c>
      <c r="C341" t="s">
        <v>264</v>
      </c>
      <c r="D341" t="s">
        <v>270</v>
      </c>
      <c r="E341" t="s">
        <v>273</v>
      </c>
      <c r="F341" t="s">
        <v>279</v>
      </c>
      <c r="G341" s="7">
        <v>8</v>
      </c>
      <c r="H341" s="3">
        <v>56083.48</v>
      </c>
      <c r="I341" s="3">
        <v>448667.84</v>
      </c>
    </row>
    <row r="342" spans="1:9" x14ac:dyDescent="0.3">
      <c r="A342" s="5" t="s">
        <v>64</v>
      </c>
      <c r="B342" t="s">
        <v>256</v>
      </c>
      <c r="C342" t="s">
        <v>262</v>
      </c>
      <c r="D342" t="s">
        <v>268</v>
      </c>
      <c r="E342" t="s">
        <v>271</v>
      </c>
      <c r="F342" t="s">
        <v>285</v>
      </c>
      <c r="G342" s="7">
        <v>8</v>
      </c>
      <c r="H342" s="3">
        <v>10226.6</v>
      </c>
      <c r="I342" s="3">
        <v>81812.800000000003</v>
      </c>
    </row>
    <row r="343" spans="1:9" x14ac:dyDescent="0.3">
      <c r="A343" s="5" t="s">
        <v>64</v>
      </c>
      <c r="B343" t="s">
        <v>254</v>
      </c>
      <c r="C343" t="s">
        <v>264</v>
      </c>
      <c r="D343" t="s">
        <v>266</v>
      </c>
      <c r="E343" t="s">
        <v>271</v>
      </c>
      <c r="F343" t="s">
        <v>281</v>
      </c>
      <c r="G343" s="7">
        <v>1</v>
      </c>
      <c r="H343" s="3">
        <v>8833.17</v>
      </c>
      <c r="I343" s="3">
        <v>8833.17</v>
      </c>
    </row>
    <row r="344" spans="1:9" x14ac:dyDescent="0.3">
      <c r="A344" s="5" t="s">
        <v>64</v>
      </c>
      <c r="B344" t="s">
        <v>256</v>
      </c>
      <c r="C344" t="s">
        <v>265</v>
      </c>
      <c r="D344" t="s">
        <v>266</v>
      </c>
      <c r="E344" t="s">
        <v>273</v>
      </c>
      <c r="F344" t="s">
        <v>278</v>
      </c>
      <c r="G344" s="7">
        <v>1</v>
      </c>
      <c r="H344" s="3">
        <v>47604.33</v>
      </c>
      <c r="I344" s="3">
        <v>47604.33</v>
      </c>
    </row>
    <row r="345" spans="1:9" x14ac:dyDescent="0.3">
      <c r="A345" s="5" t="s">
        <v>64</v>
      </c>
      <c r="B345" t="s">
        <v>258</v>
      </c>
      <c r="C345" t="s">
        <v>261</v>
      </c>
      <c r="D345" t="s">
        <v>266</v>
      </c>
      <c r="E345" t="s">
        <v>273</v>
      </c>
      <c r="F345" t="s">
        <v>283</v>
      </c>
      <c r="G345" s="7">
        <v>8</v>
      </c>
      <c r="H345" s="3">
        <v>41680.370000000003</v>
      </c>
      <c r="I345" s="3">
        <v>333442.96000000002</v>
      </c>
    </row>
    <row r="346" spans="1:9" x14ac:dyDescent="0.3">
      <c r="A346" s="5" t="s">
        <v>64</v>
      </c>
      <c r="B346" t="s">
        <v>256</v>
      </c>
      <c r="C346" t="s">
        <v>262</v>
      </c>
      <c r="D346" t="s">
        <v>270</v>
      </c>
      <c r="E346" t="s">
        <v>273</v>
      </c>
      <c r="F346" t="s">
        <v>283</v>
      </c>
      <c r="G346" s="7">
        <v>5</v>
      </c>
      <c r="H346" s="3">
        <v>46566.71</v>
      </c>
      <c r="I346" s="3">
        <v>232833.55</v>
      </c>
    </row>
    <row r="347" spans="1:9" x14ac:dyDescent="0.3">
      <c r="A347" s="5" t="s">
        <v>64</v>
      </c>
      <c r="B347" t="s">
        <v>253</v>
      </c>
      <c r="C347" t="s">
        <v>261</v>
      </c>
      <c r="D347" t="s">
        <v>266</v>
      </c>
      <c r="E347" t="s">
        <v>274</v>
      </c>
      <c r="F347" t="s">
        <v>289</v>
      </c>
      <c r="G347" s="7">
        <v>9</v>
      </c>
      <c r="H347" s="3">
        <v>38758.76</v>
      </c>
      <c r="I347" s="3">
        <v>348828.84</v>
      </c>
    </row>
    <row r="348" spans="1:9" x14ac:dyDescent="0.3">
      <c r="A348" s="5" t="s">
        <v>65</v>
      </c>
      <c r="B348" t="s">
        <v>256</v>
      </c>
      <c r="C348" t="s">
        <v>264</v>
      </c>
      <c r="D348" t="s">
        <v>268</v>
      </c>
      <c r="E348" t="s">
        <v>271</v>
      </c>
      <c r="F348" t="s">
        <v>282</v>
      </c>
      <c r="G348" s="7">
        <v>2</v>
      </c>
      <c r="H348" s="3">
        <v>7397.9</v>
      </c>
      <c r="I348" s="3">
        <v>14795.8</v>
      </c>
    </row>
    <row r="349" spans="1:9" x14ac:dyDescent="0.3">
      <c r="A349" s="5" t="s">
        <v>65</v>
      </c>
      <c r="B349" t="s">
        <v>254</v>
      </c>
      <c r="C349" t="s">
        <v>262</v>
      </c>
      <c r="D349" t="s">
        <v>267</v>
      </c>
      <c r="E349" t="s">
        <v>273</v>
      </c>
      <c r="F349" t="s">
        <v>278</v>
      </c>
      <c r="G349" s="7">
        <v>9</v>
      </c>
      <c r="H349" s="3">
        <v>53794.02</v>
      </c>
      <c r="I349" s="3">
        <v>484146.18</v>
      </c>
    </row>
    <row r="350" spans="1:9" x14ac:dyDescent="0.3">
      <c r="A350" s="5" t="s">
        <v>65</v>
      </c>
      <c r="B350" t="s">
        <v>257</v>
      </c>
      <c r="C350" t="s">
        <v>263</v>
      </c>
      <c r="D350" t="s">
        <v>267</v>
      </c>
      <c r="E350" t="s">
        <v>272</v>
      </c>
      <c r="F350" t="s">
        <v>277</v>
      </c>
      <c r="G350" s="7">
        <v>8</v>
      </c>
      <c r="H350" s="3">
        <v>27618.62</v>
      </c>
      <c r="I350" s="3">
        <v>220948.96</v>
      </c>
    </row>
    <row r="351" spans="1:9" x14ac:dyDescent="0.3">
      <c r="A351" s="5" t="s">
        <v>65</v>
      </c>
      <c r="B351" t="s">
        <v>253</v>
      </c>
      <c r="C351" t="s">
        <v>261</v>
      </c>
      <c r="D351" t="s">
        <v>269</v>
      </c>
      <c r="E351" t="s">
        <v>271</v>
      </c>
      <c r="F351" t="s">
        <v>275</v>
      </c>
      <c r="G351" s="7">
        <v>9</v>
      </c>
      <c r="H351" s="3">
        <v>10283.34</v>
      </c>
      <c r="I351" s="3">
        <v>92550.06</v>
      </c>
    </row>
    <row r="352" spans="1:9" x14ac:dyDescent="0.3">
      <c r="A352" s="5" t="s">
        <v>65</v>
      </c>
      <c r="B352" t="s">
        <v>254</v>
      </c>
      <c r="C352" t="s">
        <v>262</v>
      </c>
      <c r="D352" t="s">
        <v>268</v>
      </c>
      <c r="E352" t="s">
        <v>272</v>
      </c>
      <c r="F352" t="s">
        <v>286</v>
      </c>
      <c r="G352" s="7">
        <v>4</v>
      </c>
      <c r="H352" s="3">
        <v>34337.85</v>
      </c>
      <c r="I352" s="3">
        <v>137351.4</v>
      </c>
    </row>
    <row r="353" spans="1:9" x14ac:dyDescent="0.3">
      <c r="A353" s="5" t="s">
        <v>65</v>
      </c>
      <c r="B353" t="s">
        <v>260</v>
      </c>
      <c r="C353" t="s">
        <v>261</v>
      </c>
      <c r="D353" t="s">
        <v>266</v>
      </c>
      <c r="E353" t="s">
        <v>274</v>
      </c>
      <c r="F353" t="s">
        <v>287</v>
      </c>
      <c r="G353" s="7">
        <v>1</v>
      </c>
      <c r="H353" s="3">
        <v>35787.07</v>
      </c>
      <c r="I353" s="3">
        <v>35787.07</v>
      </c>
    </row>
    <row r="354" spans="1:9" x14ac:dyDescent="0.3">
      <c r="A354" s="5" t="s">
        <v>66</v>
      </c>
      <c r="B354" t="s">
        <v>260</v>
      </c>
      <c r="C354" t="s">
        <v>262</v>
      </c>
      <c r="D354" t="s">
        <v>267</v>
      </c>
      <c r="E354" t="s">
        <v>273</v>
      </c>
      <c r="F354" t="s">
        <v>278</v>
      </c>
      <c r="G354" s="7">
        <v>1</v>
      </c>
      <c r="H354" s="3">
        <v>50209.63</v>
      </c>
      <c r="I354" s="3">
        <v>50209.63</v>
      </c>
    </row>
    <row r="355" spans="1:9" x14ac:dyDescent="0.3">
      <c r="A355" s="5" t="s">
        <v>66</v>
      </c>
      <c r="B355" t="s">
        <v>257</v>
      </c>
      <c r="C355" t="s">
        <v>265</v>
      </c>
      <c r="D355" t="s">
        <v>268</v>
      </c>
      <c r="E355" t="s">
        <v>272</v>
      </c>
      <c r="F355" t="s">
        <v>286</v>
      </c>
      <c r="G355" s="7">
        <v>5</v>
      </c>
      <c r="H355" s="3">
        <v>28870.85</v>
      </c>
      <c r="I355" s="3">
        <v>144354.25</v>
      </c>
    </row>
    <row r="356" spans="1:9" x14ac:dyDescent="0.3">
      <c r="A356" s="5" t="s">
        <v>66</v>
      </c>
      <c r="B356" t="s">
        <v>257</v>
      </c>
      <c r="C356" t="s">
        <v>261</v>
      </c>
      <c r="D356" t="s">
        <v>267</v>
      </c>
      <c r="E356" t="s">
        <v>274</v>
      </c>
      <c r="F356" t="s">
        <v>289</v>
      </c>
      <c r="G356" s="7">
        <v>2</v>
      </c>
      <c r="H356" s="3">
        <v>37894.910000000003</v>
      </c>
      <c r="I356" s="3">
        <v>75789.820000000007</v>
      </c>
    </row>
    <row r="357" spans="1:9" x14ac:dyDescent="0.3">
      <c r="A357" s="5" t="s">
        <v>66</v>
      </c>
      <c r="B357" t="s">
        <v>253</v>
      </c>
      <c r="C357" t="s">
        <v>263</v>
      </c>
      <c r="D357" t="s">
        <v>266</v>
      </c>
      <c r="E357" t="s">
        <v>273</v>
      </c>
      <c r="F357" t="s">
        <v>283</v>
      </c>
      <c r="G357" s="7">
        <v>8</v>
      </c>
      <c r="H357" s="3">
        <v>55559.03</v>
      </c>
      <c r="I357" s="3">
        <v>444472.24</v>
      </c>
    </row>
    <row r="358" spans="1:9" x14ac:dyDescent="0.3">
      <c r="A358" s="5" t="s">
        <v>66</v>
      </c>
      <c r="B358" t="s">
        <v>258</v>
      </c>
      <c r="C358" t="s">
        <v>263</v>
      </c>
      <c r="D358" t="s">
        <v>267</v>
      </c>
      <c r="E358" t="s">
        <v>272</v>
      </c>
      <c r="F358" t="s">
        <v>290</v>
      </c>
      <c r="G358" s="7">
        <v>5</v>
      </c>
      <c r="H358" s="3">
        <v>32480.92</v>
      </c>
      <c r="I358" s="3">
        <v>162404.6</v>
      </c>
    </row>
    <row r="359" spans="1:9" x14ac:dyDescent="0.3">
      <c r="A359" s="5" t="s">
        <v>66</v>
      </c>
      <c r="B359" t="s">
        <v>257</v>
      </c>
      <c r="C359" t="s">
        <v>264</v>
      </c>
      <c r="D359" t="s">
        <v>269</v>
      </c>
      <c r="E359" t="s">
        <v>272</v>
      </c>
      <c r="F359" t="s">
        <v>277</v>
      </c>
      <c r="G359" s="7">
        <v>5</v>
      </c>
      <c r="H359" s="3">
        <v>30765.69</v>
      </c>
      <c r="I359" s="3">
        <v>153828.45000000001</v>
      </c>
    </row>
    <row r="360" spans="1:9" x14ac:dyDescent="0.3">
      <c r="A360" s="5" t="s">
        <v>67</v>
      </c>
      <c r="B360" t="s">
        <v>260</v>
      </c>
      <c r="C360" t="s">
        <v>262</v>
      </c>
      <c r="D360" t="s">
        <v>269</v>
      </c>
      <c r="E360" t="s">
        <v>274</v>
      </c>
      <c r="F360" t="s">
        <v>289</v>
      </c>
      <c r="G360" s="7">
        <v>2</v>
      </c>
      <c r="H360" s="3">
        <v>34966.949999999997</v>
      </c>
      <c r="I360" s="3">
        <v>69933.899999999994</v>
      </c>
    </row>
    <row r="361" spans="1:9" x14ac:dyDescent="0.3">
      <c r="A361" s="5" t="s">
        <v>67</v>
      </c>
      <c r="B361" t="s">
        <v>256</v>
      </c>
      <c r="C361" t="s">
        <v>261</v>
      </c>
      <c r="D361" t="s">
        <v>267</v>
      </c>
      <c r="E361" t="s">
        <v>273</v>
      </c>
      <c r="F361" t="s">
        <v>278</v>
      </c>
      <c r="G361" s="7">
        <v>7</v>
      </c>
      <c r="H361" s="3">
        <v>53540.46</v>
      </c>
      <c r="I361" s="3">
        <v>374783.22</v>
      </c>
    </row>
    <row r="362" spans="1:9" x14ac:dyDescent="0.3">
      <c r="A362" s="5" t="s">
        <v>67</v>
      </c>
      <c r="B362" t="s">
        <v>254</v>
      </c>
      <c r="C362" t="s">
        <v>264</v>
      </c>
      <c r="D362" t="s">
        <v>268</v>
      </c>
      <c r="E362" t="s">
        <v>273</v>
      </c>
      <c r="F362" t="s">
        <v>288</v>
      </c>
      <c r="G362" s="7">
        <v>8</v>
      </c>
      <c r="H362" s="3">
        <v>47991.67</v>
      </c>
      <c r="I362" s="3">
        <v>383933.36</v>
      </c>
    </row>
    <row r="363" spans="1:9" x14ac:dyDescent="0.3">
      <c r="A363" s="5" t="s">
        <v>67</v>
      </c>
      <c r="B363" t="s">
        <v>260</v>
      </c>
      <c r="C363" t="s">
        <v>261</v>
      </c>
      <c r="D363" t="s">
        <v>268</v>
      </c>
      <c r="E363" t="s">
        <v>272</v>
      </c>
      <c r="F363" t="s">
        <v>290</v>
      </c>
      <c r="G363" s="7">
        <v>1</v>
      </c>
      <c r="H363" s="3">
        <v>32803.230000000003</v>
      </c>
      <c r="I363" s="3">
        <v>32803.230000000003</v>
      </c>
    </row>
    <row r="364" spans="1:9" x14ac:dyDescent="0.3">
      <c r="A364" s="5" t="s">
        <v>67</v>
      </c>
      <c r="B364" t="s">
        <v>260</v>
      </c>
      <c r="C364" t="s">
        <v>262</v>
      </c>
      <c r="D364" t="s">
        <v>268</v>
      </c>
      <c r="E364" t="s">
        <v>272</v>
      </c>
      <c r="F364" t="s">
        <v>286</v>
      </c>
      <c r="G364" s="7">
        <v>2</v>
      </c>
      <c r="H364" s="3">
        <v>29499.51</v>
      </c>
      <c r="I364" s="3">
        <v>58999.02</v>
      </c>
    </row>
    <row r="365" spans="1:9" x14ac:dyDescent="0.3">
      <c r="A365" s="5" t="s">
        <v>67</v>
      </c>
      <c r="B365" t="s">
        <v>258</v>
      </c>
      <c r="C365" t="s">
        <v>263</v>
      </c>
      <c r="D365" t="s">
        <v>267</v>
      </c>
      <c r="E365" t="s">
        <v>272</v>
      </c>
      <c r="F365" t="s">
        <v>276</v>
      </c>
      <c r="G365" s="7">
        <v>4</v>
      </c>
      <c r="H365" s="3">
        <v>24499.38</v>
      </c>
      <c r="I365" s="3">
        <v>97997.52</v>
      </c>
    </row>
    <row r="366" spans="1:9" x14ac:dyDescent="0.3">
      <c r="A366" s="5" t="s">
        <v>68</v>
      </c>
      <c r="B366" t="s">
        <v>253</v>
      </c>
      <c r="C366" t="s">
        <v>265</v>
      </c>
      <c r="D366" t="s">
        <v>268</v>
      </c>
      <c r="E366" t="s">
        <v>273</v>
      </c>
      <c r="F366" t="s">
        <v>279</v>
      </c>
      <c r="G366" s="7">
        <v>5</v>
      </c>
      <c r="H366" s="3">
        <v>45161.05</v>
      </c>
      <c r="I366" s="3">
        <v>225805.25</v>
      </c>
    </row>
    <row r="367" spans="1:9" x14ac:dyDescent="0.3">
      <c r="A367" s="5" t="s">
        <v>68</v>
      </c>
      <c r="B367" t="s">
        <v>253</v>
      </c>
      <c r="C367" t="s">
        <v>263</v>
      </c>
      <c r="D367" t="s">
        <v>266</v>
      </c>
      <c r="E367" t="s">
        <v>274</v>
      </c>
      <c r="F367" t="s">
        <v>280</v>
      </c>
      <c r="G367" s="7">
        <v>2</v>
      </c>
      <c r="H367" s="3">
        <v>32888.839999999997</v>
      </c>
      <c r="I367" s="3">
        <v>65777.679999999993</v>
      </c>
    </row>
    <row r="368" spans="1:9" x14ac:dyDescent="0.3">
      <c r="A368" s="5" t="s">
        <v>68</v>
      </c>
      <c r="B368" t="s">
        <v>259</v>
      </c>
      <c r="C368" t="s">
        <v>264</v>
      </c>
      <c r="D368" t="s">
        <v>269</v>
      </c>
      <c r="E368" t="s">
        <v>274</v>
      </c>
      <c r="F368" t="s">
        <v>287</v>
      </c>
      <c r="G368" s="7">
        <v>1</v>
      </c>
      <c r="H368" s="3">
        <v>29012.7</v>
      </c>
      <c r="I368" s="3">
        <v>29012.7</v>
      </c>
    </row>
    <row r="369" spans="1:9" x14ac:dyDescent="0.3">
      <c r="A369" s="5" t="s">
        <v>68</v>
      </c>
      <c r="B369" t="s">
        <v>258</v>
      </c>
      <c r="C369" t="s">
        <v>265</v>
      </c>
      <c r="D369" t="s">
        <v>266</v>
      </c>
      <c r="E369" t="s">
        <v>273</v>
      </c>
      <c r="F369" t="s">
        <v>288</v>
      </c>
      <c r="G369" s="7">
        <v>9</v>
      </c>
      <c r="H369" s="3">
        <v>40094.93</v>
      </c>
      <c r="I369" s="3">
        <v>360854.37</v>
      </c>
    </row>
    <row r="370" spans="1:9" x14ac:dyDescent="0.3">
      <c r="A370" s="5" t="s">
        <v>68</v>
      </c>
      <c r="B370" t="s">
        <v>256</v>
      </c>
      <c r="C370" t="s">
        <v>264</v>
      </c>
      <c r="D370" t="s">
        <v>268</v>
      </c>
      <c r="E370" t="s">
        <v>271</v>
      </c>
      <c r="F370" t="s">
        <v>282</v>
      </c>
      <c r="G370" s="7">
        <v>1</v>
      </c>
      <c r="H370" s="3">
        <v>9045.58</v>
      </c>
      <c r="I370" s="3">
        <v>9045.58</v>
      </c>
    </row>
    <row r="371" spans="1:9" x14ac:dyDescent="0.3">
      <c r="A371" s="5" t="s">
        <v>68</v>
      </c>
      <c r="B371" t="s">
        <v>253</v>
      </c>
      <c r="C371" t="s">
        <v>262</v>
      </c>
      <c r="D371" t="s">
        <v>266</v>
      </c>
      <c r="E371" t="s">
        <v>274</v>
      </c>
      <c r="F371" t="s">
        <v>287</v>
      </c>
      <c r="G371" s="7">
        <v>4</v>
      </c>
      <c r="H371" s="3">
        <v>28289.84</v>
      </c>
      <c r="I371" s="3">
        <v>113159.36</v>
      </c>
    </row>
    <row r="372" spans="1:9" x14ac:dyDescent="0.3">
      <c r="A372" s="5" t="s">
        <v>68</v>
      </c>
      <c r="B372" t="s">
        <v>254</v>
      </c>
      <c r="C372" t="s">
        <v>265</v>
      </c>
      <c r="D372" t="s">
        <v>268</v>
      </c>
      <c r="E372" t="s">
        <v>272</v>
      </c>
      <c r="F372" t="s">
        <v>277</v>
      </c>
      <c r="G372" s="7">
        <v>2</v>
      </c>
      <c r="H372" s="3">
        <v>27192.99</v>
      </c>
      <c r="I372" s="3">
        <v>54385.98</v>
      </c>
    </row>
    <row r="373" spans="1:9" x14ac:dyDescent="0.3">
      <c r="A373" s="5" t="s">
        <v>69</v>
      </c>
      <c r="B373" t="s">
        <v>257</v>
      </c>
      <c r="C373" t="s">
        <v>264</v>
      </c>
      <c r="D373" t="s">
        <v>267</v>
      </c>
      <c r="E373" t="s">
        <v>271</v>
      </c>
      <c r="F373" t="s">
        <v>275</v>
      </c>
      <c r="G373" s="7">
        <v>4</v>
      </c>
      <c r="H373" s="3">
        <v>9756.6299999999992</v>
      </c>
      <c r="I373" s="3">
        <v>39026.519999999997</v>
      </c>
    </row>
    <row r="374" spans="1:9" x14ac:dyDescent="0.3">
      <c r="A374" s="5" t="s">
        <v>69</v>
      </c>
      <c r="B374" t="s">
        <v>258</v>
      </c>
      <c r="C374" t="s">
        <v>262</v>
      </c>
      <c r="D374" t="s">
        <v>266</v>
      </c>
      <c r="E374" t="s">
        <v>271</v>
      </c>
      <c r="F374" t="s">
        <v>285</v>
      </c>
      <c r="G374" s="7">
        <v>8</v>
      </c>
      <c r="H374" s="3">
        <v>10504.07</v>
      </c>
      <c r="I374" s="3">
        <v>84032.56</v>
      </c>
    </row>
    <row r="375" spans="1:9" x14ac:dyDescent="0.3">
      <c r="A375" s="5" t="s">
        <v>69</v>
      </c>
      <c r="B375" t="s">
        <v>257</v>
      </c>
      <c r="C375" t="s">
        <v>263</v>
      </c>
      <c r="D375" t="s">
        <v>267</v>
      </c>
      <c r="E375" t="s">
        <v>274</v>
      </c>
      <c r="F375" t="s">
        <v>284</v>
      </c>
      <c r="G375" s="7">
        <v>8</v>
      </c>
      <c r="H375" s="3">
        <v>36388.74</v>
      </c>
      <c r="I375" s="3">
        <v>291109.92</v>
      </c>
    </row>
    <row r="376" spans="1:9" x14ac:dyDescent="0.3">
      <c r="A376" s="5" t="s">
        <v>69</v>
      </c>
      <c r="B376" t="s">
        <v>260</v>
      </c>
      <c r="C376" t="s">
        <v>262</v>
      </c>
      <c r="D376" t="s">
        <v>267</v>
      </c>
      <c r="E376" t="s">
        <v>271</v>
      </c>
      <c r="F376" t="s">
        <v>285</v>
      </c>
      <c r="G376" s="7">
        <v>9</v>
      </c>
      <c r="H376" s="3">
        <v>10599.93</v>
      </c>
      <c r="I376" s="3">
        <v>95399.37</v>
      </c>
    </row>
    <row r="377" spans="1:9" x14ac:dyDescent="0.3">
      <c r="A377" s="5" t="s">
        <v>69</v>
      </c>
      <c r="B377" t="s">
        <v>254</v>
      </c>
      <c r="C377" t="s">
        <v>261</v>
      </c>
      <c r="D377" t="s">
        <v>270</v>
      </c>
      <c r="E377" t="s">
        <v>271</v>
      </c>
      <c r="F377" t="s">
        <v>275</v>
      </c>
      <c r="G377" s="7">
        <v>5</v>
      </c>
      <c r="H377" s="3">
        <v>9599.35</v>
      </c>
      <c r="I377" s="3">
        <v>47996.75</v>
      </c>
    </row>
    <row r="378" spans="1:9" x14ac:dyDescent="0.3">
      <c r="A378" s="5" t="s">
        <v>69</v>
      </c>
      <c r="B378" t="s">
        <v>254</v>
      </c>
      <c r="C378" t="s">
        <v>262</v>
      </c>
      <c r="D378" t="s">
        <v>268</v>
      </c>
      <c r="E378" t="s">
        <v>274</v>
      </c>
      <c r="F378" t="s">
        <v>287</v>
      </c>
      <c r="G378" s="7">
        <v>7</v>
      </c>
      <c r="H378" s="3">
        <v>30960.57</v>
      </c>
      <c r="I378" s="3">
        <v>216723.99</v>
      </c>
    </row>
    <row r="379" spans="1:9" x14ac:dyDescent="0.3">
      <c r="A379" s="5" t="s">
        <v>70</v>
      </c>
      <c r="B379" t="s">
        <v>260</v>
      </c>
      <c r="C379" t="s">
        <v>262</v>
      </c>
      <c r="D379" t="s">
        <v>269</v>
      </c>
      <c r="E379" t="s">
        <v>274</v>
      </c>
      <c r="F379" t="s">
        <v>287</v>
      </c>
      <c r="G379" s="7">
        <v>3</v>
      </c>
      <c r="H379" s="3">
        <v>35802.269999999997</v>
      </c>
      <c r="I379" s="3">
        <v>107406.81</v>
      </c>
    </row>
    <row r="380" spans="1:9" x14ac:dyDescent="0.3">
      <c r="A380" s="5" t="s">
        <v>70</v>
      </c>
      <c r="B380" t="s">
        <v>258</v>
      </c>
      <c r="C380" t="s">
        <v>261</v>
      </c>
      <c r="D380" t="s">
        <v>268</v>
      </c>
      <c r="E380" t="s">
        <v>271</v>
      </c>
      <c r="F380" t="s">
        <v>285</v>
      </c>
      <c r="G380" s="7">
        <v>4</v>
      </c>
      <c r="H380" s="3">
        <v>9612.33</v>
      </c>
      <c r="I380" s="3">
        <v>38449.32</v>
      </c>
    </row>
    <row r="381" spans="1:9" x14ac:dyDescent="0.3">
      <c r="A381" s="5" t="s">
        <v>70</v>
      </c>
      <c r="B381" t="s">
        <v>260</v>
      </c>
      <c r="C381" t="s">
        <v>264</v>
      </c>
      <c r="D381" t="s">
        <v>269</v>
      </c>
      <c r="E381" t="s">
        <v>272</v>
      </c>
      <c r="F381" t="s">
        <v>277</v>
      </c>
      <c r="G381" s="7">
        <v>9</v>
      </c>
      <c r="H381" s="3">
        <v>27963.34</v>
      </c>
      <c r="I381" s="3">
        <v>251670.06</v>
      </c>
    </row>
    <row r="382" spans="1:9" x14ac:dyDescent="0.3">
      <c r="A382" s="5" t="s">
        <v>70</v>
      </c>
      <c r="B382" t="s">
        <v>257</v>
      </c>
      <c r="C382" t="s">
        <v>264</v>
      </c>
      <c r="D382" t="s">
        <v>268</v>
      </c>
      <c r="E382" t="s">
        <v>273</v>
      </c>
      <c r="F382" t="s">
        <v>288</v>
      </c>
      <c r="G382" s="7">
        <v>1</v>
      </c>
      <c r="H382" s="3">
        <v>38568.85</v>
      </c>
      <c r="I382" s="3">
        <v>38568.85</v>
      </c>
    </row>
    <row r="383" spans="1:9" x14ac:dyDescent="0.3">
      <c r="A383" s="5" t="s">
        <v>70</v>
      </c>
      <c r="B383" t="s">
        <v>259</v>
      </c>
      <c r="C383" t="s">
        <v>262</v>
      </c>
      <c r="D383" t="s">
        <v>267</v>
      </c>
      <c r="E383" t="s">
        <v>271</v>
      </c>
      <c r="F383" t="s">
        <v>275</v>
      </c>
      <c r="G383" s="7">
        <v>2</v>
      </c>
      <c r="H383" s="3">
        <v>9615.8799999999992</v>
      </c>
      <c r="I383" s="3">
        <v>19231.759999999998</v>
      </c>
    </row>
    <row r="384" spans="1:9" x14ac:dyDescent="0.3">
      <c r="A384" s="5" t="s">
        <v>70</v>
      </c>
      <c r="B384" t="s">
        <v>254</v>
      </c>
      <c r="C384" t="s">
        <v>261</v>
      </c>
      <c r="D384" t="s">
        <v>266</v>
      </c>
      <c r="E384" t="s">
        <v>271</v>
      </c>
      <c r="F384" t="s">
        <v>281</v>
      </c>
      <c r="G384" s="7">
        <v>5</v>
      </c>
      <c r="H384" s="3">
        <v>7298.78</v>
      </c>
      <c r="I384" s="3">
        <v>36493.9</v>
      </c>
    </row>
    <row r="385" spans="1:9" x14ac:dyDescent="0.3">
      <c r="A385" s="5" t="s">
        <v>71</v>
      </c>
      <c r="B385" t="s">
        <v>255</v>
      </c>
      <c r="C385" t="s">
        <v>261</v>
      </c>
      <c r="D385" t="s">
        <v>266</v>
      </c>
      <c r="E385" t="s">
        <v>272</v>
      </c>
      <c r="F385" t="s">
        <v>286</v>
      </c>
      <c r="G385" s="7">
        <v>3</v>
      </c>
      <c r="H385" s="3">
        <v>30869.31</v>
      </c>
      <c r="I385" s="3">
        <v>92607.93</v>
      </c>
    </row>
    <row r="386" spans="1:9" x14ac:dyDescent="0.3">
      <c r="A386" s="5" t="s">
        <v>71</v>
      </c>
      <c r="B386" t="s">
        <v>255</v>
      </c>
      <c r="C386" t="s">
        <v>263</v>
      </c>
      <c r="D386" t="s">
        <v>270</v>
      </c>
      <c r="E386" t="s">
        <v>271</v>
      </c>
      <c r="F386" t="s">
        <v>282</v>
      </c>
      <c r="G386" s="7">
        <v>2</v>
      </c>
      <c r="H386" s="3">
        <v>7781.3</v>
      </c>
      <c r="I386" s="3">
        <v>15562.6</v>
      </c>
    </row>
    <row r="387" spans="1:9" x14ac:dyDescent="0.3">
      <c r="A387" s="5" t="s">
        <v>71</v>
      </c>
      <c r="B387" t="s">
        <v>257</v>
      </c>
      <c r="C387" t="s">
        <v>264</v>
      </c>
      <c r="D387" t="s">
        <v>269</v>
      </c>
      <c r="E387" t="s">
        <v>271</v>
      </c>
      <c r="F387" t="s">
        <v>282</v>
      </c>
      <c r="G387" s="7">
        <v>1</v>
      </c>
      <c r="H387" s="3">
        <v>9148.0499999999993</v>
      </c>
      <c r="I387" s="3">
        <v>9148.0499999999993</v>
      </c>
    </row>
    <row r="388" spans="1:9" x14ac:dyDescent="0.3">
      <c r="A388" s="5" t="s">
        <v>71</v>
      </c>
      <c r="B388" t="s">
        <v>256</v>
      </c>
      <c r="C388" t="s">
        <v>265</v>
      </c>
      <c r="D388" t="s">
        <v>269</v>
      </c>
      <c r="E388" t="s">
        <v>273</v>
      </c>
      <c r="F388" t="s">
        <v>283</v>
      </c>
      <c r="G388" s="7">
        <v>3</v>
      </c>
      <c r="H388" s="3">
        <v>47320.43</v>
      </c>
      <c r="I388" s="3">
        <v>141961.29</v>
      </c>
    </row>
    <row r="389" spans="1:9" x14ac:dyDescent="0.3">
      <c r="A389" s="5" t="s">
        <v>71</v>
      </c>
      <c r="B389" t="s">
        <v>253</v>
      </c>
      <c r="C389" t="s">
        <v>264</v>
      </c>
      <c r="D389" t="s">
        <v>269</v>
      </c>
      <c r="E389" t="s">
        <v>273</v>
      </c>
      <c r="F389" t="s">
        <v>283</v>
      </c>
      <c r="G389" s="7">
        <v>1</v>
      </c>
      <c r="H389" s="3">
        <v>38493.25</v>
      </c>
      <c r="I389" s="3">
        <v>38493.25</v>
      </c>
    </row>
    <row r="390" spans="1:9" x14ac:dyDescent="0.3">
      <c r="A390" s="5" t="s">
        <v>71</v>
      </c>
      <c r="B390" t="s">
        <v>260</v>
      </c>
      <c r="C390" t="s">
        <v>264</v>
      </c>
      <c r="D390" t="s">
        <v>267</v>
      </c>
      <c r="E390" t="s">
        <v>273</v>
      </c>
      <c r="F390" t="s">
        <v>278</v>
      </c>
      <c r="G390" s="7">
        <v>1</v>
      </c>
      <c r="H390" s="3">
        <v>44781.58</v>
      </c>
      <c r="I390" s="3">
        <v>44781.58</v>
      </c>
    </row>
    <row r="391" spans="1:9" x14ac:dyDescent="0.3">
      <c r="A391" s="5" t="s">
        <v>72</v>
      </c>
      <c r="B391" t="s">
        <v>260</v>
      </c>
      <c r="C391" t="s">
        <v>263</v>
      </c>
      <c r="D391" t="s">
        <v>269</v>
      </c>
      <c r="E391" t="s">
        <v>274</v>
      </c>
      <c r="F391" t="s">
        <v>280</v>
      </c>
      <c r="G391" s="7">
        <v>1</v>
      </c>
      <c r="H391" s="3">
        <v>34893.97</v>
      </c>
      <c r="I391" s="3">
        <v>34893.97</v>
      </c>
    </row>
    <row r="392" spans="1:9" x14ac:dyDescent="0.3">
      <c r="A392" s="5" t="s">
        <v>72</v>
      </c>
      <c r="B392" t="s">
        <v>256</v>
      </c>
      <c r="C392" t="s">
        <v>265</v>
      </c>
      <c r="D392" t="s">
        <v>266</v>
      </c>
      <c r="E392" t="s">
        <v>274</v>
      </c>
      <c r="F392" t="s">
        <v>280</v>
      </c>
      <c r="G392" s="7">
        <v>8</v>
      </c>
      <c r="H392" s="3">
        <v>38062.160000000003</v>
      </c>
      <c r="I392" s="3">
        <v>304497.28000000003</v>
      </c>
    </row>
    <row r="393" spans="1:9" x14ac:dyDescent="0.3">
      <c r="A393" s="5" t="s">
        <v>72</v>
      </c>
      <c r="B393" t="s">
        <v>256</v>
      </c>
      <c r="C393" t="s">
        <v>263</v>
      </c>
      <c r="D393" t="s">
        <v>267</v>
      </c>
      <c r="E393" t="s">
        <v>273</v>
      </c>
      <c r="F393" t="s">
        <v>283</v>
      </c>
      <c r="G393" s="7">
        <v>3</v>
      </c>
      <c r="H393" s="3">
        <v>54245.56</v>
      </c>
      <c r="I393" s="3">
        <v>162736.68</v>
      </c>
    </row>
    <row r="394" spans="1:9" x14ac:dyDescent="0.3">
      <c r="A394" s="5" t="s">
        <v>72</v>
      </c>
      <c r="B394" t="s">
        <v>257</v>
      </c>
      <c r="C394" t="s">
        <v>265</v>
      </c>
      <c r="D394" t="s">
        <v>268</v>
      </c>
      <c r="E394" t="s">
        <v>273</v>
      </c>
      <c r="F394" t="s">
        <v>288</v>
      </c>
      <c r="G394" s="7">
        <v>1</v>
      </c>
      <c r="H394" s="3">
        <v>46959.3</v>
      </c>
      <c r="I394" s="3">
        <v>46959.3</v>
      </c>
    </row>
    <row r="395" spans="1:9" x14ac:dyDescent="0.3">
      <c r="A395" s="5" t="s">
        <v>72</v>
      </c>
      <c r="B395" t="s">
        <v>257</v>
      </c>
      <c r="C395" t="s">
        <v>262</v>
      </c>
      <c r="D395" t="s">
        <v>269</v>
      </c>
      <c r="E395" t="s">
        <v>274</v>
      </c>
      <c r="F395" t="s">
        <v>287</v>
      </c>
      <c r="G395" s="7">
        <v>7</v>
      </c>
      <c r="H395" s="3">
        <v>36523.81</v>
      </c>
      <c r="I395" s="3">
        <v>255666.67</v>
      </c>
    </row>
    <row r="396" spans="1:9" x14ac:dyDescent="0.3">
      <c r="A396" s="5" t="s">
        <v>72</v>
      </c>
      <c r="B396" t="s">
        <v>256</v>
      </c>
      <c r="C396" t="s">
        <v>265</v>
      </c>
      <c r="D396" t="s">
        <v>269</v>
      </c>
      <c r="E396" t="s">
        <v>272</v>
      </c>
      <c r="F396" t="s">
        <v>290</v>
      </c>
      <c r="G396" s="7">
        <v>3</v>
      </c>
      <c r="H396" s="3">
        <v>27344.29</v>
      </c>
      <c r="I396" s="3">
        <v>82032.87</v>
      </c>
    </row>
    <row r="397" spans="1:9" x14ac:dyDescent="0.3">
      <c r="A397" s="5" t="s">
        <v>73</v>
      </c>
      <c r="B397" t="s">
        <v>254</v>
      </c>
      <c r="C397" t="s">
        <v>263</v>
      </c>
      <c r="D397" t="s">
        <v>268</v>
      </c>
      <c r="E397" t="s">
        <v>271</v>
      </c>
      <c r="F397" t="s">
        <v>275</v>
      </c>
      <c r="G397" s="7">
        <v>8</v>
      </c>
      <c r="H397" s="3">
        <v>8388.43</v>
      </c>
      <c r="I397" s="3">
        <v>67107.44</v>
      </c>
    </row>
    <row r="398" spans="1:9" x14ac:dyDescent="0.3">
      <c r="A398" s="5" t="s">
        <v>73</v>
      </c>
      <c r="B398" t="s">
        <v>257</v>
      </c>
      <c r="C398" t="s">
        <v>264</v>
      </c>
      <c r="D398" t="s">
        <v>269</v>
      </c>
      <c r="E398" t="s">
        <v>271</v>
      </c>
      <c r="F398" t="s">
        <v>275</v>
      </c>
      <c r="G398" s="7">
        <v>4</v>
      </c>
      <c r="H398" s="3">
        <v>7886.18</v>
      </c>
      <c r="I398" s="3">
        <v>31544.720000000001</v>
      </c>
    </row>
    <row r="399" spans="1:9" x14ac:dyDescent="0.3">
      <c r="A399" s="5" t="s">
        <v>73</v>
      </c>
      <c r="B399" t="s">
        <v>259</v>
      </c>
      <c r="C399" t="s">
        <v>265</v>
      </c>
      <c r="D399" t="s">
        <v>268</v>
      </c>
      <c r="E399" t="s">
        <v>273</v>
      </c>
      <c r="F399" t="s">
        <v>283</v>
      </c>
      <c r="G399" s="7">
        <v>4</v>
      </c>
      <c r="H399" s="3">
        <v>48365.07</v>
      </c>
      <c r="I399" s="3">
        <v>193460.28</v>
      </c>
    </row>
    <row r="400" spans="1:9" x14ac:dyDescent="0.3">
      <c r="A400" s="5" t="s">
        <v>73</v>
      </c>
      <c r="B400" t="s">
        <v>257</v>
      </c>
      <c r="C400" t="s">
        <v>265</v>
      </c>
      <c r="D400" t="s">
        <v>267</v>
      </c>
      <c r="E400" t="s">
        <v>272</v>
      </c>
      <c r="F400" t="s">
        <v>290</v>
      </c>
      <c r="G400" s="7">
        <v>5</v>
      </c>
      <c r="H400" s="3">
        <v>27323.119999999999</v>
      </c>
      <c r="I400" s="3">
        <v>136615.6</v>
      </c>
    </row>
    <row r="401" spans="1:9" x14ac:dyDescent="0.3">
      <c r="A401" s="5" t="s">
        <v>73</v>
      </c>
      <c r="B401" t="s">
        <v>260</v>
      </c>
      <c r="C401" t="s">
        <v>261</v>
      </c>
      <c r="D401" t="s">
        <v>266</v>
      </c>
      <c r="E401" t="s">
        <v>274</v>
      </c>
      <c r="F401" t="s">
        <v>287</v>
      </c>
      <c r="G401" s="7">
        <v>6</v>
      </c>
      <c r="H401" s="3">
        <v>28279.95</v>
      </c>
      <c r="I401" s="3">
        <v>169679.7</v>
      </c>
    </row>
    <row r="402" spans="1:9" x14ac:dyDescent="0.3">
      <c r="A402" s="5" t="s">
        <v>73</v>
      </c>
      <c r="B402" t="s">
        <v>257</v>
      </c>
      <c r="C402" t="s">
        <v>264</v>
      </c>
      <c r="D402" t="s">
        <v>268</v>
      </c>
      <c r="E402" t="s">
        <v>273</v>
      </c>
      <c r="F402" t="s">
        <v>279</v>
      </c>
      <c r="G402" s="7">
        <v>7</v>
      </c>
      <c r="H402" s="3">
        <v>50580.11</v>
      </c>
      <c r="I402" s="3">
        <v>354060.77</v>
      </c>
    </row>
    <row r="403" spans="1:9" x14ac:dyDescent="0.3">
      <c r="A403" s="5" t="s">
        <v>74</v>
      </c>
      <c r="B403" t="s">
        <v>254</v>
      </c>
      <c r="C403" t="s">
        <v>262</v>
      </c>
      <c r="D403" t="s">
        <v>270</v>
      </c>
      <c r="E403" t="s">
        <v>272</v>
      </c>
      <c r="F403" t="s">
        <v>290</v>
      </c>
      <c r="G403" s="7">
        <v>4</v>
      </c>
      <c r="H403" s="3">
        <v>31726.84</v>
      </c>
      <c r="I403" s="3">
        <v>126907.36</v>
      </c>
    </row>
    <row r="404" spans="1:9" x14ac:dyDescent="0.3">
      <c r="A404" s="5" t="s">
        <v>74</v>
      </c>
      <c r="B404" t="s">
        <v>256</v>
      </c>
      <c r="C404" t="s">
        <v>263</v>
      </c>
      <c r="D404" t="s">
        <v>268</v>
      </c>
      <c r="E404" t="s">
        <v>272</v>
      </c>
      <c r="F404" t="s">
        <v>277</v>
      </c>
      <c r="G404" s="7">
        <v>8</v>
      </c>
      <c r="H404" s="3">
        <v>27831.919999999998</v>
      </c>
      <c r="I404" s="3">
        <v>222655.35999999999</v>
      </c>
    </row>
    <row r="405" spans="1:9" x14ac:dyDescent="0.3">
      <c r="A405" s="5" t="s">
        <v>74</v>
      </c>
      <c r="B405" t="s">
        <v>260</v>
      </c>
      <c r="C405" t="s">
        <v>262</v>
      </c>
      <c r="D405" t="s">
        <v>269</v>
      </c>
      <c r="E405" t="s">
        <v>272</v>
      </c>
      <c r="F405" t="s">
        <v>276</v>
      </c>
      <c r="G405" s="7">
        <v>6</v>
      </c>
      <c r="H405" s="3">
        <v>24659.3</v>
      </c>
      <c r="I405" s="3">
        <v>147955.79999999999</v>
      </c>
    </row>
    <row r="406" spans="1:9" x14ac:dyDescent="0.3">
      <c r="A406" s="5" t="s">
        <v>74</v>
      </c>
      <c r="B406" t="s">
        <v>257</v>
      </c>
      <c r="C406" t="s">
        <v>264</v>
      </c>
      <c r="D406" t="s">
        <v>267</v>
      </c>
      <c r="E406" t="s">
        <v>274</v>
      </c>
      <c r="F406" t="s">
        <v>289</v>
      </c>
      <c r="G406" s="7">
        <v>1</v>
      </c>
      <c r="H406" s="3">
        <v>32656.61</v>
      </c>
      <c r="I406" s="3">
        <v>32656.61</v>
      </c>
    </row>
    <row r="407" spans="1:9" x14ac:dyDescent="0.3">
      <c r="A407" s="5" t="s">
        <v>74</v>
      </c>
      <c r="B407" t="s">
        <v>254</v>
      </c>
      <c r="C407" t="s">
        <v>265</v>
      </c>
      <c r="D407" t="s">
        <v>267</v>
      </c>
      <c r="E407" t="s">
        <v>274</v>
      </c>
      <c r="F407" t="s">
        <v>287</v>
      </c>
      <c r="G407" s="7">
        <v>1</v>
      </c>
      <c r="H407" s="3">
        <v>32861.89</v>
      </c>
      <c r="I407" s="3">
        <v>32861.89</v>
      </c>
    </row>
    <row r="408" spans="1:9" x14ac:dyDescent="0.3">
      <c r="A408" s="5" t="s">
        <v>74</v>
      </c>
      <c r="B408" t="s">
        <v>259</v>
      </c>
      <c r="C408" t="s">
        <v>265</v>
      </c>
      <c r="D408" t="s">
        <v>268</v>
      </c>
      <c r="E408" t="s">
        <v>271</v>
      </c>
      <c r="F408" t="s">
        <v>282</v>
      </c>
      <c r="G408" s="7">
        <v>9</v>
      </c>
      <c r="H408" s="3">
        <v>9498.48</v>
      </c>
      <c r="I408" s="3">
        <v>85486.32</v>
      </c>
    </row>
    <row r="409" spans="1:9" x14ac:dyDescent="0.3">
      <c r="A409" s="5" t="s">
        <v>74</v>
      </c>
      <c r="B409" t="s">
        <v>257</v>
      </c>
      <c r="C409" t="s">
        <v>264</v>
      </c>
      <c r="D409" t="s">
        <v>266</v>
      </c>
      <c r="E409" t="s">
        <v>271</v>
      </c>
      <c r="F409" t="s">
        <v>281</v>
      </c>
      <c r="G409" s="7">
        <v>6</v>
      </c>
      <c r="H409" s="3">
        <v>8297.42</v>
      </c>
      <c r="I409" s="3">
        <v>49784.52</v>
      </c>
    </row>
    <row r="410" spans="1:9" x14ac:dyDescent="0.3">
      <c r="A410" s="5" t="s">
        <v>75</v>
      </c>
      <c r="B410" t="s">
        <v>254</v>
      </c>
      <c r="C410" t="s">
        <v>265</v>
      </c>
      <c r="D410" t="s">
        <v>270</v>
      </c>
      <c r="E410" t="s">
        <v>272</v>
      </c>
      <c r="F410" t="s">
        <v>276</v>
      </c>
      <c r="G410" s="7">
        <v>8</v>
      </c>
      <c r="H410" s="3">
        <v>31445.11</v>
      </c>
      <c r="I410" s="3">
        <v>251560.88</v>
      </c>
    </row>
    <row r="411" spans="1:9" x14ac:dyDescent="0.3">
      <c r="A411" s="5" t="s">
        <v>75</v>
      </c>
      <c r="B411" t="s">
        <v>259</v>
      </c>
      <c r="C411" t="s">
        <v>265</v>
      </c>
      <c r="D411" t="s">
        <v>267</v>
      </c>
      <c r="E411" t="s">
        <v>272</v>
      </c>
      <c r="F411" t="s">
        <v>290</v>
      </c>
      <c r="G411" s="7">
        <v>7</v>
      </c>
      <c r="H411" s="3">
        <v>33560.67</v>
      </c>
      <c r="I411" s="3">
        <v>234924.69</v>
      </c>
    </row>
    <row r="412" spans="1:9" x14ac:dyDescent="0.3">
      <c r="A412" s="5" t="s">
        <v>75</v>
      </c>
      <c r="B412" t="s">
        <v>256</v>
      </c>
      <c r="C412" t="s">
        <v>265</v>
      </c>
      <c r="D412" t="s">
        <v>269</v>
      </c>
      <c r="E412" t="s">
        <v>274</v>
      </c>
      <c r="F412" t="s">
        <v>284</v>
      </c>
      <c r="G412" s="7">
        <v>6</v>
      </c>
      <c r="H412" s="3">
        <v>30239.82</v>
      </c>
      <c r="I412" s="3">
        <v>181438.92</v>
      </c>
    </row>
    <row r="413" spans="1:9" x14ac:dyDescent="0.3">
      <c r="A413" s="5" t="s">
        <v>75</v>
      </c>
      <c r="B413" t="s">
        <v>257</v>
      </c>
      <c r="C413" t="s">
        <v>263</v>
      </c>
      <c r="D413" t="s">
        <v>269</v>
      </c>
      <c r="E413" t="s">
        <v>271</v>
      </c>
      <c r="F413" t="s">
        <v>275</v>
      </c>
      <c r="G413" s="7">
        <v>4</v>
      </c>
      <c r="H413" s="3">
        <v>10553.33</v>
      </c>
      <c r="I413" s="3">
        <v>42213.32</v>
      </c>
    </row>
    <row r="414" spans="1:9" x14ac:dyDescent="0.3">
      <c r="A414" s="5" t="s">
        <v>75</v>
      </c>
      <c r="B414" t="s">
        <v>259</v>
      </c>
      <c r="C414" t="s">
        <v>263</v>
      </c>
      <c r="D414" t="s">
        <v>266</v>
      </c>
      <c r="E414" t="s">
        <v>272</v>
      </c>
      <c r="F414" t="s">
        <v>277</v>
      </c>
      <c r="G414" s="7">
        <v>7</v>
      </c>
      <c r="H414" s="3">
        <v>28127.32</v>
      </c>
      <c r="I414" s="3">
        <v>196891.24</v>
      </c>
    </row>
    <row r="415" spans="1:9" x14ac:dyDescent="0.3">
      <c r="A415" s="5" t="s">
        <v>75</v>
      </c>
      <c r="B415" t="s">
        <v>260</v>
      </c>
      <c r="C415" t="s">
        <v>261</v>
      </c>
      <c r="D415" t="s">
        <v>267</v>
      </c>
      <c r="E415" t="s">
        <v>271</v>
      </c>
      <c r="F415" t="s">
        <v>281</v>
      </c>
      <c r="G415" s="7">
        <v>9</v>
      </c>
      <c r="H415" s="3">
        <v>8133.68</v>
      </c>
      <c r="I415" s="3">
        <v>73203.12</v>
      </c>
    </row>
    <row r="416" spans="1:9" x14ac:dyDescent="0.3">
      <c r="A416" s="5" t="s">
        <v>76</v>
      </c>
      <c r="B416" t="s">
        <v>256</v>
      </c>
      <c r="C416" t="s">
        <v>262</v>
      </c>
      <c r="D416" t="s">
        <v>268</v>
      </c>
      <c r="E416" t="s">
        <v>271</v>
      </c>
      <c r="F416" t="s">
        <v>285</v>
      </c>
      <c r="G416" s="7">
        <v>7</v>
      </c>
      <c r="H416" s="3">
        <v>8658.14</v>
      </c>
      <c r="I416" s="3">
        <v>60606.98</v>
      </c>
    </row>
    <row r="417" spans="1:9" x14ac:dyDescent="0.3">
      <c r="A417" s="5" t="s">
        <v>76</v>
      </c>
      <c r="B417" t="s">
        <v>260</v>
      </c>
      <c r="C417" t="s">
        <v>264</v>
      </c>
      <c r="D417" t="s">
        <v>269</v>
      </c>
      <c r="E417" t="s">
        <v>272</v>
      </c>
      <c r="F417" t="s">
        <v>276</v>
      </c>
      <c r="G417" s="7">
        <v>1</v>
      </c>
      <c r="H417" s="3">
        <v>24857.25</v>
      </c>
      <c r="I417" s="3">
        <v>24857.25</v>
      </c>
    </row>
    <row r="418" spans="1:9" x14ac:dyDescent="0.3">
      <c r="A418" s="5" t="s">
        <v>76</v>
      </c>
      <c r="B418" t="s">
        <v>255</v>
      </c>
      <c r="C418" t="s">
        <v>264</v>
      </c>
      <c r="D418" t="s">
        <v>266</v>
      </c>
      <c r="E418" t="s">
        <v>274</v>
      </c>
      <c r="F418" t="s">
        <v>280</v>
      </c>
      <c r="G418" s="7">
        <v>9</v>
      </c>
      <c r="H418" s="3">
        <v>28809.040000000001</v>
      </c>
      <c r="I418" s="3">
        <v>259281.36</v>
      </c>
    </row>
    <row r="419" spans="1:9" x14ac:dyDescent="0.3">
      <c r="A419" s="5" t="s">
        <v>76</v>
      </c>
      <c r="B419" t="s">
        <v>258</v>
      </c>
      <c r="C419" t="s">
        <v>264</v>
      </c>
      <c r="D419" t="s">
        <v>267</v>
      </c>
      <c r="E419" t="s">
        <v>272</v>
      </c>
      <c r="F419" t="s">
        <v>290</v>
      </c>
      <c r="G419" s="7">
        <v>4</v>
      </c>
      <c r="H419" s="3">
        <v>28441.66</v>
      </c>
      <c r="I419" s="3">
        <v>113766.64</v>
      </c>
    </row>
    <row r="420" spans="1:9" x14ac:dyDescent="0.3">
      <c r="A420" s="5" t="s">
        <v>76</v>
      </c>
      <c r="B420" t="s">
        <v>257</v>
      </c>
      <c r="C420" t="s">
        <v>261</v>
      </c>
      <c r="D420" t="s">
        <v>267</v>
      </c>
      <c r="E420" t="s">
        <v>272</v>
      </c>
      <c r="F420" t="s">
        <v>286</v>
      </c>
      <c r="G420" s="7">
        <v>3</v>
      </c>
      <c r="H420" s="3">
        <v>32339.38</v>
      </c>
      <c r="I420" s="3">
        <v>97018.14</v>
      </c>
    </row>
    <row r="421" spans="1:9" x14ac:dyDescent="0.3">
      <c r="A421" s="5" t="s">
        <v>76</v>
      </c>
      <c r="B421" t="s">
        <v>259</v>
      </c>
      <c r="C421" t="s">
        <v>263</v>
      </c>
      <c r="D421" t="s">
        <v>267</v>
      </c>
      <c r="E421" t="s">
        <v>271</v>
      </c>
      <c r="F421" t="s">
        <v>275</v>
      </c>
      <c r="G421" s="7">
        <v>4</v>
      </c>
      <c r="H421" s="3">
        <v>10286.06</v>
      </c>
      <c r="I421" s="3">
        <v>41144.239999999998</v>
      </c>
    </row>
    <row r="422" spans="1:9" x14ac:dyDescent="0.3">
      <c r="A422" s="5" t="s">
        <v>77</v>
      </c>
      <c r="B422" t="s">
        <v>258</v>
      </c>
      <c r="C422" t="s">
        <v>261</v>
      </c>
      <c r="D422" t="s">
        <v>267</v>
      </c>
      <c r="E422" t="s">
        <v>272</v>
      </c>
      <c r="F422" t="s">
        <v>286</v>
      </c>
      <c r="G422" s="7">
        <v>4</v>
      </c>
      <c r="H422" s="3">
        <v>31245.96</v>
      </c>
      <c r="I422" s="3">
        <v>124983.84</v>
      </c>
    </row>
    <row r="423" spans="1:9" x14ac:dyDescent="0.3">
      <c r="A423" s="5" t="s">
        <v>77</v>
      </c>
      <c r="B423" t="s">
        <v>258</v>
      </c>
      <c r="C423" t="s">
        <v>264</v>
      </c>
      <c r="D423" t="s">
        <v>267</v>
      </c>
      <c r="E423" t="s">
        <v>274</v>
      </c>
      <c r="F423" t="s">
        <v>289</v>
      </c>
      <c r="G423" s="7">
        <v>2</v>
      </c>
      <c r="H423" s="3">
        <v>28546.81</v>
      </c>
      <c r="I423" s="3">
        <v>57093.62</v>
      </c>
    </row>
    <row r="424" spans="1:9" x14ac:dyDescent="0.3">
      <c r="A424" s="5" t="s">
        <v>77</v>
      </c>
      <c r="B424" t="s">
        <v>259</v>
      </c>
      <c r="C424" t="s">
        <v>262</v>
      </c>
      <c r="D424" t="s">
        <v>269</v>
      </c>
      <c r="E424" t="s">
        <v>272</v>
      </c>
      <c r="F424" t="s">
        <v>277</v>
      </c>
      <c r="G424" s="7">
        <v>1</v>
      </c>
      <c r="H424" s="3">
        <v>31326.62</v>
      </c>
      <c r="I424" s="3">
        <v>31326.62</v>
      </c>
    </row>
    <row r="425" spans="1:9" x14ac:dyDescent="0.3">
      <c r="A425" s="5" t="s">
        <v>77</v>
      </c>
      <c r="B425" t="s">
        <v>256</v>
      </c>
      <c r="C425" t="s">
        <v>265</v>
      </c>
      <c r="D425" t="s">
        <v>266</v>
      </c>
      <c r="E425" t="s">
        <v>274</v>
      </c>
      <c r="F425" t="s">
        <v>280</v>
      </c>
      <c r="G425" s="7">
        <v>1</v>
      </c>
      <c r="H425" s="3">
        <v>35333.480000000003</v>
      </c>
      <c r="I425" s="3">
        <v>35333.480000000003</v>
      </c>
    </row>
    <row r="426" spans="1:9" x14ac:dyDescent="0.3">
      <c r="A426" s="5" t="s">
        <v>77</v>
      </c>
      <c r="B426" t="s">
        <v>257</v>
      </c>
      <c r="C426" t="s">
        <v>263</v>
      </c>
      <c r="D426" t="s">
        <v>267</v>
      </c>
      <c r="E426" t="s">
        <v>274</v>
      </c>
      <c r="F426" t="s">
        <v>280</v>
      </c>
      <c r="G426" s="7">
        <v>8</v>
      </c>
      <c r="H426" s="3">
        <v>37513.78</v>
      </c>
      <c r="I426" s="3">
        <v>300110.24</v>
      </c>
    </row>
    <row r="427" spans="1:9" x14ac:dyDescent="0.3">
      <c r="A427" s="5" t="s">
        <v>77</v>
      </c>
      <c r="B427" t="s">
        <v>255</v>
      </c>
      <c r="C427" t="s">
        <v>263</v>
      </c>
      <c r="D427" t="s">
        <v>270</v>
      </c>
      <c r="E427" t="s">
        <v>271</v>
      </c>
      <c r="F427" t="s">
        <v>275</v>
      </c>
      <c r="G427" s="7">
        <v>2</v>
      </c>
      <c r="H427" s="3">
        <v>10030.85</v>
      </c>
      <c r="I427" s="3">
        <v>20061.7</v>
      </c>
    </row>
    <row r="428" spans="1:9" x14ac:dyDescent="0.3">
      <c r="A428" s="5" t="s">
        <v>78</v>
      </c>
      <c r="B428" t="s">
        <v>260</v>
      </c>
      <c r="C428" t="s">
        <v>261</v>
      </c>
      <c r="D428" t="s">
        <v>270</v>
      </c>
      <c r="E428" t="s">
        <v>273</v>
      </c>
      <c r="F428" t="s">
        <v>288</v>
      </c>
      <c r="G428" s="7">
        <v>5</v>
      </c>
      <c r="H428" s="3">
        <v>53877.66</v>
      </c>
      <c r="I428" s="3">
        <v>269388.3</v>
      </c>
    </row>
    <row r="429" spans="1:9" x14ac:dyDescent="0.3">
      <c r="A429" s="5" t="s">
        <v>78</v>
      </c>
      <c r="B429" t="s">
        <v>254</v>
      </c>
      <c r="C429" t="s">
        <v>263</v>
      </c>
      <c r="D429" t="s">
        <v>266</v>
      </c>
      <c r="E429" t="s">
        <v>273</v>
      </c>
      <c r="F429" t="s">
        <v>279</v>
      </c>
      <c r="G429" s="7">
        <v>4</v>
      </c>
      <c r="H429" s="3">
        <v>45704.37</v>
      </c>
      <c r="I429" s="3">
        <v>182817.48</v>
      </c>
    </row>
    <row r="430" spans="1:9" x14ac:dyDescent="0.3">
      <c r="A430" s="5" t="s">
        <v>78</v>
      </c>
      <c r="B430" t="s">
        <v>260</v>
      </c>
      <c r="C430" t="s">
        <v>264</v>
      </c>
      <c r="D430" t="s">
        <v>268</v>
      </c>
      <c r="E430" t="s">
        <v>271</v>
      </c>
      <c r="F430" t="s">
        <v>281</v>
      </c>
      <c r="G430" s="7">
        <v>8</v>
      </c>
      <c r="H430" s="3">
        <v>9597.74</v>
      </c>
      <c r="I430" s="3">
        <v>76781.919999999998</v>
      </c>
    </row>
    <row r="431" spans="1:9" x14ac:dyDescent="0.3">
      <c r="A431" s="5" t="s">
        <v>78</v>
      </c>
      <c r="B431" t="s">
        <v>254</v>
      </c>
      <c r="C431" t="s">
        <v>264</v>
      </c>
      <c r="D431" t="s">
        <v>268</v>
      </c>
      <c r="E431" t="s">
        <v>272</v>
      </c>
      <c r="F431" t="s">
        <v>286</v>
      </c>
      <c r="G431" s="7">
        <v>2</v>
      </c>
      <c r="H431" s="3">
        <v>26804.400000000001</v>
      </c>
      <c r="I431" s="3">
        <v>53608.800000000003</v>
      </c>
    </row>
    <row r="432" spans="1:9" x14ac:dyDescent="0.3">
      <c r="A432" s="5" t="s">
        <v>78</v>
      </c>
      <c r="B432" t="s">
        <v>260</v>
      </c>
      <c r="C432" t="s">
        <v>261</v>
      </c>
      <c r="D432" t="s">
        <v>268</v>
      </c>
      <c r="E432" t="s">
        <v>271</v>
      </c>
      <c r="F432" t="s">
        <v>275</v>
      </c>
      <c r="G432" s="7">
        <v>9</v>
      </c>
      <c r="H432" s="3">
        <v>10622.74</v>
      </c>
      <c r="I432" s="3">
        <v>95604.66</v>
      </c>
    </row>
    <row r="433" spans="1:9" x14ac:dyDescent="0.3">
      <c r="A433" s="5" t="s">
        <v>78</v>
      </c>
      <c r="B433" t="s">
        <v>259</v>
      </c>
      <c r="C433" t="s">
        <v>264</v>
      </c>
      <c r="D433" t="s">
        <v>270</v>
      </c>
      <c r="E433" t="s">
        <v>274</v>
      </c>
      <c r="F433" t="s">
        <v>287</v>
      </c>
      <c r="G433" s="7">
        <v>7</v>
      </c>
      <c r="H433" s="3">
        <v>29444.28</v>
      </c>
      <c r="I433" s="3">
        <v>206109.96</v>
      </c>
    </row>
    <row r="434" spans="1:9" x14ac:dyDescent="0.3">
      <c r="A434" s="5" t="s">
        <v>79</v>
      </c>
      <c r="B434" t="s">
        <v>255</v>
      </c>
      <c r="C434" t="s">
        <v>262</v>
      </c>
      <c r="D434" t="s">
        <v>268</v>
      </c>
      <c r="E434" t="s">
        <v>273</v>
      </c>
      <c r="F434" t="s">
        <v>278</v>
      </c>
      <c r="G434" s="7">
        <v>7</v>
      </c>
      <c r="H434" s="3">
        <v>38432.06</v>
      </c>
      <c r="I434" s="3">
        <v>269024.42</v>
      </c>
    </row>
    <row r="435" spans="1:9" x14ac:dyDescent="0.3">
      <c r="A435" s="5" t="s">
        <v>79</v>
      </c>
      <c r="B435" t="s">
        <v>257</v>
      </c>
      <c r="C435" t="s">
        <v>261</v>
      </c>
      <c r="D435" t="s">
        <v>269</v>
      </c>
      <c r="E435" t="s">
        <v>271</v>
      </c>
      <c r="F435" t="s">
        <v>275</v>
      </c>
      <c r="G435" s="7">
        <v>1</v>
      </c>
      <c r="H435" s="3">
        <v>7730.95</v>
      </c>
      <c r="I435" s="3">
        <v>7730.95</v>
      </c>
    </row>
    <row r="436" spans="1:9" x14ac:dyDescent="0.3">
      <c r="A436" s="5" t="s">
        <v>79</v>
      </c>
      <c r="B436" t="s">
        <v>254</v>
      </c>
      <c r="C436" t="s">
        <v>262</v>
      </c>
      <c r="D436" t="s">
        <v>267</v>
      </c>
      <c r="E436" t="s">
        <v>272</v>
      </c>
      <c r="F436" t="s">
        <v>277</v>
      </c>
      <c r="G436" s="7">
        <v>2</v>
      </c>
      <c r="H436" s="3">
        <v>32489.77</v>
      </c>
      <c r="I436" s="3">
        <v>64979.54</v>
      </c>
    </row>
    <row r="437" spans="1:9" x14ac:dyDescent="0.3">
      <c r="A437" s="5" t="s">
        <v>79</v>
      </c>
      <c r="B437" t="s">
        <v>257</v>
      </c>
      <c r="C437" t="s">
        <v>265</v>
      </c>
      <c r="D437" t="s">
        <v>270</v>
      </c>
      <c r="E437" t="s">
        <v>271</v>
      </c>
      <c r="F437" t="s">
        <v>275</v>
      </c>
      <c r="G437" s="7">
        <v>4</v>
      </c>
      <c r="H437" s="3">
        <v>8744.06</v>
      </c>
      <c r="I437" s="3">
        <v>34976.239999999998</v>
      </c>
    </row>
    <row r="438" spans="1:9" x14ac:dyDescent="0.3">
      <c r="A438" s="5" t="s">
        <v>79</v>
      </c>
      <c r="B438" t="s">
        <v>257</v>
      </c>
      <c r="C438" t="s">
        <v>262</v>
      </c>
      <c r="D438" t="s">
        <v>266</v>
      </c>
      <c r="E438" t="s">
        <v>273</v>
      </c>
      <c r="F438" t="s">
        <v>288</v>
      </c>
      <c r="G438" s="7">
        <v>4</v>
      </c>
      <c r="H438" s="3">
        <v>46305</v>
      </c>
      <c r="I438" s="3">
        <v>185220</v>
      </c>
    </row>
    <row r="439" spans="1:9" x14ac:dyDescent="0.3">
      <c r="A439" s="5" t="s">
        <v>79</v>
      </c>
      <c r="B439" t="s">
        <v>257</v>
      </c>
      <c r="C439" t="s">
        <v>265</v>
      </c>
      <c r="D439" t="s">
        <v>266</v>
      </c>
      <c r="E439" t="s">
        <v>271</v>
      </c>
      <c r="F439" t="s">
        <v>275</v>
      </c>
      <c r="G439" s="7">
        <v>3</v>
      </c>
      <c r="H439" s="3">
        <v>10472.08</v>
      </c>
      <c r="I439" s="3">
        <v>31416.240000000002</v>
      </c>
    </row>
    <row r="440" spans="1:9" x14ac:dyDescent="0.3">
      <c r="A440" s="5" t="s">
        <v>80</v>
      </c>
      <c r="B440" t="s">
        <v>253</v>
      </c>
      <c r="C440" t="s">
        <v>265</v>
      </c>
      <c r="D440" t="s">
        <v>267</v>
      </c>
      <c r="E440" t="s">
        <v>271</v>
      </c>
      <c r="F440" t="s">
        <v>285</v>
      </c>
      <c r="G440" s="7">
        <v>7</v>
      </c>
      <c r="H440" s="3">
        <v>10351.76</v>
      </c>
      <c r="I440" s="3">
        <v>72462.320000000007</v>
      </c>
    </row>
    <row r="441" spans="1:9" x14ac:dyDescent="0.3">
      <c r="A441" s="5" t="s">
        <v>80</v>
      </c>
      <c r="B441" t="s">
        <v>256</v>
      </c>
      <c r="C441" t="s">
        <v>262</v>
      </c>
      <c r="D441" t="s">
        <v>270</v>
      </c>
      <c r="E441" t="s">
        <v>273</v>
      </c>
      <c r="F441" t="s">
        <v>288</v>
      </c>
      <c r="G441" s="7">
        <v>8</v>
      </c>
      <c r="H441" s="3">
        <v>43851.51</v>
      </c>
      <c r="I441" s="3">
        <v>350812.08</v>
      </c>
    </row>
    <row r="442" spans="1:9" x14ac:dyDescent="0.3">
      <c r="A442" s="5" t="s">
        <v>80</v>
      </c>
      <c r="B442" t="s">
        <v>260</v>
      </c>
      <c r="C442" t="s">
        <v>261</v>
      </c>
      <c r="D442" t="s">
        <v>268</v>
      </c>
      <c r="E442" t="s">
        <v>274</v>
      </c>
      <c r="F442" t="s">
        <v>289</v>
      </c>
      <c r="G442" s="7">
        <v>2</v>
      </c>
      <c r="H442" s="3">
        <v>29875.94</v>
      </c>
      <c r="I442" s="3">
        <v>59751.88</v>
      </c>
    </row>
    <row r="443" spans="1:9" x14ac:dyDescent="0.3">
      <c r="A443" s="5" t="s">
        <v>80</v>
      </c>
      <c r="B443" t="s">
        <v>257</v>
      </c>
      <c r="C443" t="s">
        <v>264</v>
      </c>
      <c r="D443" t="s">
        <v>268</v>
      </c>
      <c r="E443" t="s">
        <v>274</v>
      </c>
      <c r="F443" t="s">
        <v>284</v>
      </c>
      <c r="G443" s="7">
        <v>4</v>
      </c>
      <c r="H443" s="3">
        <v>38060.57</v>
      </c>
      <c r="I443" s="3">
        <v>152242.28</v>
      </c>
    </row>
    <row r="444" spans="1:9" x14ac:dyDescent="0.3">
      <c r="A444" s="5" t="s">
        <v>80</v>
      </c>
      <c r="B444" t="s">
        <v>260</v>
      </c>
      <c r="C444" t="s">
        <v>264</v>
      </c>
      <c r="D444" t="s">
        <v>269</v>
      </c>
      <c r="E444" t="s">
        <v>273</v>
      </c>
      <c r="F444" t="s">
        <v>283</v>
      </c>
      <c r="G444" s="7">
        <v>3</v>
      </c>
      <c r="H444" s="3">
        <v>54558.34</v>
      </c>
      <c r="I444" s="3">
        <v>163675.01999999999</v>
      </c>
    </row>
    <row r="445" spans="1:9" x14ac:dyDescent="0.3">
      <c r="A445" s="5" t="s">
        <v>80</v>
      </c>
      <c r="B445" t="s">
        <v>257</v>
      </c>
      <c r="C445" t="s">
        <v>265</v>
      </c>
      <c r="D445" t="s">
        <v>269</v>
      </c>
      <c r="E445" t="s">
        <v>271</v>
      </c>
      <c r="F445" t="s">
        <v>282</v>
      </c>
      <c r="G445" s="7">
        <v>2</v>
      </c>
      <c r="H445" s="3">
        <v>9066.43</v>
      </c>
      <c r="I445" s="3">
        <v>18132.86</v>
      </c>
    </row>
    <row r="446" spans="1:9" x14ac:dyDescent="0.3">
      <c r="A446" s="5" t="s">
        <v>80</v>
      </c>
      <c r="B446" t="s">
        <v>254</v>
      </c>
      <c r="C446" t="s">
        <v>265</v>
      </c>
      <c r="D446" t="s">
        <v>268</v>
      </c>
      <c r="E446" t="s">
        <v>273</v>
      </c>
      <c r="F446" t="s">
        <v>283</v>
      </c>
      <c r="G446" s="7">
        <v>6</v>
      </c>
      <c r="H446" s="3">
        <v>49579.63</v>
      </c>
      <c r="I446" s="3">
        <v>297477.78000000003</v>
      </c>
    </row>
    <row r="447" spans="1:9" x14ac:dyDescent="0.3">
      <c r="A447" s="5" t="s">
        <v>81</v>
      </c>
      <c r="B447" t="s">
        <v>256</v>
      </c>
      <c r="C447" t="s">
        <v>261</v>
      </c>
      <c r="D447" t="s">
        <v>266</v>
      </c>
      <c r="E447" t="s">
        <v>274</v>
      </c>
      <c r="F447" t="s">
        <v>289</v>
      </c>
      <c r="G447" s="7">
        <v>4</v>
      </c>
      <c r="H447" s="3">
        <v>30488.5</v>
      </c>
      <c r="I447" s="3">
        <v>121954</v>
      </c>
    </row>
    <row r="448" spans="1:9" x14ac:dyDescent="0.3">
      <c r="A448" s="5" t="s">
        <v>81</v>
      </c>
      <c r="B448" t="s">
        <v>256</v>
      </c>
      <c r="C448" t="s">
        <v>263</v>
      </c>
      <c r="D448" t="s">
        <v>266</v>
      </c>
      <c r="E448" t="s">
        <v>272</v>
      </c>
      <c r="F448" t="s">
        <v>286</v>
      </c>
      <c r="G448" s="7">
        <v>6</v>
      </c>
      <c r="H448" s="3">
        <v>32768.99</v>
      </c>
      <c r="I448" s="3">
        <v>196613.94</v>
      </c>
    </row>
    <row r="449" spans="1:9" x14ac:dyDescent="0.3">
      <c r="A449" s="5" t="s">
        <v>81</v>
      </c>
      <c r="B449" t="s">
        <v>259</v>
      </c>
      <c r="C449" t="s">
        <v>262</v>
      </c>
      <c r="D449" t="s">
        <v>269</v>
      </c>
      <c r="E449" t="s">
        <v>271</v>
      </c>
      <c r="F449" t="s">
        <v>281</v>
      </c>
      <c r="G449" s="7">
        <v>2</v>
      </c>
      <c r="H449" s="3">
        <v>9374.2199999999993</v>
      </c>
      <c r="I449" s="3">
        <v>18748.439999999999</v>
      </c>
    </row>
    <row r="450" spans="1:9" x14ac:dyDescent="0.3">
      <c r="A450" s="5" t="s">
        <v>81</v>
      </c>
      <c r="B450" t="s">
        <v>253</v>
      </c>
      <c r="C450" t="s">
        <v>265</v>
      </c>
      <c r="D450" t="s">
        <v>267</v>
      </c>
      <c r="E450" t="s">
        <v>274</v>
      </c>
      <c r="F450" t="s">
        <v>289</v>
      </c>
      <c r="G450" s="7">
        <v>4</v>
      </c>
      <c r="H450" s="3">
        <v>33644.97</v>
      </c>
      <c r="I450" s="3">
        <v>134579.88</v>
      </c>
    </row>
    <row r="451" spans="1:9" x14ac:dyDescent="0.3">
      <c r="A451" s="5" t="s">
        <v>81</v>
      </c>
      <c r="B451" t="s">
        <v>259</v>
      </c>
      <c r="C451" t="s">
        <v>264</v>
      </c>
      <c r="D451" t="s">
        <v>268</v>
      </c>
      <c r="E451" t="s">
        <v>271</v>
      </c>
      <c r="F451" t="s">
        <v>281</v>
      </c>
      <c r="G451" s="7">
        <v>6</v>
      </c>
      <c r="H451" s="3">
        <v>7429.37</v>
      </c>
      <c r="I451" s="3">
        <v>44576.22</v>
      </c>
    </row>
    <row r="452" spans="1:9" x14ac:dyDescent="0.3">
      <c r="A452" s="5" t="s">
        <v>81</v>
      </c>
      <c r="B452" t="s">
        <v>259</v>
      </c>
      <c r="C452" t="s">
        <v>261</v>
      </c>
      <c r="D452" t="s">
        <v>269</v>
      </c>
      <c r="E452" t="s">
        <v>273</v>
      </c>
      <c r="F452" t="s">
        <v>278</v>
      </c>
      <c r="G452" s="7">
        <v>5</v>
      </c>
      <c r="H452" s="3">
        <v>54736.83</v>
      </c>
      <c r="I452" s="3">
        <v>273684.15000000002</v>
      </c>
    </row>
    <row r="453" spans="1:9" x14ac:dyDescent="0.3">
      <c r="A453" s="5" t="s">
        <v>82</v>
      </c>
      <c r="B453" t="s">
        <v>259</v>
      </c>
      <c r="C453" t="s">
        <v>262</v>
      </c>
      <c r="D453" t="s">
        <v>269</v>
      </c>
      <c r="E453" t="s">
        <v>272</v>
      </c>
      <c r="F453" t="s">
        <v>277</v>
      </c>
      <c r="G453" s="7">
        <v>3</v>
      </c>
      <c r="H453" s="3">
        <v>30693.06</v>
      </c>
      <c r="I453" s="3">
        <v>92079.18</v>
      </c>
    </row>
    <row r="454" spans="1:9" x14ac:dyDescent="0.3">
      <c r="A454" s="5" t="s">
        <v>82</v>
      </c>
      <c r="B454" t="s">
        <v>259</v>
      </c>
      <c r="C454" t="s">
        <v>261</v>
      </c>
      <c r="D454" t="s">
        <v>268</v>
      </c>
      <c r="E454" t="s">
        <v>273</v>
      </c>
      <c r="F454" t="s">
        <v>278</v>
      </c>
      <c r="G454" s="7">
        <v>8</v>
      </c>
      <c r="H454" s="3">
        <v>41718.44</v>
      </c>
      <c r="I454" s="3">
        <v>333747.52</v>
      </c>
    </row>
    <row r="455" spans="1:9" x14ac:dyDescent="0.3">
      <c r="A455" s="5" t="s">
        <v>82</v>
      </c>
      <c r="B455" t="s">
        <v>259</v>
      </c>
      <c r="C455" t="s">
        <v>262</v>
      </c>
      <c r="D455" t="s">
        <v>268</v>
      </c>
      <c r="E455" t="s">
        <v>272</v>
      </c>
      <c r="F455" t="s">
        <v>286</v>
      </c>
      <c r="G455" s="7">
        <v>7</v>
      </c>
      <c r="H455" s="3">
        <v>30591.52</v>
      </c>
      <c r="I455" s="3">
        <v>214140.64</v>
      </c>
    </row>
    <row r="456" spans="1:9" x14ac:dyDescent="0.3">
      <c r="A456" s="5" t="s">
        <v>82</v>
      </c>
      <c r="B456" t="s">
        <v>255</v>
      </c>
      <c r="C456" t="s">
        <v>262</v>
      </c>
      <c r="D456" t="s">
        <v>266</v>
      </c>
      <c r="E456" t="s">
        <v>271</v>
      </c>
      <c r="F456" t="s">
        <v>281</v>
      </c>
      <c r="G456" s="7">
        <v>3</v>
      </c>
      <c r="H456" s="3">
        <v>9528.3799999999992</v>
      </c>
      <c r="I456" s="3">
        <v>28585.14</v>
      </c>
    </row>
    <row r="457" spans="1:9" x14ac:dyDescent="0.3">
      <c r="A457" s="5" t="s">
        <v>82</v>
      </c>
      <c r="B457" t="s">
        <v>256</v>
      </c>
      <c r="C457" t="s">
        <v>265</v>
      </c>
      <c r="D457" t="s">
        <v>267</v>
      </c>
      <c r="E457" t="s">
        <v>271</v>
      </c>
      <c r="F457" t="s">
        <v>282</v>
      </c>
      <c r="G457" s="7">
        <v>6</v>
      </c>
      <c r="H457" s="3">
        <v>9012.6200000000008</v>
      </c>
      <c r="I457" s="3">
        <v>54075.72</v>
      </c>
    </row>
    <row r="458" spans="1:9" x14ac:dyDescent="0.3">
      <c r="A458" s="5" t="s">
        <v>82</v>
      </c>
      <c r="B458" t="s">
        <v>259</v>
      </c>
      <c r="C458" t="s">
        <v>261</v>
      </c>
      <c r="D458" t="s">
        <v>267</v>
      </c>
      <c r="E458" t="s">
        <v>273</v>
      </c>
      <c r="F458" t="s">
        <v>283</v>
      </c>
      <c r="G458" s="7">
        <v>4</v>
      </c>
      <c r="H458" s="3">
        <v>51175.83</v>
      </c>
      <c r="I458" s="3">
        <v>204703.32</v>
      </c>
    </row>
    <row r="459" spans="1:9" x14ac:dyDescent="0.3">
      <c r="A459" s="5" t="s">
        <v>83</v>
      </c>
      <c r="B459" t="s">
        <v>257</v>
      </c>
      <c r="C459" t="s">
        <v>261</v>
      </c>
      <c r="D459" t="s">
        <v>268</v>
      </c>
      <c r="E459" t="s">
        <v>272</v>
      </c>
      <c r="F459" t="s">
        <v>290</v>
      </c>
      <c r="G459" s="7">
        <v>5</v>
      </c>
      <c r="H459" s="3">
        <v>30312.28</v>
      </c>
      <c r="I459" s="3">
        <v>151561.4</v>
      </c>
    </row>
    <row r="460" spans="1:9" x14ac:dyDescent="0.3">
      <c r="A460" s="5" t="s">
        <v>83</v>
      </c>
      <c r="B460" t="s">
        <v>256</v>
      </c>
      <c r="C460" t="s">
        <v>264</v>
      </c>
      <c r="D460" t="s">
        <v>270</v>
      </c>
      <c r="E460" t="s">
        <v>272</v>
      </c>
      <c r="F460" t="s">
        <v>290</v>
      </c>
      <c r="G460" s="7">
        <v>5</v>
      </c>
      <c r="H460" s="3">
        <v>34415.019999999997</v>
      </c>
      <c r="I460" s="3">
        <v>172075.1</v>
      </c>
    </row>
    <row r="461" spans="1:9" x14ac:dyDescent="0.3">
      <c r="A461" s="5" t="s">
        <v>83</v>
      </c>
      <c r="B461" t="s">
        <v>256</v>
      </c>
      <c r="C461" t="s">
        <v>264</v>
      </c>
      <c r="D461" t="s">
        <v>269</v>
      </c>
      <c r="E461" t="s">
        <v>271</v>
      </c>
      <c r="F461" t="s">
        <v>281</v>
      </c>
      <c r="G461" s="7">
        <v>7</v>
      </c>
      <c r="H461" s="3">
        <v>7407.57</v>
      </c>
      <c r="I461" s="3">
        <v>51852.99</v>
      </c>
    </row>
    <row r="462" spans="1:9" x14ac:dyDescent="0.3">
      <c r="A462" s="5" t="s">
        <v>83</v>
      </c>
      <c r="B462" t="s">
        <v>258</v>
      </c>
      <c r="C462" t="s">
        <v>265</v>
      </c>
      <c r="D462" t="s">
        <v>269</v>
      </c>
      <c r="E462" t="s">
        <v>273</v>
      </c>
      <c r="F462" t="s">
        <v>278</v>
      </c>
      <c r="G462" s="7">
        <v>5</v>
      </c>
      <c r="H462" s="3">
        <v>40162.42</v>
      </c>
      <c r="I462" s="3">
        <v>200812.1</v>
      </c>
    </row>
    <row r="463" spans="1:9" x14ac:dyDescent="0.3">
      <c r="A463" s="5" t="s">
        <v>83</v>
      </c>
      <c r="B463" t="s">
        <v>255</v>
      </c>
      <c r="C463" t="s">
        <v>265</v>
      </c>
      <c r="D463" t="s">
        <v>268</v>
      </c>
      <c r="E463" t="s">
        <v>272</v>
      </c>
      <c r="F463" t="s">
        <v>286</v>
      </c>
      <c r="G463" s="7">
        <v>3</v>
      </c>
      <c r="H463" s="3">
        <v>25745.119999999999</v>
      </c>
      <c r="I463" s="3">
        <v>77235.360000000001</v>
      </c>
    </row>
    <row r="464" spans="1:9" x14ac:dyDescent="0.3">
      <c r="A464" s="5" t="s">
        <v>83</v>
      </c>
      <c r="B464" t="s">
        <v>259</v>
      </c>
      <c r="C464" t="s">
        <v>263</v>
      </c>
      <c r="D464" t="s">
        <v>270</v>
      </c>
      <c r="E464" t="s">
        <v>271</v>
      </c>
      <c r="F464" t="s">
        <v>282</v>
      </c>
      <c r="G464" s="7">
        <v>5</v>
      </c>
      <c r="H464" s="3">
        <v>9571.58</v>
      </c>
      <c r="I464" s="3">
        <v>47857.9</v>
      </c>
    </row>
    <row r="465" spans="1:9" x14ac:dyDescent="0.3">
      <c r="A465" s="5" t="s">
        <v>84</v>
      </c>
      <c r="B465" t="s">
        <v>260</v>
      </c>
      <c r="C465" t="s">
        <v>264</v>
      </c>
      <c r="D465" t="s">
        <v>266</v>
      </c>
      <c r="E465" t="s">
        <v>274</v>
      </c>
      <c r="F465" t="s">
        <v>287</v>
      </c>
      <c r="G465" s="7">
        <v>7</v>
      </c>
      <c r="H465" s="3">
        <v>35463.629999999997</v>
      </c>
      <c r="I465" s="3">
        <v>248245.41</v>
      </c>
    </row>
    <row r="466" spans="1:9" x14ac:dyDescent="0.3">
      <c r="A466" s="5" t="s">
        <v>84</v>
      </c>
      <c r="B466" t="s">
        <v>254</v>
      </c>
      <c r="C466" t="s">
        <v>262</v>
      </c>
      <c r="D466" t="s">
        <v>268</v>
      </c>
      <c r="E466" t="s">
        <v>273</v>
      </c>
      <c r="F466" t="s">
        <v>278</v>
      </c>
      <c r="G466" s="7">
        <v>5</v>
      </c>
      <c r="H466" s="3">
        <v>54307.06</v>
      </c>
      <c r="I466" s="3">
        <v>271535.3</v>
      </c>
    </row>
    <row r="467" spans="1:9" x14ac:dyDescent="0.3">
      <c r="A467" s="5" t="s">
        <v>84</v>
      </c>
      <c r="B467" t="s">
        <v>253</v>
      </c>
      <c r="C467" t="s">
        <v>261</v>
      </c>
      <c r="D467" t="s">
        <v>268</v>
      </c>
      <c r="E467" t="s">
        <v>274</v>
      </c>
      <c r="F467" t="s">
        <v>289</v>
      </c>
      <c r="G467" s="7">
        <v>5</v>
      </c>
      <c r="H467" s="3">
        <v>36580.83</v>
      </c>
      <c r="I467" s="3">
        <v>182904.15</v>
      </c>
    </row>
    <row r="468" spans="1:9" x14ac:dyDescent="0.3">
      <c r="A468" s="5" t="s">
        <v>84</v>
      </c>
      <c r="B468" t="s">
        <v>257</v>
      </c>
      <c r="C468" t="s">
        <v>265</v>
      </c>
      <c r="D468" t="s">
        <v>269</v>
      </c>
      <c r="E468" t="s">
        <v>273</v>
      </c>
      <c r="F468" t="s">
        <v>283</v>
      </c>
      <c r="G468" s="7">
        <v>9</v>
      </c>
      <c r="H468" s="3">
        <v>47400.4</v>
      </c>
      <c r="I468" s="3">
        <v>426603.6</v>
      </c>
    </row>
    <row r="469" spans="1:9" x14ac:dyDescent="0.3">
      <c r="A469" s="5" t="s">
        <v>84</v>
      </c>
      <c r="B469" t="s">
        <v>260</v>
      </c>
      <c r="C469" t="s">
        <v>261</v>
      </c>
      <c r="D469" t="s">
        <v>268</v>
      </c>
      <c r="E469" t="s">
        <v>271</v>
      </c>
      <c r="F469" t="s">
        <v>285</v>
      </c>
      <c r="G469" s="7">
        <v>3</v>
      </c>
      <c r="H469" s="3">
        <v>10597.23</v>
      </c>
      <c r="I469" s="3">
        <v>31791.69</v>
      </c>
    </row>
    <row r="470" spans="1:9" x14ac:dyDescent="0.3">
      <c r="A470" s="5" t="s">
        <v>84</v>
      </c>
      <c r="B470" t="s">
        <v>255</v>
      </c>
      <c r="C470" t="s">
        <v>261</v>
      </c>
      <c r="D470" t="s">
        <v>268</v>
      </c>
      <c r="E470" t="s">
        <v>272</v>
      </c>
      <c r="F470" t="s">
        <v>286</v>
      </c>
      <c r="G470" s="7">
        <v>6</v>
      </c>
      <c r="H470" s="3">
        <v>26780.41</v>
      </c>
      <c r="I470" s="3">
        <v>160682.46</v>
      </c>
    </row>
    <row r="471" spans="1:9" x14ac:dyDescent="0.3">
      <c r="A471" s="5" t="s">
        <v>85</v>
      </c>
      <c r="B471" t="s">
        <v>254</v>
      </c>
      <c r="C471" t="s">
        <v>263</v>
      </c>
      <c r="D471" t="s">
        <v>268</v>
      </c>
      <c r="E471" t="s">
        <v>272</v>
      </c>
      <c r="F471" t="s">
        <v>290</v>
      </c>
      <c r="G471" s="7">
        <v>1</v>
      </c>
      <c r="H471" s="3">
        <v>33131.75</v>
      </c>
      <c r="I471" s="3">
        <v>33131.75</v>
      </c>
    </row>
    <row r="472" spans="1:9" x14ac:dyDescent="0.3">
      <c r="A472" s="5" t="s">
        <v>85</v>
      </c>
      <c r="B472" t="s">
        <v>255</v>
      </c>
      <c r="C472" t="s">
        <v>264</v>
      </c>
      <c r="D472" t="s">
        <v>269</v>
      </c>
      <c r="E472" t="s">
        <v>272</v>
      </c>
      <c r="F472" t="s">
        <v>277</v>
      </c>
      <c r="G472" s="7">
        <v>5</v>
      </c>
      <c r="H472" s="3">
        <v>28580.05</v>
      </c>
      <c r="I472" s="3">
        <v>142900.25</v>
      </c>
    </row>
    <row r="473" spans="1:9" x14ac:dyDescent="0.3">
      <c r="A473" s="5" t="s">
        <v>85</v>
      </c>
      <c r="B473" t="s">
        <v>257</v>
      </c>
      <c r="C473" t="s">
        <v>265</v>
      </c>
      <c r="D473" t="s">
        <v>266</v>
      </c>
      <c r="E473" t="s">
        <v>273</v>
      </c>
      <c r="F473" t="s">
        <v>288</v>
      </c>
      <c r="G473" s="7">
        <v>8</v>
      </c>
      <c r="H473" s="3">
        <v>49927.23</v>
      </c>
      <c r="I473" s="3">
        <v>399417.84</v>
      </c>
    </row>
    <row r="474" spans="1:9" x14ac:dyDescent="0.3">
      <c r="A474" s="5" t="s">
        <v>85</v>
      </c>
      <c r="B474" t="s">
        <v>256</v>
      </c>
      <c r="C474" t="s">
        <v>261</v>
      </c>
      <c r="D474" t="s">
        <v>266</v>
      </c>
      <c r="E474" t="s">
        <v>271</v>
      </c>
      <c r="F474" t="s">
        <v>275</v>
      </c>
      <c r="G474" s="7">
        <v>5</v>
      </c>
      <c r="H474" s="3">
        <v>9697.7099999999991</v>
      </c>
      <c r="I474" s="3">
        <v>48488.55</v>
      </c>
    </row>
    <row r="475" spans="1:9" x14ac:dyDescent="0.3">
      <c r="A475" s="5" t="s">
        <v>85</v>
      </c>
      <c r="B475" t="s">
        <v>254</v>
      </c>
      <c r="C475" t="s">
        <v>265</v>
      </c>
      <c r="D475" t="s">
        <v>268</v>
      </c>
      <c r="E475" t="s">
        <v>274</v>
      </c>
      <c r="F475" t="s">
        <v>287</v>
      </c>
      <c r="G475" s="7">
        <v>9</v>
      </c>
      <c r="H475" s="3">
        <v>35312.050000000003</v>
      </c>
      <c r="I475" s="3">
        <v>317808.45</v>
      </c>
    </row>
    <row r="476" spans="1:9" x14ac:dyDescent="0.3">
      <c r="A476" s="5" t="s">
        <v>85</v>
      </c>
      <c r="B476" t="s">
        <v>256</v>
      </c>
      <c r="C476" t="s">
        <v>262</v>
      </c>
      <c r="D476" t="s">
        <v>269</v>
      </c>
      <c r="E476" t="s">
        <v>271</v>
      </c>
      <c r="F476" t="s">
        <v>285</v>
      </c>
      <c r="G476" s="7">
        <v>6</v>
      </c>
      <c r="H476" s="3">
        <v>7702.72</v>
      </c>
      <c r="I476" s="3">
        <v>46216.32</v>
      </c>
    </row>
    <row r="477" spans="1:9" x14ac:dyDescent="0.3">
      <c r="A477" s="5" t="s">
        <v>86</v>
      </c>
      <c r="B477" t="s">
        <v>257</v>
      </c>
      <c r="C477" t="s">
        <v>263</v>
      </c>
      <c r="D477" t="s">
        <v>266</v>
      </c>
      <c r="E477" t="s">
        <v>274</v>
      </c>
      <c r="F477" t="s">
        <v>280</v>
      </c>
      <c r="G477" s="7">
        <v>8</v>
      </c>
      <c r="H477" s="3">
        <v>32869.769999999997</v>
      </c>
      <c r="I477" s="3">
        <v>262958.15999999997</v>
      </c>
    </row>
    <row r="478" spans="1:9" x14ac:dyDescent="0.3">
      <c r="A478" s="5" t="s">
        <v>86</v>
      </c>
      <c r="B478" t="s">
        <v>260</v>
      </c>
      <c r="C478" t="s">
        <v>262</v>
      </c>
      <c r="D478" t="s">
        <v>266</v>
      </c>
      <c r="E478" t="s">
        <v>273</v>
      </c>
      <c r="F478" t="s">
        <v>288</v>
      </c>
      <c r="G478" s="7">
        <v>8</v>
      </c>
      <c r="H478" s="3">
        <v>48355.89</v>
      </c>
      <c r="I478" s="3">
        <v>386847.12</v>
      </c>
    </row>
    <row r="479" spans="1:9" x14ac:dyDescent="0.3">
      <c r="A479" s="5" t="s">
        <v>86</v>
      </c>
      <c r="B479" t="s">
        <v>257</v>
      </c>
      <c r="C479" t="s">
        <v>265</v>
      </c>
      <c r="D479" t="s">
        <v>266</v>
      </c>
      <c r="E479" t="s">
        <v>273</v>
      </c>
      <c r="F479" t="s">
        <v>283</v>
      </c>
      <c r="G479" s="7">
        <v>3</v>
      </c>
      <c r="H479" s="3">
        <v>53532.79</v>
      </c>
      <c r="I479" s="3">
        <v>160598.37</v>
      </c>
    </row>
    <row r="480" spans="1:9" x14ac:dyDescent="0.3">
      <c r="A480" s="5" t="s">
        <v>86</v>
      </c>
      <c r="B480" t="s">
        <v>260</v>
      </c>
      <c r="C480" t="s">
        <v>265</v>
      </c>
      <c r="D480" t="s">
        <v>269</v>
      </c>
      <c r="E480" t="s">
        <v>274</v>
      </c>
      <c r="F480" t="s">
        <v>289</v>
      </c>
      <c r="G480" s="7">
        <v>7</v>
      </c>
      <c r="H480" s="3">
        <v>32878.67</v>
      </c>
      <c r="I480" s="3">
        <v>230150.69</v>
      </c>
    </row>
    <row r="481" spans="1:9" x14ac:dyDescent="0.3">
      <c r="A481" s="5" t="s">
        <v>86</v>
      </c>
      <c r="B481" t="s">
        <v>254</v>
      </c>
      <c r="C481" t="s">
        <v>264</v>
      </c>
      <c r="D481" t="s">
        <v>269</v>
      </c>
      <c r="E481" t="s">
        <v>274</v>
      </c>
      <c r="F481" t="s">
        <v>284</v>
      </c>
      <c r="G481" s="7">
        <v>7</v>
      </c>
      <c r="H481" s="3">
        <v>38959.97</v>
      </c>
      <c r="I481" s="3">
        <v>272719.78999999998</v>
      </c>
    </row>
    <row r="482" spans="1:9" x14ac:dyDescent="0.3">
      <c r="A482" s="5" t="s">
        <v>86</v>
      </c>
      <c r="B482" t="s">
        <v>254</v>
      </c>
      <c r="C482" t="s">
        <v>261</v>
      </c>
      <c r="D482" t="s">
        <v>268</v>
      </c>
      <c r="E482" t="s">
        <v>274</v>
      </c>
      <c r="F482" t="s">
        <v>289</v>
      </c>
      <c r="G482" s="7">
        <v>6</v>
      </c>
      <c r="H482" s="3">
        <v>32836.79</v>
      </c>
      <c r="I482" s="3">
        <v>197020.74</v>
      </c>
    </row>
    <row r="483" spans="1:9" x14ac:dyDescent="0.3">
      <c r="A483" s="5" t="s">
        <v>86</v>
      </c>
      <c r="B483" t="s">
        <v>259</v>
      </c>
      <c r="C483" t="s">
        <v>261</v>
      </c>
      <c r="D483" t="s">
        <v>267</v>
      </c>
      <c r="E483" t="s">
        <v>271</v>
      </c>
      <c r="F483" t="s">
        <v>281</v>
      </c>
      <c r="G483" s="7">
        <v>7</v>
      </c>
      <c r="H483" s="3">
        <v>9090.85</v>
      </c>
      <c r="I483" s="3">
        <v>63635.95</v>
      </c>
    </row>
    <row r="484" spans="1:9" x14ac:dyDescent="0.3">
      <c r="A484" s="5" t="s">
        <v>87</v>
      </c>
      <c r="B484" t="s">
        <v>255</v>
      </c>
      <c r="C484" t="s">
        <v>262</v>
      </c>
      <c r="D484" t="s">
        <v>266</v>
      </c>
      <c r="E484" t="s">
        <v>274</v>
      </c>
      <c r="F484" t="s">
        <v>280</v>
      </c>
      <c r="G484" s="7">
        <v>2</v>
      </c>
      <c r="H484" s="3">
        <v>37392.46</v>
      </c>
      <c r="I484" s="3">
        <v>74784.92</v>
      </c>
    </row>
    <row r="485" spans="1:9" x14ac:dyDescent="0.3">
      <c r="A485" s="5" t="s">
        <v>87</v>
      </c>
      <c r="B485" t="s">
        <v>259</v>
      </c>
      <c r="C485" t="s">
        <v>263</v>
      </c>
      <c r="D485" t="s">
        <v>267</v>
      </c>
      <c r="E485" t="s">
        <v>273</v>
      </c>
      <c r="F485" t="s">
        <v>278</v>
      </c>
      <c r="G485" s="7">
        <v>9</v>
      </c>
      <c r="H485" s="3">
        <v>48745.22</v>
      </c>
      <c r="I485" s="3">
        <v>438706.98</v>
      </c>
    </row>
    <row r="486" spans="1:9" x14ac:dyDescent="0.3">
      <c r="A486" s="5" t="s">
        <v>87</v>
      </c>
      <c r="B486" t="s">
        <v>255</v>
      </c>
      <c r="C486" t="s">
        <v>261</v>
      </c>
      <c r="D486" t="s">
        <v>269</v>
      </c>
      <c r="E486" t="s">
        <v>273</v>
      </c>
      <c r="F486" t="s">
        <v>283</v>
      </c>
      <c r="G486" s="7">
        <v>1</v>
      </c>
      <c r="H486" s="3">
        <v>55533.93</v>
      </c>
      <c r="I486" s="3">
        <v>55533.93</v>
      </c>
    </row>
    <row r="487" spans="1:9" x14ac:dyDescent="0.3">
      <c r="A487" s="5" t="s">
        <v>87</v>
      </c>
      <c r="B487" t="s">
        <v>259</v>
      </c>
      <c r="C487" t="s">
        <v>264</v>
      </c>
      <c r="D487" t="s">
        <v>269</v>
      </c>
      <c r="E487" t="s">
        <v>272</v>
      </c>
      <c r="F487" t="s">
        <v>286</v>
      </c>
      <c r="G487" s="7">
        <v>1</v>
      </c>
      <c r="H487" s="3">
        <v>31195.759999999998</v>
      </c>
      <c r="I487" s="3">
        <v>31195.759999999998</v>
      </c>
    </row>
    <row r="488" spans="1:9" x14ac:dyDescent="0.3">
      <c r="A488" s="5" t="s">
        <v>87</v>
      </c>
      <c r="B488" t="s">
        <v>256</v>
      </c>
      <c r="C488" t="s">
        <v>262</v>
      </c>
      <c r="D488" t="s">
        <v>269</v>
      </c>
      <c r="E488" t="s">
        <v>274</v>
      </c>
      <c r="F488" t="s">
        <v>284</v>
      </c>
      <c r="G488" s="7">
        <v>3</v>
      </c>
      <c r="H488" s="3">
        <v>33890.68</v>
      </c>
      <c r="I488" s="3">
        <v>101672.04</v>
      </c>
    </row>
    <row r="489" spans="1:9" x14ac:dyDescent="0.3">
      <c r="A489" s="5" t="s">
        <v>87</v>
      </c>
      <c r="B489" t="s">
        <v>254</v>
      </c>
      <c r="C489" t="s">
        <v>262</v>
      </c>
      <c r="D489" t="s">
        <v>267</v>
      </c>
      <c r="E489" t="s">
        <v>271</v>
      </c>
      <c r="F489" t="s">
        <v>282</v>
      </c>
      <c r="G489" s="7">
        <v>3</v>
      </c>
      <c r="H489" s="3">
        <v>7305.21</v>
      </c>
      <c r="I489" s="3">
        <v>21915.63</v>
      </c>
    </row>
    <row r="490" spans="1:9" x14ac:dyDescent="0.3">
      <c r="A490" s="5" t="s">
        <v>88</v>
      </c>
      <c r="B490" t="s">
        <v>260</v>
      </c>
      <c r="C490" t="s">
        <v>264</v>
      </c>
      <c r="D490" t="s">
        <v>269</v>
      </c>
      <c r="E490" t="s">
        <v>271</v>
      </c>
      <c r="F490" t="s">
        <v>281</v>
      </c>
      <c r="G490" s="7">
        <v>1</v>
      </c>
      <c r="H490" s="3">
        <v>8631.69</v>
      </c>
      <c r="I490" s="3">
        <v>8631.69</v>
      </c>
    </row>
    <row r="491" spans="1:9" x14ac:dyDescent="0.3">
      <c r="A491" s="5" t="s">
        <v>88</v>
      </c>
      <c r="B491" t="s">
        <v>255</v>
      </c>
      <c r="C491" t="s">
        <v>263</v>
      </c>
      <c r="D491" t="s">
        <v>268</v>
      </c>
      <c r="E491" t="s">
        <v>271</v>
      </c>
      <c r="F491" t="s">
        <v>285</v>
      </c>
      <c r="G491" s="7">
        <v>7</v>
      </c>
      <c r="H491" s="3">
        <v>8242.44</v>
      </c>
      <c r="I491" s="3">
        <v>57697.08</v>
      </c>
    </row>
    <row r="492" spans="1:9" x14ac:dyDescent="0.3">
      <c r="A492" s="5" t="s">
        <v>88</v>
      </c>
      <c r="B492" t="s">
        <v>257</v>
      </c>
      <c r="C492" t="s">
        <v>264</v>
      </c>
      <c r="D492" t="s">
        <v>269</v>
      </c>
      <c r="E492" t="s">
        <v>272</v>
      </c>
      <c r="F492" t="s">
        <v>286</v>
      </c>
      <c r="G492" s="7">
        <v>4</v>
      </c>
      <c r="H492" s="3">
        <v>32178.78</v>
      </c>
      <c r="I492" s="3">
        <v>128715.12</v>
      </c>
    </row>
    <row r="493" spans="1:9" x14ac:dyDescent="0.3">
      <c r="A493" s="5" t="s">
        <v>88</v>
      </c>
      <c r="B493" t="s">
        <v>255</v>
      </c>
      <c r="C493" t="s">
        <v>263</v>
      </c>
      <c r="D493" t="s">
        <v>270</v>
      </c>
      <c r="E493" t="s">
        <v>273</v>
      </c>
      <c r="F493" t="s">
        <v>283</v>
      </c>
      <c r="G493" s="7">
        <v>2</v>
      </c>
      <c r="H493" s="3">
        <v>41999</v>
      </c>
      <c r="I493" s="3">
        <v>83998</v>
      </c>
    </row>
    <row r="494" spans="1:9" x14ac:dyDescent="0.3">
      <c r="A494" s="5" t="s">
        <v>88</v>
      </c>
      <c r="B494" t="s">
        <v>260</v>
      </c>
      <c r="C494" t="s">
        <v>264</v>
      </c>
      <c r="D494" t="s">
        <v>267</v>
      </c>
      <c r="E494" t="s">
        <v>271</v>
      </c>
      <c r="F494" t="s">
        <v>281</v>
      </c>
      <c r="G494" s="7">
        <v>5</v>
      </c>
      <c r="H494" s="3">
        <v>7922.75</v>
      </c>
      <c r="I494" s="3">
        <v>39613.75</v>
      </c>
    </row>
    <row r="495" spans="1:9" x14ac:dyDescent="0.3">
      <c r="A495" s="5" t="s">
        <v>88</v>
      </c>
      <c r="B495" t="s">
        <v>259</v>
      </c>
      <c r="C495" t="s">
        <v>264</v>
      </c>
      <c r="D495" t="s">
        <v>270</v>
      </c>
      <c r="E495" t="s">
        <v>273</v>
      </c>
      <c r="F495" t="s">
        <v>279</v>
      </c>
      <c r="G495" s="7">
        <v>6</v>
      </c>
      <c r="H495" s="3">
        <v>41661.339999999997</v>
      </c>
      <c r="I495" s="3">
        <v>249968.04</v>
      </c>
    </row>
    <row r="496" spans="1:9" x14ac:dyDescent="0.3">
      <c r="A496" s="5" t="s">
        <v>89</v>
      </c>
      <c r="B496" t="s">
        <v>255</v>
      </c>
      <c r="C496" t="s">
        <v>265</v>
      </c>
      <c r="D496" t="s">
        <v>269</v>
      </c>
      <c r="E496" t="s">
        <v>272</v>
      </c>
      <c r="F496" t="s">
        <v>277</v>
      </c>
      <c r="G496" s="7">
        <v>9</v>
      </c>
      <c r="H496" s="3">
        <v>25206.89</v>
      </c>
      <c r="I496" s="3">
        <v>226862.01</v>
      </c>
    </row>
    <row r="497" spans="1:9" x14ac:dyDescent="0.3">
      <c r="A497" s="5" t="s">
        <v>89</v>
      </c>
      <c r="B497" t="s">
        <v>253</v>
      </c>
      <c r="C497" t="s">
        <v>262</v>
      </c>
      <c r="D497" t="s">
        <v>268</v>
      </c>
      <c r="E497" t="s">
        <v>274</v>
      </c>
      <c r="F497" t="s">
        <v>289</v>
      </c>
      <c r="G497" s="7">
        <v>4</v>
      </c>
      <c r="H497" s="3">
        <v>31180.89</v>
      </c>
      <c r="I497" s="3">
        <v>124723.56</v>
      </c>
    </row>
    <row r="498" spans="1:9" x14ac:dyDescent="0.3">
      <c r="A498" s="5" t="s">
        <v>89</v>
      </c>
      <c r="B498" t="s">
        <v>256</v>
      </c>
      <c r="C498" t="s">
        <v>264</v>
      </c>
      <c r="D498" t="s">
        <v>266</v>
      </c>
      <c r="E498" t="s">
        <v>274</v>
      </c>
      <c r="F498" t="s">
        <v>284</v>
      </c>
      <c r="G498" s="7">
        <v>2</v>
      </c>
      <c r="H498" s="3">
        <v>38539.800000000003</v>
      </c>
      <c r="I498" s="3">
        <v>77079.600000000006</v>
      </c>
    </row>
    <row r="499" spans="1:9" x14ac:dyDescent="0.3">
      <c r="A499" s="5" t="s">
        <v>89</v>
      </c>
      <c r="B499" t="s">
        <v>254</v>
      </c>
      <c r="C499" t="s">
        <v>264</v>
      </c>
      <c r="D499" t="s">
        <v>269</v>
      </c>
      <c r="E499" t="s">
        <v>274</v>
      </c>
      <c r="F499" t="s">
        <v>287</v>
      </c>
      <c r="G499" s="7">
        <v>5</v>
      </c>
      <c r="H499" s="3">
        <v>37119.08</v>
      </c>
      <c r="I499" s="3">
        <v>185595.4</v>
      </c>
    </row>
    <row r="500" spans="1:9" x14ac:dyDescent="0.3">
      <c r="A500" s="5" t="s">
        <v>89</v>
      </c>
      <c r="B500" t="s">
        <v>260</v>
      </c>
      <c r="C500" t="s">
        <v>261</v>
      </c>
      <c r="D500" t="s">
        <v>268</v>
      </c>
      <c r="E500" t="s">
        <v>271</v>
      </c>
      <c r="F500" t="s">
        <v>281</v>
      </c>
      <c r="G500" s="7">
        <v>3</v>
      </c>
      <c r="H500" s="3">
        <v>9724.85</v>
      </c>
      <c r="I500" s="3">
        <v>29174.55</v>
      </c>
    </row>
    <row r="501" spans="1:9" x14ac:dyDescent="0.3">
      <c r="A501" s="5" t="s">
        <v>89</v>
      </c>
      <c r="B501" t="s">
        <v>254</v>
      </c>
      <c r="C501" t="s">
        <v>262</v>
      </c>
      <c r="D501" t="s">
        <v>267</v>
      </c>
      <c r="E501" t="s">
        <v>274</v>
      </c>
      <c r="F501" t="s">
        <v>280</v>
      </c>
      <c r="G501" s="7">
        <v>2</v>
      </c>
      <c r="H501" s="3">
        <v>37405.910000000003</v>
      </c>
      <c r="I501" s="3">
        <v>74811.820000000007</v>
      </c>
    </row>
    <row r="502" spans="1:9" x14ac:dyDescent="0.3">
      <c r="A502" s="5" t="s">
        <v>90</v>
      </c>
      <c r="B502" t="s">
        <v>253</v>
      </c>
      <c r="C502" t="s">
        <v>261</v>
      </c>
      <c r="D502" t="s">
        <v>270</v>
      </c>
      <c r="E502" t="s">
        <v>271</v>
      </c>
      <c r="F502" t="s">
        <v>281</v>
      </c>
      <c r="G502" s="7">
        <v>1</v>
      </c>
      <c r="H502" s="3">
        <v>8141.02</v>
      </c>
      <c r="I502" s="3">
        <v>8141.02</v>
      </c>
    </row>
    <row r="503" spans="1:9" x14ac:dyDescent="0.3">
      <c r="A503" s="5" t="s">
        <v>90</v>
      </c>
      <c r="B503" t="s">
        <v>255</v>
      </c>
      <c r="C503" t="s">
        <v>262</v>
      </c>
      <c r="D503" t="s">
        <v>270</v>
      </c>
      <c r="E503" t="s">
        <v>272</v>
      </c>
      <c r="F503" t="s">
        <v>286</v>
      </c>
      <c r="G503" s="7">
        <v>2</v>
      </c>
      <c r="H503" s="3">
        <v>33739.35</v>
      </c>
      <c r="I503" s="3">
        <v>67478.7</v>
      </c>
    </row>
    <row r="504" spans="1:9" x14ac:dyDescent="0.3">
      <c r="A504" s="5" t="s">
        <v>90</v>
      </c>
      <c r="B504" t="s">
        <v>255</v>
      </c>
      <c r="C504" t="s">
        <v>261</v>
      </c>
      <c r="D504" t="s">
        <v>270</v>
      </c>
      <c r="E504" t="s">
        <v>272</v>
      </c>
      <c r="F504" t="s">
        <v>276</v>
      </c>
      <c r="G504" s="7">
        <v>6</v>
      </c>
      <c r="H504" s="3">
        <v>25337.8</v>
      </c>
      <c r="I504" s="3">
        <v>152026.79999999999</v>
      </c>
    </row>
    <row r="505" spans="1:9" x14ac:dyDescent="0.3">
      <c r="A505" s="5" t="s">
        <v>90</v>
      </c>
      <c r="B505" t="s">
        <v>257</v>
      </c>
      <c r="C505" t="s">
        <v>264</v>
      </c>
      <c r="D505" t="s">
        <v>267</v>
      </c>
      <c r="E505" t="s">
        <v>271</v>
      </c>
      <c r="F505" t="s">
        <v>282</v>
      </c>
      <c r="G505" s="7">
        <v>8</v>
      </c>
      <c r="H505" s="3">
        <v>8368.58</v>
      </c>
      <c r="I505" s="3">
        <v>66948.639999999999</v>
      </c>
    </row>
    <row r="506" spans="1:9" x14ac:dyDescent="0.3">
      <c r="A506" s="5" t="s">
        <v>90</v>
      </c>
      <c r="B506" t="s">
        <v>253</v>
      </c>
      <c r="C506" t="s">
        <v>264</v>
      </c>
      <c r="D506" t="s">
        <v>268</v>
      </c>
      <c r="E506" t="s">
        <v>273</v>
      </c>
      <c r="F506" t="s">
        <v>279</v>
      </c>
      <c r="G506" s="7">
        <v>3</v>
      </c>
      <c r="H506" s="3">
        <v>48811.47</v>
      </c>
      <c r="I506" s="3">
        <v>146434.41</v>
      </c>
    </row>
    <row r="507" spans="1:9" x14ac:dyDescent="0.3">
      <c r="A507" s="5" t="s">
        <v>90</v>
      </c>
      <c r="B507" t="s">
        <v>260</v>
      </c>
      <c r="C507" t="s">
        <v>265</v>
      </c>
      <c r="D507" t="s">
        <v>267</v>
      </c>
      <c r="E507" t="s">
        <v>274</v>
      </c>
      <c r="F507" t="s">
        <v>284</v>
      </c>
      <c r="G507" s="7">
        <v>9</v>
      </c>
      <c r="H507" s="3">
        <v>28517.19</v>
      </c>
      <c r="I507" s="3">
        <v>256654.71</v>
      </c>
    </row>
    <row r="508" spans="1:9" x14ac:dyDescent="0.3">
      <c r="A508" s="5" t="s">
        <v>91</v>
      </c>
      <c r="B508" t="s">
        <v>257</v>
      </c>
      <c r="C508" t="s">
        <v>261</v>
      </c>
      <c r="D508" t="s">
        <v>270</v>
      </c>
      <c r="E508" t="s">
        <v>274</v>
      </c>
      <c r="F508" t="s">
        <v>289</v>
      </c>
      <c r="G508" s="7">
        <v>9</v>
      </c>
      <c r="H508" s="3">
        <v>36545.67</v>
      </c>
      <c r="I508" s="3">
        <v>328911.03000000003</v>
      </c>
    </row>
    <row r="509" spans="1:9" x14ac:dyDescent="0.3">
      <c r="A509" s="5" t="s">
        <v>91</v>
      </c>
      <c r="B509" t="s">
        <v>256</v>
      </c>
      <c r="C509" t="s">
        <v>263</v>
      </c>
      <c r="D509" t="s">
        <v>269</v>
      </c>
      <c r="E509" t="s">
        <v>274</v>
      </c>
      <c r="F509" t="s">
        <v>289</v>
      </c>
      <c r="G509" s="7">
        <v>2</v>
      </c>
      <c r="H509" s="3">
        <v>32156.75</v>
      </c>
      <c r="I509" s="3">
        <v>64313.5</v>
      </c>
    </row>
    <row r="510" spans="1:9" x14ac:dyDescent="0.3">
      <c r="A510" s="5" t="s">
        <v>91</v>
      </c>
      <c r="B510" t="s">
        <v>257</v>
      </c>
      <c r="C510" t="s">
        <v>265</v>
      </c>
      <c r="D510" t="s">
        <v>266</v>
      </c>
      <c r="E510" t="s">
        <v>271</v>
      </c>
      <c r="F510" t="s">
        <v>285</v>
      </c>
      <c r="G510" s="7">
        <v>8</v>
      </c>
      <c r="H510" s="3">
        <v>9891.98</v>
      </c>
      <c r="I510" s="3">
        <v>79135.839999999997</v>
      </c>
    </row>
    <row r="511" spans="1:9" x14ac:dyDescent="0.3">
      <c r="A511" s="5" t="s">
        <v>91</v>
      </c>
      <c r="B511" t="s">
        <v>258</v>
      </c>
      <c r="C511" t="s">
        <v>261</v>
      </c>
      <c r="D511" t="s">
        <v>267</v>
      </c>
      <c r="E511" t="s">
        <v>272</v>
      </c>
      <c r="F511" t="s">
        <v>276</v>
      </c>
      <c r="G511" s="7">
        <v>5</v>
      </c>
      <c r="H511" s="3">
        <v>29320.44</v>
      </c>
      <c r="I511" s="3">
        <v>146602.20000000001</v>
      </c>
    </row>
    <row r="512" spans="1:9" x14ac:dyDescent="0.3">
      <c r="A512" s="5" t="s">
        <v>91</v>
      </c>
      <c r="B512" t="s">
        <v>260</v>
      </c>
      <c r="C512" t="s">
        <v>261</v>
      </c>
      <c r="D512" t="s">
        <v>267</v>
      </c>
      <c r="E512" t="s">
        <v>274</v>
      </c>
      <c r="F512" t="s">
        <v>280</v>
      </c>
      <c r="G512" s="7">
        <v>4</v>
      </c>
      <c r="H512" s="3">
        <v>29515.19</v>
      </c>
      <c r="I512" s="3">
        <v>118060.76</v>
      </c>
    </row>
    <row r="513" spans="1:9" x14ac:dyDescent="0.3">
      <c r="A513" s="5" t="s">
        <v>91</v>
      </c>
      <c r="B513" t="s">
        <v>258</v>
      </c>
      <c r="C513" t="s">
        <v>265</v>
      </c>
      <c r="D513" t="s">
        <v>268</v>
      </c>
      <c r="E513" t="s">
        <v>272</v>
      </c>
      <c r="F513" t="s">
        <v>290</v>
      </c>
      <c r="G513" s="7">
        <v>5</v>
      </c>
      <c r="H513" s="3">
        <v>32029.33</v>
      </c>
      <c r="I513" s="3">
        <v>160146.65</v>
      </c>
    </row>
    <row r="514" spans="1:9" x14ac:dyDescent="0.3">
      <c r="A514" s="5" t="s">
        <v>91</v>
      </c>
      <c r="B514" t="s">
        <v>253</v>
      </c>
      <c r="C514" t="s">
        <v>264</v>
      </c>
      <c r="D514" t="s">
        <v>268</v>
      </c>
      <c r="E514" t="s">
        <v>274</v>
      </c>
      <c r="F514" t="s">
        <v>280</v>
      </c>
      <c r="G514" s="7">
        <v>4</v>
      </c>
      <c r="H514" s="3">
        <v>30427.439999999999</v>
      </c>
      <c r="I514" s="3">
        <v>121709.75999999999</v>
      </c>
    </row>
    <row r="515" spans="1:9" x14ac:dyDescent="0.3">
      <c r="A515" s="5" t="s">
        <v>92</v>
      </c>
      <c r="B515" t="s">
        <v>259</v>
      </c>
      <c r="C515" t="s">
        <v>261</v>
      </c>
      <c r="D515" t="s">
        <v>267</v>
      </c>
      <c r="E515" t="s">
        <v>274</v>
      </c>
      <c r="F515" t="s">
        <v>280</v>
      </c>
      <c r="G515" s="7">
        <v>8</v>
      </c>
      <c r="H515" s="3">
        <v>33482.370000000003</v>
      </c>
      <c r="I515" s="3">
        <v>267858.96000000002</v>
      </c>
    </row>
    <row r="516" spans="1:9" x14ac:dyDescent="0.3">
      <c r="A516" s="5" t="s">
        <v>92</v>
      </c>
      <c r="B516" t="s">
        <v>258</v>
      </c>
      <c r="C516" t="s">
        <v>264</v>
      </c>
      <c r="D516" t="s">
        <v>270</v>
      </c>
      <c r="E516" t="s">
        <v>271</v>
      </c>
      <c r="F516" t="s">
        <v>285</v>
      </c>
      <c r="G516" s="7">
        <v>4</v>
      </c>
      <c r="H516" s="3">
        <v>7481.81</v>
      </c>
      <c r="I516" s="3">
        <v>29927.24</v>
      </c>
    </row>
    <row r="517" spans="1:9" x14ac:dyDescent="0.3">
      <c r="A517" s="5" t="s">
        <v>92</v>
      </c>
      <c r="B517" t="s">
        <v>256</v>
      </c>
      <c r="C517" t="s">
        <v>265</v>
      </c>
      <c r="D517" t="s">
        <v>266</v>
      </c>
      <c r="E517" t="s">
        <v>273</v>
      </c>
      <c r="F517" t="s">
        <v>279</v>
      </c>
      <c r="G517" s="7">
        <v>6</v>
      </c>
      <c r="H517" s="3">
        <v>49371.6</v>
      </c>
      <c r="I517" s="3">
        <v>296229.59999999998</v>
      </c>
    </row>
    <row r="518" spans="1:9" x14ac:dyDescent="0.3">
      <c r="A518" s="5" t="s">
        <v>92</v>
      </c>
      <c r="B518" t="s">
        <v>257</v>
      </c>
      <c r="C518" t="s">
        <v>264</v>
      </c>
      <c r="D518" t="s">
        <v>268</v>
      </c>
      <c r="E518" t="s">
        <v>271</v>
      </c>
      <c r="F518" t="s">
        <v>281</v>
      </c>
      <c r="G518" s="7">
        <v>2</v>
      </c>
      <c r="H518" s="3">
        <v>9488.92</v>
      </c>
      <c r="I518" s="3">
        <v>18977.84</v>
      </c>
    </row>
    <row r="519" spans="1:9" x14ac:dyDescent="0.3">
      <c r="A519" s="5" t="s">
        <v>92</v>
      </c>
      <c r="B519" t="s">
        <v>259</v>
      </c>
      <c r="C519" t="s">
        <v>262</v>
      </c>
      <c r="D519" t="s">
        <v>270</v>
      </c>
      <c r="E519" t="s">
        <v>274</v>
      </c>
      <c r="F519" t="s">
        <v>284</v>
      </c>
      <c r="G519" s="7">
        <v>5</v>
      </c>
      <c r="H519" s="3">
        <v>32047.03</v>
      </c>
      <c r="I519" s="3">
        <v>160235.15</v>
      </c>
    </row>
    <row r="520" spans="1:9" x14ac:dyDescent="0.3">
      <c r="A520" s="5" t="s">
        <v>92</v>
      </c>
      <c r="B520" t="s">
        <v>257</v>
      </c>
      <c r="C520" t="s">
        <v>263</v>
      </c>
      <c r="D520" t="s">
        <v>269</v>
      </c>
      <c r="E520" t="s">
        <v>274</v>
      </c>
      <c r="F520" t="s">
        <v>289</v>
      </c>
      <c r="G520" s="7">
        <v>6</v>
      </c>
      <c r="H520" s="3">
        <v>39416.61</v>
      </c>
      <c r="I520" s="3">
        <v>236499.66</v>
      </c>
    </row>
    <row r="521" spans="1:9" x14ac:dyDescent="0.3">
      <c r="A521" s="5" t="s">
        <v>93</v>
      </c>
      <c r="B521" t="s">
        <v>258</v>
      </c>
      <c r="C521" t="s">
        <v>261</v>
      </c>
      <c r="D521" t="s">
        <v>268</v>
      </c>
      <c r="E521" t="s">
        <v>273</v>
      </c>
      <c r="F521" t="s">
        <v>288</v>
      </c>
      <c r="G521" s="7">
        <v>5</v>
      </c>
      <c r="H521" s="3">
        <v>53985.04</v>
      </c>
      <c r="I521" s="3">
        <v>269925.2</v>
      </c>
    </row>
    <row r="522" spans="1:9" x14ac:dyDescent="0.3">
      <c r="A522" s="5" t="s">
        <v>93</v>
      </c>
      <c r="B522" t="s">
        <v>257</v>
      </c>
      <c r="C522" t="s">
        <v>263</v>
      </c>
      <c r="D522" t="s">
        <v>270</v>
      </c>
      <c r="E522" t="s">
        <v>272</v>
      </c>
      <c r="F522" t="s">
        <v>286</v>
      </c>
      <c r="G522" s="7">
        <v>2</v>
      </c>
      <c r="H522" s="3">
        <v>31728.94</v>
      </c>
      <c r="I522" s="3">
        <v>63457.88</v>
      </c>
    </row>
    <row r="523" spans="1:9" x14ac:dyDescent="0.3">
      <c r="A523" s="5" t="s">
        <v>93</v>
      </c>
      <c r="B523" t="s">
        <v>253</v>
      </c>
      <c r="C523" t="s">
        <v>264</v>
      </c>
      <c r="D523" t="s">
        <v>270</v>
      </c>
      <c r="E523" t="s">
        <v>272</v>
      </c>
      <c r="F523" t="s">
        <v>290</v>
      </c>
      <c r="G523" s="7">
        <v>7</v>
      </c>
      <c r="H523" s="3">
        <v>31792.9</v>
      </c>
      <c r="I523" s="3">
        <v>222550.3</v>
      </c>
    </row>
    <row r="524" spans="1:9" x14ac:dyDescent="0.3">
      <c r="A524" s="5" t="s">
        <v>93</v>
      </c>
      <c r="B524" t="s">
        <v>259</v>
      </c>
      <c r="C524" t="s">
        <v>261</v>
      </c>
      <c r="D524" t="s">
        <v>266</v>
      </c>
      <c r="E524" t="s">
        <v>274</v>
      </c>
      <c r="F524" t="s">
        <v>289</v>
      </c>
      <c r="G524" s="7">
        <v>4</v>
      </c>
      <c r="H524" s="3">
        <v>30430.74</v>
      </c>
      <c r="I524" s="3">
        <v>121722.96</v>
      </c>
    </row>
    <row r="525" spans="1:9" x14ac:dyDescent="0.3">
      <c r="A525" s="5" t="s">
        <v>93</v>
      </c>
      <c r="B525" t="s">
        <v>253</v>
      </c>
      <c r="C525" t="s">
        <v>264</v>
      </c>
      <c r="D525" t="s">
        <v>266</v>
      </c>
      <c r="E525" t="s">
        <v>272</v>
      </c>
      <c r="F525" t="s">
        <v>277</v>
      </c>
      <c r="G525" s="7">
        <v>8</v>
      </c>
      <c r="H525" s="3">
        <v>31156.33</v>
      </c>
      <c r="I525" s="3">
        <v>249250.64</v>
      </c>
    </row>
    <row r="526" spans="1:9" x14ac:dyDescent="0.3">
      <c r="A526" s="5" t="s">
        <v>93</v>
      </c>
      <c r="B526" t="s">
        <v>258</v>
      </c>
      <c r="C526" t="s">
        <v>262</v>
      </c>
      <c r="D526" t="s">
        <v>269</v>
      </c>
      <c r="E526" t="s">
        <v>274</v>
      </c>
      <c r="F526" t="s">
        <v>289</v>
      </c>
      <c r="G526" s="7">
        <v>7</v>
      </c>
      <c r="H526" s="3">
        <v>29737.040000000001</v>
      </c>
      <c r="I526" s="3">
        <v>208159.28</v>
      </c>
    </row>
    <row r="527" spans="1:9" x14ac:dyDescent="0.3">
      <c r="A527" s="5" t="s">
        <v>94</v>
      </c>
      <c r="B527" t="s">
        <v>253</v>
      </c>
      <c r="C527" t="s">
        <v>265</v>
      </c>
      <c r="D527" t="s">
        <v>270</v>
      </c>
      <c r="E527" t="s">
        <v>273</v>
      </c>
      <c r="F527" t="s">
        <v>288</v>
      </c>
      <c r="G527" s="7">
        <v>7</v>
      </c>
      <c r="H527" s="3">
        <v>40842.06</v>
      </c>
      <c r="I527" s="3">
        <v>285894.42</v>
      </c>
    </row>
    <row r="528" spans="1:9" x14ac:dyDescent="0.3">
      <c r="A528" s="5" t="s">
        <v>94</v>
      </c>
      <c r="B528" t="s">
        <v>256</v>
      </c>
      <c r="C528" t="s">
        <v>261</v>
      </c>
      <c r="D528" t="s">
        <v>270</v>
      </c>
      <c r="E528" t="s">
        <v>273</v>
      </c>
      <c r="F528" t="s">
        <v>283</v>
      </c>
      <c r="G528" s="7">
        <v>9</v>
      </c>
      <c r="H528" s="3">
        <v>56240.42</v>
      </c>
      <c r="I528" s="3">
        <v>506163.78</v>
      </c>
    </row>
    <row r="529" spans="1:9" x14ac:dyDescent="0.3">
      <c r="A529" s="5" t="s">
        <v>94</v>
      </c>
      <c r="B529" t="s">
        <v>258</v>
      </c>
      <c r="C529" t="s">
        <v>262</v>
      </c>
      <c r="D529" t="s">
        <v>266</v>
      </c>
      <c r="E529" t="s">
        <v>274</v>
      </c>
      <c r="F529" t="s">
        <v>289</v>
      </c>
      <c r="G529" s="7">
        <v>1</v>
      </c>
      <c r="H529" s="3">
        <v>35166.410000000003</v>
      </c>
      <c r="I529" s="3">
        <v>35166.410000000003</v>
      </c>
    </row>
    <row r="530" spans="1:9" x14ac:dyDescent="0.3">
      <c r="A530" s="5" t="s">
        <v>94</v>
      </c>
      <c r="B530" t="s">
        <v>258</v>
      </c>
      <c r="C530" t="s">
        <v>262</v>
      </c>
      <c r="D530" t="s">
        <v>268</v>
      </c>
      <c r="E530" t="s">
        <v>273</v>
      </c>
      <c r="F530" t="s">
        <v>283</v>
      </c>
      <c r="G530" s="7">
        <v>6</v>
      </c>
      <c r="H530" s="3">
        <v>46007.78</v>
      </c>
      <c r="I530" s="3">
        <v>276046.68</v>
      </c>
    </row>
    <row r="531" spans="1:9" x14ac:dyDescent="0.3">
      <c r="A531" s="5" t="s">
        <v>94</v>
      </c>
      <c r="B531" t="s">
        <v>258</v>
      </c>
      <c r="C531" t="s">
        <v>261</v>
      </c>
      <c r="D531" t="s">
        <v>268</v>
      </c>
      <c r="E531" t="s">
        <v>271</v>
      </c>
      <c r="F531" t="s">
        <v>282</v>
      </c>
      <c r="G531" s="7">
        <v>6</v>
      </c>
      <c r="H531" s="3">
        <v>8204.76</v>
      </c>
      <c r="I531" s="3">
        <v>49228.56</v>
      </c>
    </row>
    <row r="532" spans="1:9" x14ac:dyDescent="0.3">
      <c r="A532" s="5" t="s">
        <v>94</v>
      </c>
      <c r="B532" t="s">
        <v>260</v>
      </c>
      <c r="C532" t="s">
        <v>264</v>
      </c>
      <c r="D532" t="s">
        <v>267</v>
      </c>
      <c r="E532" t="s">
        <v>271</v>
      </c>
      <c r="F532" t="s">
        <v>281</v>
      </c>
      <c r="G532" s="7">
        <v>6</v>
      </c>
      <c r="H532" s="3">
        <v>9278.33</v>
      </c>
      <c r="I532" s="3">
        <v>55669.98</v>
      </c>
    </row>
    <row r="533" spans="1:9" x14ac:dyDescent="0.3">
      <c r="A533" s="5" t="s">
        <v>95</v>
      </c>
      <c r="B533" t="s">
        <v>257</v>
      </c>
      <c r="C533" t="s">
        <v>262</v>
      </c>
      <c r="D533" t="s">
        <v>266</v>
      </c>
      <c r="E533" t="s">
        <v>273</v>
      </c>
      <c r="F533" t="s">
        <v>288</v>
      </c>
      <c r="G533" s="7">
        <v>6</v>
      </c>
      <c r="H533" s="3">
        <v>39142.68</v>
      </c>
      <c r="I533" s="3">
        <v>234856.08</v>
      </c>
    </row>
    <row r="534" spans="1:9" x14ac:dyDescent="0.3">
      <c r="A534" s="5" t="s">
        <v>95</v>
      </c>
      <c r="B534" t="s">
        <v>260</v>
      </c>
      <c r="C534" t="s">
        <v>263</v>
      </c>
      <c r="D534" t="s">
        <v>267</v>
      </c>
      <c r="E534" t="s">
        <v>274</v>
      </c>
      <c r="F534" t="s">
        <v>280</v>
      </c>
      <c r="G534" s="7">
        <v>7</v>
      </c>
      <c r="H534" s="3">
        <v>28411.919999999998</v>
      </c>
      <c r="I534" s="3">
        <v>198883.44</v>
      </c>
    </row>
    <row r="535" spans="1:9" x14ac:dyDescent="0.3">
      <c r="A535" s="5" t="s">
        <v>95</v>
      </c>
      <c r="B535" t="s">
        <v>260</v>
      </c>
      <c r="C535" t="s">
        <v>262</v>
      </c>
      <c r="D535" t="s">
        <v>266</v>
      </c>
      <c r="E535" t="s">
        <v>274</v>
      </c>
      <c r="F535" t="s">
        <v>284</v>
      </c>
      <c r="G535" s="7">
        <v>6</v>
      </c>
      <c r="H535" s="3">
        <v>27620.57</v>
      </c>
      <c r="I535" s="3">
        <v>165723.42000000001</v>
      </c>
    </row>
    <row r="536" spans="1:9" x14ac:dyDescent="0.3">
      <c r="A536" s="5" t="s">
        <v>95</v>
      </c>
      <c r="B536" t="s">
        <v>256</v>
      </c>
      <c r="C536" t="s">
        <v>264</v>
      </c>
      <c r="D536" t="s">
        <v>269</v>
      </c>
      <c r="E536" t="s">
        <v>273</v>
      </c>
      <c r="F536" t="s">
        <v>283</v>
      </c>
      <c r="G536" s="7">
        <v>1</v>
      </c>
      <c r="H536" s="3">
        <v>47235.06</v>
      </c>
      <c r="I536" s="3">
        <v>47235.06</v>
      </c>
    </row>
    <row r="537" spans="1:9" x14ac:dyDescent="0.3">
      <c r="A537" s="5" t="s">
        <v>95</v>
      </c>
      <c r="B537" t="s">
        <v>259</v>
      </c>
      <c r="C537" t="s">
        <v>264</v>
      </c>
      <c r="D537" t="s">
        <v>270</v>
      </c>
      <c r="E537" t="s">
        <v>272</v>
      </c>
      <c r="F537" t="s">
        <v>286</v>
      </c>
      <c r="G537" s="7">
        <v>3</v>
      </c>
      <c r="H537" s="3">
        <v>30526.79</v>
      </c>
      <c r="I537" s="3">
        <v>91580.37</v>
      </c>
    </row>
    <row r="538" spans="1:9" x14ac:dyDescent="0.3">
      <c r="A538" s="5" t="s">
        <v>95</v>
      </c>
      <c r="B538" t="s">
        <v>257</v>
      </c>
      <c r="C538" t="s">
        <v>263</v>
      </c>
      <c r="D538" t="s">
        <v>269</v>
      </c>
      <c r="E538" t="s">
        <v>271</v>
      </c>
      <c r="F538" t="s">
        <v>282</v>
      </c>
      <c r="G538" s="7">
        <v>2</v>
      </c>
      <c r="H538" s="3">
        <v>7437.43</v>
      </c>
      <c r="I538" s="3">
        <v>14874.86</v>
      </c>
    </row>
    <row r="539" spans="1:9" x14ac:dyDescent="0.3">
      <c r="A539" s="5" t="s">
        <v>96</v>
      </c>
      <c r="B539" t="s">
        <v>253</v>
      </c>
      <c r="C539" t="s">
        <v>262</v>
      </c>
      <c r="D539" t="s">
        <v>266</v>
      </c>
      <c r="E539" t="s">
        <v>272</v>
      </c>
      <c r="F539" t="s">
        <v>276</v>
      </c>
      <c r="G539" s="7">
        <v>6</v>
      </c>
      <c r="H539" s="3">
        <v>31877.71</v>
      </c>
      <c r="I539" s="3">
        <v>191266.26</v>
      </c>
    </row>
    <row r="540" spans="1:9" x14ac:dyDescent="0.3">
      <c r="A540" s="5" t="s">
        <v>96</v>
      </c>
      <c r="B540" t="s">
        <v>255</v>
      </c>
      <c r="C540" t="s">
        <v>264</v>
      </c>
      <c r="D540" t="s">
        <v>270</v>
      </c>
      <c r="E540" t="s">
        <v>274</v>
      </c>
      <c r="F540" t="s">
        <v>280</v>
      </c>
      <c r="G540" s="7">
        <v>8</v>
      </c>
      <c r="H540" s="3">
        <v>30149.06</v>
      </c>
      <c r="I540" s="3">
        <v>241192.48</v>
      </c>
    </row>
    <row r="541" spans="1:9" x14ac:dyDescent="0.3">
      <c r="A541" s="5" t="s">
        <v>96</v>
      </c>
      <c r="B541" t="s">
        <v>258</v>
      </c>
      <c r="C541" t="s">
        <v>261</v>
      </c>
      <c r="D541" t="s">
        <v>268</v>
      </c>
      <c r="E541" t="s">
        <v>274</v>
      </c>
      <c r="F541" t="s">
        <v>284</v>
      </c>
      <c r="G541" s="7">
        <v>3</v>
      </c>
      <c r="H541" s="3">
        <v>35970.58</v>
      </c>
      <c r="I541" s="3">
        <v>107911.74</v>
      </c>
    </row>
    <row r="542" spans="1:9" x14ac:dyDescent="0.3">
      <c r="A542" s="5" t="s">
        <v>96</v>
      </c>
      <c r="B542" t="s">
        <v>253</v>
      </c>
      <c r="C542" t="s">
        <v>265</v>
      </c>
      <c r="D542" t="s">
        <v>268</v>
      </c>
      <c r="E542" t="s">
        <v>272</v>
      </c>
      <c r="F542" t="s">
        <v>277</v>
      </c>
      <c r="G542" s="7">
        <v>8</v>
      </c>
      <c r="H542" s="3">
        <v>34797.25</v>
      </c>
      <c r="I542" s="3">
        <v>278378</v>
      </c>
    </row>
    <row r="543" spans="1:9" x14ac:dyDescent="0.3">
      <c r="A543" s="5" t="s">
        <v>96</v>
      </c>
      <c r="B543" t="s">
        <v>258</v>
      </c>
      <c r="C543" t="s">
        <v>265</v>
      </c>
      <c r="D543" t="s">
        <v>267</v>
      </c>
      <c r="E543" t="s">
        <v>273</v>
      </c>
      <c r="F543" t="s">
        <v>283</v>
      </c>
      <c r="G543" s="7">
        <v>8</v>
      </c>
      <c r="H543" s="3">
        <v>50689.91</v>
      </c>
      <c r="I543" s="3">
        <v>405519.28</v>
      </c>
    </row>
    <row r="544" spans="1:9" x14ac:dyDescent="0.3">
      <c r="A544" s="5" t="s">
        <v>96</v>
      </c>
      <c r="B544" t="s">
        <v>256</v>
      </c>
      <c r="C544" t="s">
        <v>265</v>
      </c>
      <c r="D544" t="s">
        <v>266</v>
      </c>
      <c r="E544" t="s">
        <v>272</v>
      </c>
      <c r="F544" t="s">
        <v>290</v>
      </c>
      <c r="G544" s="7">
        <v>5</v>
      </c>
      <c r="H544" s="3">
        <v>33691.760000000002</v>
      </c>
      <c r="I544" s="3">
        <v>168458.8</v>
      </c>
    </row>
    <row r="545" spans="1:9" x14ac:dyDescent="0.3">
      <c r="A545" s="5" t="s">
        <v>97</v>
      </c>
      <c r="B545" t="s">
        <v>258</v>
      </c>
      <c r="C545" t="s">
        <v>262</v>
      </c>
      <c r="D545" t="s">
        <v>266</v>
      </c>
      <c r="E545" t="s">
        <v>272</v>
      </c>
      <c r="F545" t="s">
        <v>277</v>
      </c>
      <c r="G545" s="7">
        <v>8</v>
      </c>
      <c r="H545" s="3">
        <v>34419.82</v>
      </c>
      <c r="I545" s="3">
        <v>275358.56</v>
      </c>
    </row>
    <row r="546" spans="1:9" x14ac:dyDescent="0.3">
      <c r="A546" s="5" t="s">
        <v>97</v>
      </c>
      <c r="B546" t="s">
        <v>260</v>
      </c>
      <c r="C546" t="s">
        <v>263</v>
      </c>
      <c r="D546" t="s">
        <v>268</v>
      </c>
      <c r="E546" t="s">
        <v>271</v>
      </c>
      <c r="F546" t="s">
        <v>285</v>
      </c>
      <c r="G546" s="7">
        <v>6</v>
      </c>
      <c r="H546" s="3">
        <v>8879.9500000000007</v>
      </c>
      <c r="I546" s="3">
        <v>53279.7</v>
      </c>
    </row>
    <row r="547" spans="1:9" x14ac:dyDescent="0.3">
      <c r="A547" s="5" t="s">
        <v>97</v>
      </c>
      <c r="B547" t="s">
        <v>257</v>
      </c>
      <c r="C547" t="s">
        <v>264</v>
      </c>
      <c r="D547" t="s">
        <v>269</v>
      </c>
      <c r="E547" t="s">
        <v>271</v>
      </c>
      <c r="F547" t="s">
        <v>285</v>
      </c>
      <c r="G547" s="7">
        <v>5</v>
      </c>
      <c r="H547" s="3">
        <v>9612.9</v>
      </c>
      <c r="I547" s="3">
        <v>48064.5</v>
      </c>
    </row>
    <row r="548" spans="1:9" x14ac:dyDescent="0.3">
      <c r="A548" s="5" t="s">
        <v>97</v>
      </c>
      <c r="B548" t="s">
        <v>255</v>
      </c>
      <c r="C548" t="s">
        <v>261</v>
      </c>
      <c r="D548" t="s">
        <v>270</v>
      </c>
      <c r="E548" t="s">
        <v>272</v>
      </c>
      <c r="F548" t="s">
        <v>277</v>
      </c>
      <c r="G548" s="7">
        <v>9</v>
      </c>
      <c r="H548" s="3">
        <v>33342.06</v>
      </c>
      <c r="I548" s="3">
        <v>300078.53999999998</v>
      </c>
    </row>
    <row r="549" spans="1:9" x14ac:dyDescent="0.3">
      <c r="A549" s="5" t="s">
        <v>97</v>
      </c>
      <c r="B549" t="s">
        <v>254</v>
      </c>
      <c r="C549" t="s">
        <v>261</v>
      </c>
      <c r="D549" t="s">
        <v>269</v>
      </c>
      <c r="E549" t="s">
        <v>272</v>
      </c>
      <c r="F549" t="s">
        <v>277</v>
      </c>
      <c r="G549" s="7">
        <v>7</v>
      </c>
      <c r="H549" s="3">
        <v>27794.02</v>
      </c>
      <c r="I549" s="3">
        <v>194558.14</v>
      </c>
    </row>
    <row r="550" spans="1:9" x14ac:dyDescent="0.3">
      <c r="A550" s="5" t="s">
        <v>97</v>
      </c>
      <c r="B550" t="s">
        <v>258</v>
      </c>
      <c r="C550" t="s">
        <v>262</v>
      </c>
      <c r="D550" t="s">
        <v>269</v>
      </c>
      <c r="E550" t="s">
        <v>274</v>
      </c>
      <c r="F550" t="s">
        <v>289</v>
      </c>
      <c r="G550" s="7">
        <v>8</v>
      </c>
      <c r="H550" s="3">
        <v>30545.89</v>
      </c>
      <c r="I550" s="3">
        <v>244367.12</v>
      </c>
    </row>
    <row r="551" spans="1:9" x14ac:dyDescent="0.3">
      <c r="A551" s="5" t="s">
        <v>97</v>
      </c>
      <c r="B551" t="s">
        <v>253</v>
      </c>
      <c r="C551" t="s">
        <v>265</v>
      </c>
      <c r="D551" t="s">
        <v>268</v>
      </c>
      <c r="E551" t="s">
        <v>271</v>
      </c>
      <c r="F551" t="s">
        <v>282</v>
      </c>
      <c r="G551" s="7">
        <v>1</v>
      </c>
      <c r="H551" s="3">
        <v>10443.44</v>
      </c>
      <c r="I551" s="3">
        <v>10443.44</v>
      </c>
    </row>
    <row r="552" spans="1:9" x14ac:dyDescent="0.3">
      <c r="A552" s="5" t="s">
        <v>98</v>
      </c>
      <c r="B552" t="s">
        <v>260</v>
      </c>
      <c r="C552" t="s">
        <v>262</v>
      </c>
      <c r="D552" t="s">
        <v>268</v>
      </c>
      <c r="E552" t="s">
        <v>271</v>
      </c>
      <c r="F552" t="s">
        <v>275</v>
      </c>
      <c r="G552" s="7">
        <v>2</v>
      </c>
      <c r="H552" s="3">
        <v>9694.43</v>
      </c>
      <c r="I552" s="3">
        <v>19388.86</v>
      </c>
    </row>
    <row r="553" spans="1:9" x14ac:dyDescent="0.3">
      <c r="A553" s="5" t="s">
        <v>98</v>
      </c>
      <c r="B553" t="s">
        <v>254</v>
      </c>
      <c r="C553" t="s">
        <v>263</v>
      </c>
      <c r="D553" t="s">
        <v>268</v>
      </c>
      <c r="E553" t="s">
        <v>274</v>
      </c>
      <c r="F553" t="s">
        <v>287</v>
      </c>
      <c r="G553" s="7">
        <v>8</v>
      </c>
      <c r="H553" s="3">
        <v>30011.93</v>
      </c>
      <c r="I553" s="3">
        <v>240095.44</v>
      </c>
    </row>
    <row r="554" spans="1:9" x14ac:dyDescent="0.3">
      <c r="A554" s="5" t="s">
        <v>98</v>
      </c>
      <c r="B554" t="s">
        <v>255</v>
      </c>
      <c r="C554" t="s">
        <v>263</v>
      </c>
      <c r="D554" t="s">
        <v>267</v>
      </c>
      <c r="E554" t="s">
        <v>273</v>
      </c>
      <c r="F554" t="s">
        <v>283</v>
      </c>
      <c r="G554" s="7">
        <v>9</v>
      </c>
      <c r="H554" s="3">
        <v>46333.5</v>
      </c>
      <c r="I554" s="3">
        <v>417001.5</v>
      </c>
    </row>
    <row r="555" spans="1:9" x14ac:dyDescent="0.3">
      <c r="A555" s="5" t="s">
        <v>98</v>
      </c>
      <c r="B555" t="s">
        <v>254</v>
      </c>
      <c r="C555" t="s">
        <v>264</v>
      </c>
      <c r="D555" t="s">
        <v>269</v>
      </c>
      <c r="E555" t="s">
        <v>271</v>
      </c>
      <c r="F555" t="s">
        <v>285</v>
      </c>
      <c r="G555" s="7">
        <v>4</v>
      </c>
      <c r="H555" s="3">
        <v>9932.94</v>
      </c>
      <c r="I555" s="3">
        <v>39731.760000000002</v>
      </c>
    </row>
    <row r="556" spans="1:9" x14ac:dyDescent="0.3">
      <c r="A556" s="5" t="s">
        <v>98</v>
      </c>
      <c r="B556" t="s">
        <v>260</v>
      </c>
      <c r="C556" t="s">
        <v>264</v>
      </c>
      <c r="D556" t="s">
        <v>266</v>
      </c>
      <c r="E556" t="s">
        <v>271</v>
      </c>
      <c r="F556" t="s">
        <v>275</v>
      </c>
      <c r="G556" s="7">
        <v>9</v>
      </c>
      <c r="H556" s="3">
        <v>9085.01</v>
      </c>
      <c r="I556" s="3">
        <v>81765.09</v>
      </c>
    </row>
    <row r="557" spans="1:9" x14ac:dyDescent="0.3">
      <c r="A557" s="5" t="s">
        <v>98</v>
      </c>
      <c r="B557" t="s">
        <v>257</v>
      </c>
      <c r="C557" t="s">
        <v>263</v>
      </c>
      <c r="D557" t="s">
        <v>270</v>
      </c>
      <c r="E557" t="s">
        <v>273</v>
      </c>
      <c r="F557" t="s">
        <v>283</v>
      </c>
      <c r="G557" s="7">
        <v>4</v>
      </c>
      <c r="H557" s="3">
        <v>49949.14</v>
      </c>
      <c r="I557" s="3">
        <v>199796.56</v>
      </c>
    </row>
    <row r="558" spans="1:9" x14ac:dyDescent="0.3">
      <c r="A558" s="5" t="s">
        <v>99</v>
      </c>
      <c r="B558" t="s">
        <v>257</v>
      </c>
      <c r="C558" t="s">
        <v>263</v>
      </c>
      <c r="D558" t="s">
        <v>267</v>
      </c>
      <c r="E558" t="s">
        <v>271</v>
      </c>
      <c r="F558" t="s">
        <v>275</v>
      </c>
      <c r="G558" s="7">
        <v>9</v>
      </c>
      <c r="H558" s="3">
        <v>9787.81</v>
      </c>
      <c r="I558" s="3">
        <v>88090.29</v>
      </c>
    </row>
    <row r="559" spans="1:9" x14ac:dyDescent="0.3">
      <c r="A559" s="5" t="s">
        <v>99</v>
      </c>
      <c r="B559" t="s">
        <v>259</v>
      </c>
      <c r="C559" t="s">
        <v>263</v>
      </c>
      <c r="D559" t="s">
        <v>266</v>
      </c>
      <c r="E559" t="s">
        <v>271</v>
      </c>
      <c r="F559" t="s">
        <v>285</v>
      </c>
      <c r="G559" s="7">
        <v>7</v>
      </c>
      <c r="H559" s="3">
        <v>9339.83</v>
      </c>
      <c r="I559" s="3">
        <v>65378.81</v>
      </c>
    </row>
    <row r="560" spans="1:9" x14ac:dyDescent="0.3">
      <c r="A560" s="5" t="s">
        <v>99</v>
      </c>
      <c r="B560" t="s">
        <v>257</v>
      </c>
      <c r="C560" t="s">
        <v>262</v>
      </c>
      <c r="D560" t="s">
        <v>269</v>
      </c>
      <c r="E560" t="s">
        <v>273</v>
      </c>
      <c r="F560" t="s">
        <v>283</v>
      </c>
      <c r="G560" s="7">
        <v>2</v>
      </c>
      <c r="H560" s="3">
        <v>47971.43</v>
      </c>
      <c r="I560" s="3">
        <v>95942.86</v>
      </c>
    </row>
    <row r="561" spans="1:9" x14ac:dyDescent="0.3">
      <c r="A561" s="5" t="s">
        <v>99</v>
      </c>
      <c r="B561" t="s">
        <v>259</v>
      </c>
      <c r="C561" t="s">
        <v>263</v>
      </c>
      <c r="D561" t="s">
        <v>268</v>
      </c>
      <c r="E561" t="s">
        <v>273</v>
      </c>
      <c r="F561" t="s">
        <v>278</v>
      </c>
      <c r="G561" s="7">
        <v>9</v>
      </c>
      <c r="H561" s="3">
        <v>51743.06</v>
      </c>
      <c r="I561" s="3">
        <v>465687.54</v>
      </c>
    </row>
    <row r="562" spans="1:9" x14ac:dyDescent="0.3">
      <c r="A562" s="5" t="s">
        <v>99</v>
      </c>
      <c r="B562" t="s">
        <v>254</v>
      </c>
      <c r="C562" t="s">
        <v>261</v>
      </c>
      <c r="D562" t="s">
        <v>269</v>
      </c>
      <c r="E562" t="s">
        <v>272</v>
      </c>
      <c r="F562" t="s">
        <v>277</v>
      </c>
      <c r="G562" s="7">
        <v>4</v>
      </c>
      <c r="H562" s="3">
        <v>31948.71</v>
      </c>
      <c r="I562" s="3">
        <v>127794.84</v>
      </c>
    </row>
    <row r="563" spans="1:9" x14ac:dyDescent="0.3">
      <c r="A563" s="5" t="s">
        <v>99</v>
      </c>
      <c r="B563" t="s">
        <v>256</v>
      </c>
      <c r="C563" t="s">
        <v>265</v>
      </c>
      <c r="D563" t="s">
        <v>270</v>
      </c>
      <c r="E563" t="s">
        <v>274</v>
      </c>
      <c r="F563" t="s">
        <v>287</v>
      </c>
      <c r="G563" s="7">
        <v>8</v>
      </c>
      <c r="H563" s="3">
        <v>35262.370000000003</v>
      </c>
      <c r="I563" s="3">
        <v>282098.96000000002</v>
      </c>
    </row>
    <row r="564" spans="1:9" x14ac:dyDescent="0.3">
      <c r="A564" s="5" t="s">
        <v>100</v>
      </c>
      <c r="B564" t="s">
        <v>253</v>
      </c>
      <c r="C564" t="s">
        <v>263</v>
      </c>
      <c r="D564" t="s">
        <v>267</v>
      </c>
      <c r="E564" t="s">
        <v>274</v>
      </c>
      <c r="F564" t="s">
        <v>289</v>
      </c>
      <c r="G564" s="7">
        <v>7</v>
      </c>
      <c r="H564" s="3">
        <v>31805.3</v>
      </c>
      <c r="I564" s="3">
        <v>222637.1</v>
      </c>
    </row>
    <row r="565" spans="1:9" x14ac:dyDescent="0.3">
      <c r="A565" s="5" t="s">
        <v>100</v>
      </c>
      <c r="B565" t="s">
        <v>253</v>
      </c>
      <c r="C565" t="s">
        <v>265</v>
      </c>
      <c r="D565" t="s">
        <v>267</v>
      </c>
      <c r="E565" t="s">
        <v>273</v>
      </c>
      <c r="F565" t="s">
        <v>279</v>
      </c>
      <c r="G565" s="7">
        <v>7</v>
      </c>
      <c r="H565" s="3">
        <v>45554.62</v>
      </c>
      <c r="I565" s="3">
        <v>318882.34000000003</v>
      </c>
    </row>
    <row r="566" spans="1:9" x14ac:dyDescent="0.3">
      <c r="A566" s="5" t="s">
        <v>100</v>
      </c>
      <c r="B566" t="s">
        <v>254</v>
      </c>
      <c r="C566" t="s">
        <v>262</v>
      </c>
      <c r="D566" t="s">
        <v>270</v>
      </c>
      <c r="E566" t="s">
        <v>273</v>
      </c>
      <c r="F566" t="s">
        <v>279</v>
      </c>
      <c r="G566" s="7">
        <v>8</v>
      </c>
      <c r="H566" s="3">
        <v>55717.89</v>
      </c>
      <c r="I566" s="3">
        <v>445743.12</v>
      </c>
    </row>
    <row r="567" spans="1:9" x14ac:dyDescent="0.3">
      <c r="A567" s="5" t="s">
        <v>100</v>
      </c>
      <c r="B567" t="s">
        <v>258</v>
      </c>
      <c r="C567" t="s">
        <v>265</v>
      </c>
      <c r="D567" t="s">
        <v>266</v>
      </c>
      <c r="E567" t="s">
        <v>271</v>
      </c>
      <c r="F567" t="s">
        <v>282</v>
      </c>
      <c r="G567" s="7">
        <v>1</v>
      </c>
      <c r="H567" s="3">
        <v>7607.11</v>
      </c>
      <c r="I567" s="3">
        <v>7607.11</v>
      </c>
    </row>
    <row r="568" spans="1:9" x14ac:dyDescent="0.3">
      <c r="A568" s="5" t="s">
        <v>100</v>
      </c>
      <c r="B568" t="s">
        <v>258</v>
      </c>
      <c r="C568" t="s">
        <v>262</v>
      </c>
      <c r="D568" t="s">
        <v>266</v>
      </c>
      <c r="E568" t="s">
        <v>272</v>
      </c>
      <c r="F568" t="s">
        <v>286</v>
      </c>
      <c r="G568" s="7">
        <v>5</v>
      </c>
      <c r="H568" s="3">
        <v>26807.26</v>
      </c>
      <c r="I568" s="3">
        <v>134036.29999999999</v>
      </c>
    </row>
    <row r="569" spans="1:9" x14ac:dyDescent="0.3">
      <c r="A569" s="5" t="s">
        <v>100</v>
      </c>
      <c r="B569" t="s">
        <v>257</v>
      </c>
      <c r="C569" t="s">
        <v>261</v>
      </c>
      <c r="D569" t="s">
        <v>267</v>
      </c>
      <c r="E569" t="s">
        <v>272</v>
      </c>
      <c r="F569" t="s">
        <v>277</v>
      </c>
      <c r="G569" s="7">
        <v>2</v>
      </c>
      <c r="H569" s="3">
        <v>29314.9</v>
      </c>
      <c r="I569" s="3">
        <v>58629.8</v>
      </c>
    </row>
    <row r="570" spans="1:9" x14ac:dyDescent="0.3">
      <c r="A570" s="5" t="s">
        <v>101</v>
      </c>
      <c r="B570" t="s">
        <v>253</v>
      </c>
      <c r="C570" t="s">
        <v>262</v>
      </c>
      <c r="D570" t="s">
        <v>267</v>
      </c>
      <c r="E570" t="s">
        <v>273</v>
      </c>
      <c r="F570" t="s">
        <v>283</v>
      </c>
      <c r="G570" s="7">
        <v>2</v>
      </c>
      <c r="H570" s="3">
        <v>53311.13</v>
      </c>
      <c r="I570" s="3">
        <v>106622.26</v>
      </c>
    </row>
    <row r="571" spans="1:9" x14ac:dyDescent="0.3">
      <c r="A571" s="5" t="s">
        <v>101</v>
      </c>
      <c r="B571" t="s">
        <v>253</v>
      </c>
      <c r="C571" t="s">
        <v>262</v>
      </c>
      <c r="D571" t="s">
        <v>268</v>
      </c>
      <c r="E571" t="s">
        <v>271</v>
      </c>
      <c r="F571" t="s">
        <v>285</v>
      </c>
      <c r="G571" s="7">
        <v>1</v>
      </c>
      <c r="H571" s="3">
        <v>7781.5</v>
      </c>
      <c r="I571" s="3">
        <v>7781.5</v>
      </c>
    </row>
    <row r="572" spans="1:9" x14ac:dyDescent="0.3">
      <c r="A572" s="5" t="s">
        <v>101</v>
      </c>
      <c r="B572" t="s">
        <v>259</v>
      </c>
      <c r="C572" t="s">
        <v>264</v>
      </c>
      <c r="D572" t="s">
        <v>266</v>
      </c>
      <c r="E572" t="s">
        <v>271</v>
      </c>
      <c r="F572" t="s">
        <v>285</v>
      </c>
      <c r="G572" s="7">
        <v>5</v>
      </c>
      <c r="H572" s="3">
        <v>8166.65</v>
      </c>
      <c r="I572" s="3">
        <v>40833.25</v>
      </c>
    </row>
    <row r="573" spans="1:9" x14ac:dyDescent="0.3">
      <c r="A573" s="5" t="s">
        <v>101</v>
      </c>
      <c r="B573" t="s">
        <v>256</v>
      </c>
      <c r="C573" t="s">
        <v>263</v>
      </c>
      <c r="D573" t="s">
        <v>270</v>
      </c>
      <c r="E573" t="s">
        <v>274</v>
      </c>
      <c r="F573" t="s">
        <v>287</v>
      </c>
      <c r="G573" s="7">
        <v>2</v>
      </c>
      <c r="H573" s="3">
        <v>28042.22</v>
      </c>
      <c r="I573" s="3">
        <v>56084.44</v>
      </c>
    </row>
    <row r="574" spans="1:9" x14ac:dyDescent="0.3">
      <c r="A574" s="5" t="s">
        <v>101</v>
      </c>
      <c r="B574" t="s">
        <v>260</v>
      </c>
      <c r="C574" t="s">
        <v>263</v>
      </c>
      <c r="D574" t="s">
        <v>266</v>
      </c>
      <c r="E574" t="s">
        <v>274</v>
      </c>
      <c r="F574" t="s">
        <v>289</v>
      </c>
      <c r="G574" s="7">
        <v>4</v>
      </c>
      <c r="H574" s="3">
        <v>36236.61</v>
      </c>
      <c r="I574" s="3">
        <v>144946.44</v>
      </c>
    </row>
    <row r="575" spans="1:9" x14ac:dyDescent="0.3">
      <c r="A575" s="5" t="s">
        <v>101</v>
      </c>
      <c r="B575" t="s">
        <v>258</v>
      </c>
      <c r="C575" t="s">
        <v>261</v>
      </c>
      <c r="D575" t="s">
        <v>268</v>
      </c>
      <c r="E575" t="s">
        <v>271</v>
      </c>
      <c r="F575" t="s">
        <v>285</v>
      </c>
      <c r="G575" s="7">
        <v>3</v>
      </c>
      <c r="H575" s="3">
        <v>8034.91</v>
      </c>
      <c r="I575" s="3">
        <v>24104.73</v>
      </c>
    </row>
    <row r="576" spans="1:9" x14ac:dyDescent="0.3">
      <c r="A576" s="5" t="s">
        <v>102</v>
      </c>
      <c r="B576" t="s">
        <v>253</v>
      </c>
      <c r="C576" t="s">
        <v>261</v>
      </c>
      <c r="D576" t="s">
        <v>267</v>
      </c>
      <c r="E576" t="s">
        <v>274</v>
      </c>
      <c r="F576" t="s">
        <v>287</v>
      </c>
      <c r="G576" s="7">
        <v>3</v>
      </c>
      <c r="H576" s="3">
        <v>32175.040000000001</v>
      </c>
      <c r="I576" s="3">
        <v>96525.119999999995</v>
      </c>
    </row>
    <row r="577" spans="1:9" x14ac:dyDescent="0.3">
      <c r="A577" s="5" t="s">
        <v>102</v>
      </c>
      <c r="B577" t="s">
        <v>259</v>
      </c>
      <c r="C577" t="s">
        <v>263</v>
      </c>
      <c r="D577" t="s">
        <v>267</v>
      </c>
      <c r="E577" t="s">
        <v>273</v>
      </c>
      <c r="F577" t="s">
        <v>288</v>
      </c>
      <c r="G577" s="7">
        <v>2</v>
      </c>
      <c r="H577" s="3">
        <v>46236.63</v>
      </c>
      <c r="I577" s="3">
        <v>92473.26</v>
      </c>
    </row>
    <row r="578" spans="1:9" x14ac:dyDescent="0.3">
      <c r="A578" s="5" t="s">
        <v>102</v>
      </c>
      <c r="B578" t="s">
        <v>255</v>
      </c>
      <c r="C578" t="s">
        <v>264</v>
      </c>
      <c r="D578" t="s">
        <v>268</v>
      </c>
      <c r="E578" t="s">
        <v>271</v>
      </c>
      <c r="F578" t="s">
        <v>281</v>
      </c>
      <c r="G578" s="7">
        <v>6</v>
      </c>
      <c r="H578" s="3">
        <v>10255.469999999999</v>
      </c>
      <c r="I578" s="3">
        <v>61532.82</v>
      </c>
    </row>
    <row r="579" spans="1:9" x14ac:dyDescent="0.3">
      <c r="A579" s="5" t="s">
        <v>102</v>
      </c>
      <c r="B579" t="s">
        <v>259</v>
      </c>
      <c r="C579" t="s">
        <v>263</v>
      </c>
      <c r="D579" t="s">
        <v>270</v>
      </c>
      <c r="E579" t="s">
        <v>274</v>
      </c>
      <c r="F579" t="s">
        <v>287</v>
      </c>
      <c r="G579" s="7">
        <v>2</v>
      </c>
      <c r="H579" s="3">
        <v>32465.03</v>
      </c>
      <c r="I579" s="3">
        <v>64930.06</v>
      </c>
    </row>
    <row r="580" spans="1:9" x14ac:dyDescent="0.3">
      <c r="A580" s="5" t="s">
        <v>102</v>
      </c>
      <c r="B580" t="s">
        <v>258</v>
      </c>
      <c r="C580" t="s">
        <v>264</v>
      </c>
      <c r="D580" t="s">
        <v>267</v>
      </c>
      <c r="E580" t="s">
        <v>272</v>
      </c>
      <c r="F580" t="s">
        <v>277</v>
      </c>
      <c r="G580" s="7">
        <v>8</v>
      </c>
      <c r="H580" s="3">
        <v>25426.52</v>
      </c>
      <c r="I580" s="3">
        <v>203412.16</v>
      </c>
    </row>
    <row r="581" spans="1:9" x14ac:dyDescent="0.3">
      <c r="A581" s="5" t="s">
        <v>102</v>
      </c>
      <c r="B581" t="s">
        <v>258</v>
      </c>
      <c r="C581" t="s">
        <v>261</v>
      </c>
      <c r="D581" t="s">
        <v>269</v>
      </c>
      <c r="E581" t="s">
        <v>271</v>
      </c>
      <c r="F581" t="s">
        <v>285</v>
      </c>
      <c r="G581" s="7">
        <v>8</v>
      </c>
      <c r="H581" s="3">
        <v>9007.67</v>
      </c>
      <c r="I581" s="3">
        <v>72061.36</v>
      </c>
    </row>
    <row r="582" spans="1:9" x14ac:dyDescent="0.3">
      <c r="A582" s="5" t="s">
        <v>103</v>
      </c>
      <c r="B582" t="s">
        <v>259</v>
      </c>
      <c r="C582" t="s">
        <v>265</v>
      </c>
      <c r="D582" t="s">
        <v>267</v>
      </c>
      <c r="E582" t="s">
        <v>271</v>
      </c>
      <c r="F582" t="s">
        <v>285</v>
      </c>
      <c r="G582" s="7">
        <v>5</v>
      </c>
      <c r="H582" s="3">
        <v>10499.06</v>
      </c>
      <c r="I582" s="3">
        <v>52495.3</v>
      </c>
    </row>
    <row r="583" spans="1:9" x14ac:dyDescent="0.3">
      <c r="A583" s="5" t="s">
        <v>103</v>
      </c>
      <c r="B583" t="s">
        <v>260</v>
      </c>
      <c r="C583" t="s">
        <v>261</v>
      </c>
      <c r="D583" t="s">
        <v>269</v>
      </c>
      <c r="E583" t="s">
        <v>272</v>
      </c>
      <c r="F583" t="s">
        <v>286</v>
      </c>
      <c r="G583" s="7">
        <v>7</v>
      </c>
      <c r="H583" s="3">
        <v>30606.080000000002</v>
      </c>
      <c r="I583" s="3">
        <v>214242.56</v>
      </c>
    </row>
    <row r="584" spans="1:9" x14ac:dyDescent="0.3">
      <c r="A584" s="5" t="s">
        <v>103</v>
      </c>
      <c r="B584" t="s">
        <v>254</v>
      </c>
      <c r="C584" t="s">
        <v>261</v>
      </c>
      <c r="D584" t="s">
        <v>268</v>
      </c>
      <c r="E584" t="s">
        <v>273</v>
      </c>
      <c r="F584" t="s">
        <v>279</v>
      </c>
      <c r="G584" s="7">
        <v>4</v>
      </c>
      <c r="H584" s="3">
        <v>55950.97</v>
      </c>
      <c r="I584" s="3">
        <v>223803.88</v>
      </c>
    </row>
    <row r="585" spans="1:9" x14ac:dyDescent="0.3">
      <c r="A585" s="5" t="s">
        <v>103</v>
      </c>
      <c r="B585" t="s">
        <v>258</v>
      </c>
      <c r="C585" t="s">
        <v>262</v>
      </c>
      <c r="D585" t="s">
        <v>268</v>
      </c>
      <c r="E585" t="s">
        <v>272</v>
      </c>
      <c r="F585" t="s">
        <v>277</v>
      </c>
      <c r="G585" s="7">
        <v>1</v>
      </c>
      <c r="H585" s="3">
        <v>33220.400000000001</v>
      </c>
      <c r="I585" s="3">
        <v>33220.400000000001</v>
      </c>
    </row>
    <row r="586" spans="1:9" x14ac:dyDescent="0.3">
      <c r="A586" s="5" t="s">
        <v>103</v>
      </c>
      <c r="B586" t="s">
        <v>259</v>
      </c>
      <c r="C586" t="s">
        <v>262</v>
      </c>
      <c r="D586" t="s">
        <v>267</v>
      </c>
      <c r="E586" t="s">
        <v>271</v>
      </c>
      <c r="F586" t="s">
        <v>282</v>
      </c>
      <c r="G586" s="7">
        <v>2</v>
      </c>
      <c r="H586" s="3">
        <v>7347.28</v>
      </c>
      <c r="I586" s="3">
        <v>14694.56</v>
      </c>
    </row>
    <row r="587" spans="1:9" x14ac:dyDescent="0.3">
      <c r="A587" s="5" t="s">
        <v>103</v>
      </c>
      <c r="B587" t="s">
        <v>253</v>
      </c>
      <c r="C587" t="s">
        <v>262</v>
      </c>
      <c r="D587" t="s">
        <v>266</v>
      </c>
      <c r="E587" t="s">
        <v>273</v>
      </c>
      <c r="F587" t="s">
        <v>278</v>
      </c>
      <c r="G587" s="7">
        <v>4</v>
      </c>
      <c r="H587" s="3">
        <v>50101.19</v>
      </c>
      <c r="I587" s="3">
        <v>200404.76</v>
      </c>
    </row>
    <row r="588" spans="1:9" x14ac:dyDescent="0.3">
      <c r="A588" s="5" t="s">
        <v>103</v>
      </c>
      <c r="B588" t="s">
        <v>259</v>
      </c>
      <c r="C588" t="s">
        <v>262</v>
      </c>
      <c r="D588" t="s">
        <v>269</v>
      </c>
      <c r="E588" t="s">
        <v>274</v>
      </c>
      <c r="F588" t="s">
        <v>284</v>
      </c>
      <c r="G588" s="7">
        <v>1</v>
      </c>
      <c r="H588" s="3">
        <v>30870.62</v>
      </c>
      <c r="I588" s="3">
        <v>30870.62</v>
      </c>
    </row>
    <row r="589" spans="1:9" x14ac:dyDescent="0.3">
      <c r="A589" s="5" t="s">
        <v>104</v>
      </c>
      <c r="B589" t="s">
        <v>256</v>
      </c>
      <c r="C589" t="s">
        <v>264</v>
      </c>
      <c r="D589" t="s">
        <v>270</v>
      </c>
      <c r="E589" t="s">
        <v>274</v>
      </c>
      <c r="F589" t="s">
        <v>287</v>
      </c>
      <c r="G589" s="7">
        <v>8</v>
      </c>
      <c r="H589" s="3">
        <v>34363.1</v>
      </c>
      <c r="I589" s="3">
        <v>274904.8</v>
      </c>
    </row>
    <row r="590" spans="1:9" x14ac:dyDescent="0.3">
      <c r="A590" s="5" t="s">
        <v>104</v>
      </c>
      <c r="B590" t="s">
        <v>254</v>
      </c>
      <c r="C590" t="s">
        <v>263</v>
      </c>
      <c r="D590" t="s">
        <v>267</v>
      </c>
      <c r="E590" t="s">
        <v>274</v>
      </c>
      <c r="F590" t="s">
        <v>280</v>
      </c>
      <c r="G590" s="7">
        <v>9</v>
      </c>
      <c r="H590" s="3">
        <v>30775.62</v>
      </c>
      <c r="I590" s="3">
        <v>276980.58</v>
      </c>
    </row>
    <row r="591" spans="1:9" x14ac:dyDescent="0.3">
      <c r="A591" s="5" t="s">
        <v>104</v>
      </c>
      <c r="B591" t="s">
        <v>255</v>
      </c>
      <c r="C591" t="s">
        <v>265</v>
      </c>
      <c r="D591" t="s">
        <v>270</v>
      </c>
      <c r="E591" t="s">
        <v>271</v>
      </c>
      <c r="F591" t="s">
        <v>275</v>
      </c>
      <c r="G591" s="7">
        <v>4</v>
      </c>
      <c r="H591" s="3">
        <v>8411.16</v>
      </c>
      <c r="I591" s="3">
        <v>33644.639999999999</v>
      </c>
    </row>
    <row r="592" spans="1:9" x14ac:dyDescent="0.3">
      <c r="A592" s="5" t="s">
        <v>104</v>
      </c>
      <c r="B592" t="s">
        <v>260</v>
      </c>
      <c r="C592" t="s">
        <v>261</v>
      </c>
      <c r="D592" t="s">
        <v>267</v>
      </c>
      <c r="E592" t="s">
        <v>272</v>
      </c>
      <c r="F592" t="s">
        <v>277</v>
      </c>
      <c r="G592" s="7">
        <v>3</v>
      </c>
      <c r="H592" s="3">
        <v>34139.49</v>
      </c>
      <c r="I592" s="3">
        <v>102418.47</v>
      </c>
    </row>
    <row r="593" spans="1:9" x14ac:dyDescent="0.3">
      <c r="A593" s="5" t="s">
        <v>104</v>
      </c>
      <c r="B593" t="s">
        <v>257</v>
      </c>
      <c r="C593" t="s">
        <v>264</v>
      </c>
      <c r="D593" t="s">
        <v>266</v>
      </c>
      <c r="E593" t="s">
        <v>273</v>
      </c>
      <c r="F593" t="s">
        <v>283</v>
      </c>
      <c r="G593" s="7">
        <v>2</v>
      </c>
      <c r="H593" s="3">
        <v>41969.58</v>
      </c>
      <c r="I593" s="3">
        <v>83939.16</v>
      </c>
    </row>
    <row r="594" spans="1:9" x14ac:dyDescent="0.3">
      <c r="A594" s="5" t="s">
        <v>104</v>
      </c>
      <c r="B594" t="s">
        <v>255</v>
      </c>
      <c r="C594" t="s">
        <v>265</v>
      </c>
      <c r="D594" t="s">
        <v>266</v>
      </c>
      <c r="E594" t="s">
        <v>274</v>
      </c>
      <c r="F594" t="s">
        <v>287</v>
      </c>
      <c r="G594" s="7">
        <v>5</v>
      </c>
      <c r="H594" s="3">
        <v>38388.6</v>
      </c>
      <c r="I594" s="3">
        <v>191943</v>
      </c>
    </row>
    <row r="595" spans="1:9" x14ac:dyDescent="0.3">
      <c r="A595" s="5" t="s">
        <v>105</v>
      </c>
      <c r="B595" t="s">
        <v>254</v>
      </c>
      <c r="C595" t="s">
        <v>264</v>
      </c>
      <c r="D595" t="s">
        <v>266</v>
      </c>
      <c r="E595" t="s">
        <v>273</v>
      </c>
      <c r="F595" t="s">
        <v>288</v>
      </c>
      <c r="G595" s="7">
        <v>3</v>
      </c>
      <c r="H595" s="3">
        <v>38798.239999999998</v>
      </c>
      <c r="I595" s="3">
        <v>116394.72</v>
      </c>
    </row>
    <row r="596" spans="1:9" x14ac:dyDescent="0.3">
      <c r="A596" s="5" t="s">
        <v>105</v>
      </c>
      <c r="B596" t="s">
        <v>254</v>
      </c>
      <c r="C596" t="s">
        <v>264</v>
      </c>
      <c r="D596" t="s">
        <v>266</v>
      </c>
      <c r="E596" t="s">
        <v>271</v>
      </c>
      <c r="F596" t="s">
        <v>275</v>
      </c>
      <c r="G596" s="7">
        <v>7</v>
      </c>
      <c r="H596" s="3">
        <v>7533.98</v>
      </c>
      <c r="I596" s="3">
        <v>52737.86</v>
      </c>
    </row>
    <row r="597" spans="1:9" x14ac:dyDescent="0.3">
      <c r="A597" s="5" t="s">
        <v>105</v>
      </c>
      <c r="B597" t="s">
        <v>254</v>
      </c>
      <c r="C597" t="s">
        <v>261</v>
      </c>
      <c r="D597" t="s">
        <v>268</v>
      </c>
      <c r="E597" t="s">
        <v>274</v>
      </c>
      <c r="F597" t="s">
        <v>287</v>
      </c>
      <c r="G597" s="7">
        <v>6</v>
      </c>
      <c r="H597" s="3">
        <v>38139.839999999997</v>
      </c>
      <c r="I597" s="3">
        <v>228839.04000000001</v>
      </c>
    </row>
    <row r="598" spans="1:9" x14ac:dyDescent="0.3">
      <c r="A598" s="5" t="s">
        <v>105</v>
      </c>
      <c r="B598" t="s">
        <v>255</v>
      </c>
      <c r="C598" t="s">
        <v>263</v>
      </c>
      <c r="D598" t="s">
        <v>268</v>
      </c>
      <c r="E598" t="s">
        <v>271</v>
      </c>
      <c r="F598" t="s">
        <v>285</v>
      </c>
      <c r="G598" s="7">
        <v>1</v>
      </c>
      <c r="H598" s="3">
        <v>9368.89</v>
      </c>
      <c r="I598" s="3">
        <v>9368.89</v>
      </c>
    </row>
    <row r="599" spans="1:9" x14ac:dyDescent="0.3">
      <c r="A599" s="5" t="s">
        <v>105</v>
      </c>
      <c r="B599" t="s">
        <v>253</v>
      </c>
      <c r="C599" t="s">
        <v>262</v>
      </c>
      <c r="D599" t="s">
        <v>269</v>
      </c>
      <c r="E599" t="s">
        <v>272</v>
      </c>
      <c r="F599" t="s">
        <v>290</v>
      </c>
      <c r="G599" s="7">
        <v>8</v>
      </c>
      <c r="H599" s="3">
        <v>32169.040000000001</v>
      </c>
      <c r="I599" s="3">
        <v>257352.32000000001</v>
      </c>
    </row>
    <row r="600" spans="1:9" x14ac:dyDescent="0.3">
      <c r="A600" s="5" t="s">
        <v>105</v>
      </c>
      <c r="B600" t="s">
        <v>254</v>
      </c>
      <c r="C600" t="s">
        <v>263</v>
      </c>
      <c r="D600" t="s">
        <v>270</v>
      </c>
      <c r="E600" t="s">
        <v>271</v>
      </c>
      <c r="F600" t="s">
        <v>275</v>
      </c>
      <c r="G600" s="7">
        <v>2</v>
      </c>
      <c r="H600" s="3">
        <v>7937.02</v>
      </c>
      <c r="I600" s="3">
        <v>15874.04</v>
      </c>
    </row>
    <row r="601" spans="1:9" x14ac:dyDescent="0.3">
      <c r="A601" s="5" t="s">
        <v>106</v>
      </c>
      <c r="B601" t="s">
        <v>259</v>
      </c>
      <c r="C601" t="s">
        <v>261</v>
      </c>
      <c r="D601" t="s">
        <v>267</v>
      </c>
      <c r="E601" t="s">
        <v>271</v>
      </c>
      <c r="F601" t="s">
        <v>275</v>
      </c>
      <c r="G601" s="7">
        <v>5</v>
      </c>
      <c r="H601" s="3">
        <v>9051.08</v>
      </c>
      <c r="I601" s="3">
        <v>45255.4</v>
      </c>
    </row>
    <row r="602" spans="1:9" x14ac:dyDescent="0.3">
      <c r="A602" s="5" t="s">
        <v>106</v>
      </c>
      <c r="B602" t="s">
        <v>255</v>
      </c>
      <c r="C602" t="s">
        <v>261</v>
      </c>
      <c r="D602" t="s">
        <v>267</v>
      </c>
      <c r="E602" t="s">
        <v>272</v>
      </c>
      <c r="F602" t="s">
        <v>290</v>
      </c>
      <c r="G602" s="7">
        <v>9</v>
      </c>
      <c r="H602" s="3">
        <v>32056.86</v>
      </c>
      <c r="I602" s="3">
        <v>288511.74</v>
      </c>
    </row>
    <row r="603" spans="1:9" x14ac:dyDescent="0.3">
      <c r="A603" s="5" t="s">
        <v>106</v>
      </c>
      <c r="B603" t="s">
        <v>257</v>
      </c>
      <c r="C603" t="s">
        <v>261</v>
      </c>
      <c r="D603" t="s">
        <v>268</v>
      </c>
      <c r="E603" t="s">
        <v>273</v>
      </c>
      <c r="F603" t="s">
        <v>283</v>
      </c>
      <c r="G603" s="7">
        <v>8</v>
      </c>
      <c r="H603" s="3">
        <v>49541.65</v>
      </c>
      <c r="I603" s="3">
        <v>396333.2</v>
      </c>
    </row>
    <row r="604" spans="1:9" x14ac:dyDescent="0.3">
      <c r="A604" s="5" t="s">
        <v>106</v>
      </c>
      <c r="B604" t="s">
        <v>254</v>
      </c>
      <c r="C604" t="s">
        <v>265</v>
      </c>
      <c r="D604" t="s">
        <v>267</v>
      </c>
      <c r="E604" t="s">
        <v>272</v>
      </c>
      <c r="F604" t="s">
        <v>276</v>
      </c>
      <c r="G604" s="7">
        <v>2</v>
      </c>
      <c r="H604" s="3">
        <v>29083.03</v>
      </c>
      <c r="I604" s="3">
        <v>58166.06</v>
      </c>
    </row>
    <row r="605" spans="1:9" x14ac:dyDescent="0.3">
      <c r="A605" s="5" t="s">
        <v>106</v>
      </c>
      <c r="B605" t="s">
        <v>259</v>
      </c>
      <c r="C605" t="s">
        <v>263</v>
      </c>
      <c r="D605" t="s">
        <v>268</v>
      </c>
      <c r="E605" t="s">
        <v>272</v>
      </c>
      <c r="F605" t="s">
        <v>286</v>
      </c>
      <c r="G605" s="7">
        <v>9</v>
      </c>
      <c r="H605" s="3">
        <v>34549.58</v>
      </c>
      <c r="I605" s="3">
        <v>310946.21999999997</v>
      </c>
    </row>
    <row r="606" spans="1:9" x14ac:dyDescent="0.3">
      <c r="A606" s="5" t="s">
        <v>106</v>
      </c>
      <c r="B606" t="s">
        <v>253</v>
      </c>
      <c r="C606" t="s">
        <v>263</v>
      </c>
      <c r="D606" t="s">
        <v>269</v>
      </c>
      <c r="E606" t="s">
        <v>271</v>
      </c>
      <c r="F606" t="s">
        <v>282</v>
      </c>
      <c r="G606" s="7">
        <v>5</v>
      </c>
      <c r="H606" s="3">
        <v>9523.93</v>
      </c>
      <c r="I606" s="3">
        <v>47619.65</v>
      </c>
    </row>
    <row r="607" spans="1:9" x14ac:dyDescent="0.3">
      <c r="A607" s="5" t="s">
        <v>107</v>
      </c>
      <c r="B607" t="s">
        <v>256</v>
      </c>
      <c r="C607" t="s">
        <v>264</v>
      </c>
      <c r="D607" t="s">
        <v>270</v>
      </c>
      <c r="E607" t="s">
        <v>273</v>
      </c>
      <c r="F607" t="s">
        <v>288</v>
      </c>
      <c r="G607" s="7">
        <v>6</v>
      </c>
      <c r="H607" s="3">
        <v>54589.51</v>
      </c>
      <c r="I607" s="3">
        <v>327537.06</v>
      </c>
    </row>
    <row r="608" spans="1:9" x14ac:dyDescent="0.3">
      <c r="A608" s="5" t="s">
        <v>107</v>
      </c>
      <c r="B608" t="s">
        <v>253</v>
      </c>
      <c r="C608" t="s">
        <v>264</v>
      </c>
      <c r="D608" t="s">
        <v>269</v>
      </c>
      <c r="E608" t="s">
        <v>274</v>
      </c>
      <c r="F608" t="s">
        <v>287</v>
      </c>
      <c r="G608" s="7">
        <v>3</v>
      </c>
      <c r="H608" s="3">
        <v>36541.06</v>
      </c>
      <c r="I608" s="3">
        <v>109623.18</v>
      </c>
    </row>
    <row r="609" spans="1:9" x14ac:dyDescent="0.3">
      <c r="A609" s="5" t="s">
        <v>107</v>
      </c>
      <c r="B609" t="s">
        <v>257</v>
      </c>
      <c r="C609" t="s">
        <v>264</v>
      </c>
      <c r="D609" t="s">
        <v>266</v>
      </c>
      <c r="E609" t="s">
        <v>272</v>
      </c>
      <c r="F609" t="s">
        <v>277</v>
      </c>
      <c r="G609" s="7">
        <v>3</v>
      </c>
      <c r="H609" s="3">
        <v>32037.19</v>
      </c>
      <c r="I609" s="3">
        <v>96111.57</v>
      </c>
    </row>
    <row r="610" spans="1:9" x14ac:dyDescent="0.3">
      <c r="A610" s="5" t="s">
        <v>107</v>
      </c>
      <c r="B610" t="s">
        <v>254</v>
      </c>
      <c r="C610" t="s">
        <v>261</v>
      </c>
      <c r="D610" t="s">
        <v>266</v>
      </c>
      <c r="E610" t="s">
        <v>273</v>
      </c>
      <c r="F610" t="s">
        <v>283</v>
      </c>
      <c r="G610" s="7">
        <v>8</v>
      </c>
      <c r="H610" s="3">
        <v>39690.33</v>
      </c>
      <c r="I610" s="3">
        <v>317522.64</v>
      </c>
    </row>
    <row r="611" spans="1:9" x14ac:dyDescent="0.3">
      <c r="A611" s="5" t="s">
        <v>107</v>
      </c>
      <c r="B611" t="s">
        <v>257</v>
      </c>
      <c r="C611" t="s">
        <v>263</v>
      </c>
      <c r="D611" t="s">
        <v>266</v>
      </c>
      <c r="E611" t="s">
        <v>272</v>
      </c>
      <c r="F611" t="s">
        <v>290</v>
      </c>
      <c r="G611" s="7">
        <v>2</v>
      </c>
      <c r="H611" s="3">
        <v>27826</v>
      </c>
      <c r="I611" s="3">
        <v>55652</v>
      </c>
    </row>
    <row r="612" spans="1:9" x14ac:dyDescent="0.3">
      <c r="A612" s="5" t="s">
        <v>107</v>
      </c>
      <c r="B612" t="s">
        <v>255</v>
      </c>
      <c r="C612" t="s">
        <v>261</v>
      </c>
      <c r="D612" t="s">
        <v>269</v>
      </c>
      <c r="E612" t="s">
        <v>272</v>
      </c>
      <c r="F612" t="s">
        <v>276</v>
      </c>
      <c r="G612" s="7">
        <v>2</v>
      </c>
      <c r="H612" s="3">
        <v>33413.74</v>
      </c>
      <c r="I612" s="3">
        <v>66827.48</v>
      </c>
    </row>
    <row r="613" spans="1:9" x14ac:dyDescent="0.3">
      <c r="A613" s="5" t="s">
        <v>108</v>
      </c>
      <c r="B613" t="s">
        <v>258</v>
      </c>
      <c r="C613" t="s">
        <v>265</v>
      </c>
      <c r="D613" t="s">
        <v>267</v>
      </c>
      <c r="E613" t="s">
        <v>272</v>
      </c>
      <c r="F613" t="s">
        <v>277</v>
      </c>
      <c r="G613" s="7">
        <v>5</v>
      </c>
      <c r="H613" s="3">
        <v>26405.16</v>
      </c>
      <c r="I613" s="3">
        <v>132025.79999999999</v>
      </c>
    </row>
    <row r="614" spans="1:9" x14ac:dyDescent="0.3">
      <c r="A614" s="5" t="s">
        <v>108</v>
      </c>
      <c r="B614" t="s">
        <v>254</v>
      </c>
      <c r="C614" t="s">
        <v>264</v>
      </c>
      <c r="D614" t="s">
        <v>270</v>
      </c>
      <c r="E614" t="s">
        <v>272</v>
      </c>
      <c r="F614" t="s">
        <v>276</v>
      </c>
      <c r="G614" s="7">
        <v>6</v>
      </c>
      <c r="H614" s="3">
        <v>25093.67</v>
      </c>
      <c r="I614" s="3">
        <v>150562.01999999999</v>
      </c>
    </row>
    <row r="615" spans="1:9" x14ac:dyDescent="0.3">
      <c r="A615" s="5" t="s">
        <v>108</v>
      </c>
      <c r="B615" t="s">
        <v>258</v>
      </c>
      <c r="C615" t="s">
        <v>261</v>
      </c>
      <c r="D615" t="s">
        <v>266</v>
      </c>
      <c r="E615" t="s">
        <v>271</v>
      </c>
      <c r="F615" t="s">
        <v>285</v>
      </c>
      <c r="G615" s="7">
        <v>2</v>
      </c>
      <c r="H615" s="3">
        <v>8333.76</v>
      </c>
      <c r="I615" s="3">
        <v>16667.52</v>
      </c>
    </row>
    <row r="616" spans="1:9" x14ac:dyDescent="0.3">
      <c r="A616" s="5" t="s">
        <v>108</v>
      </c>
      <c r="B616" t="s">
        <v>259</v>
      </c>
      <c r="C616" t="s">
        <v>261</v>
      </c>
      <c r="D616" t="s">
        <v>266</v>
      </c>
      <c r="E616" t="s">
        <v>273</v>
      </c>
      <c r="F616" t="s">
        <v>278</v>
      </c>
      <c r="G616" s="7">
        <v>5</v>
      </c>
      <c r="H616" s="3">
        <v>42217.88</v>
      </c>
      <c r="I616" s="3">
        <v>211089.4</v>
      </c>
    </row>
    <row r="617" spans="1:9" x14ac:dyDescent="0.3">
      <c r="A617" s="5" t="s">
        <v>108</v>
      </c>
      <c r="B617" t="s">
        <v>256</v>
      </c>
      <c r="C617" t="s">
        <v>265</v>
      </c>
      <c r="D617" t="s">
        <v>266</v>
      </c>
      <c r="E617" t="s">
        <v>273</v>
      </c>
      <c r="F617" t="s">
        <v>278</v>
      </c>
      <c r="G617" s="7">
        <v>7</v>
      </c>
      <c r="H617" s="3">
        <v>54905.19</v>
      </c>
      <c r="I617" s="3">
        <v>384336.33</v>
      </c>
    </row>
    <row r="618" spans="1:9" x14ac:dyDescent="0.3">
      <c r="A618" s="5" t="s">
        <v>108</v>
      </c>
      <c r="B618" t="s">
        <v>260</v>
      </c>
      <c r="C618" t="s">
        <v>262</v>
      </c>
      <c r="D618" t="s">
        <v>270</v>
      </c>
      <c r="E618" t="s">
        <v>273</v>
      </c>
      <c r="F618" t="s">
        <v>288</v>
      </c>
      <c r="G618" s="7">
        <v>8</v>
      </c>
      <c r="H618" s="3">
        <v>53873.4</v>
      </c>
      <c r="I618" s="3">
        <v>430987.2</v>
      </c>
    </row>
    <row r="619" spans="1:9" x14ac:dyDescent="0.3">
      <c r="A619" s="5" t="s">
        <v>109</v>
      </c>
      <c r="B619" t="s">
        <v>257</v>
      </c>
      <c r="C619" t="s">
        <v>263</v>
      </c>
      <c r="D619" t="s">
        <v>266</v>
      </c>
      <c r="E619" t="s">
        <v>272</v>
      </c>
      <c r="F619" t="s">
        <v>276</v>
      </c>
      <c r="G619" s="7">
        <v>7</v>
      </c>
      <c r="H619" s="3">
        <v>29396.45</v>
      </c>
      <c r="I619" s="3">
        <v>205775.15</v>
      </c>
    </row>
    <row r="620" spans="1:9" x14ac:dyDescent="0.3">
      <c r="A620" s="5" t="s">
        <v>109</v>
      </c>
      <c r="B620" t="s">
        <v>253</v>
      </c>
      <c r="C620" t="s">
        <v>262</v>
      </c>
      <c r="D620" t="s">
        <v>270</v>
      </c>
      <c r="E620" t="s">
        <v>271</v>
      </c>
      <c r="F620" t="s">
        <v>285</v>
      </c>
      <c r="G620" s="7">
        <v>8</v>
      </c>
      <c r="H620" s="3">
        <v>7433.57</v>
      </c>
      <c r="I620" s="3">
        <v>59468.56</v>
      </c>
    </row>
    <row r="621" spans="1:9" x14ac:dyDescent="0.3">
      <c r="A621" s="5" t="s">
        <v>109</v>
      </c>
      <c r="B621" t="s">
        <v>256</v>
      </c>
      <c r="C621" t="s">
        <v>264</v>
      </c>
      <c r="D621" t="s">
        <v>266</v>
      </c>
      <c r="E621" t="s">
        <v>272</v>
      </c>
      <c r="F621" t="s">
        <v>276</v>
      </c>
      <c r="G621" s="7">
        <v>9</v>
      </c>
      <c r="H621" s="3">
        <v>31803.1</v>
      </c>
      <c r="I621" s="3">
        <v>286227.90000000002</v>
      </c>
    </row>
    <row r="622" spans="1:9" x14ac:dyDescent="0.3">
      <c r="A622" s="5" t="s">
        <v>109</v>
      </c>
      <c r="B622" t="s">
        <v>254</v>
      </c>
      <c r="C622" t="s">
        <v>261</v>
      </c>
      <c r="D622" t="s">
        <v>269</v>
      </c>
      <c r="E622" t="s">
        <v>272</v>
      </c>
      <c r="F622" t="s">
        <v>286</v>
      </c>
      <c r="G622" s="7">
        <v>5</v>
      </c>
      <c r="H622" s="3">
        <v>30782.21</v>
      </c>
      <c r="I622" s="3">
        <v>153911.04999999999</v>
      </c>
    </row>
    <row r="623" spans="1:9" x14ac:dyDescent="0.3">
      <c r="A623" s="5" t="s">
        <v>109</v>
      </c>
      <c r="B623" t="s">
        <v>258</v>
      </c>
      <c r="C623" t="s">
        <v>265</v>
      </c>
      <c r="D623" t="s">
        <v>269</v>
      </c>
      <c r="E623" t="s">
        <v>273</v>
      </c>
      <c r="F623" t="s">
        <v>288</v>
      </c>
      <c r="G623" s="7">
        <v>5</v>
      </c>
      <c r="H623" s="3">
        <v>55719.98</v>
      </c>
      <c r="I623" s="3">
        <v>278599.90000000002</v>
      </c>
    </row>
    <row r="624" spans="1:9" x14ac:dyDescent="0.3">
      <c r="A624" s="5" t="s">
        <v>109</v>
      </c>
      <c r="B624" t="s">
        <v>253</v>
      </c>
      <c r="C624" t="s">
        <v>265</v>
      </c>
      <c r="D624" t="s">
        <v>270</v>
      </c>
      <c r="E624" t="s">
        <v>272</v>
      </c>
      <c r="F624" t="s">
        <v>290</v>
      </c>
      <c r="G624" s="7">
        <v>4</v>
      </c>
      <c r="H624" s="3">
        <v>30060.28</v>
      </c>
      <c r="I624" s="3">
        <v>120241.12</v>
      </c>
    </row>
    <row r="625" spans="1:9" x14ac:dyDescent="0.3">
      <c r="A625" s="5" t="s">
        <v>109</v>
      </c>
      <c r="B625" t="s">
        <v>258</v>
      </c>
      <c r="C625" t="s">
        <v>263</v>
      </c>
      <c r="D625" t="s">
        <v>269</v>
      </c>
      <c r="E625" t="s">
        <v>274</v>
      </c>
      <c r="F625" t="s">
        <v>284</v>
      </c>
      <c r="G625" s="7">
        <v>9</v>
      </c>
      <c r="H625" s="3">
        <v>31505.84</v>
      </c>
      <c r="I625" s="3">
        <v>283552.56</v>
      </c>
    </row>
    <row r="626" spans="1:9" x14ac:dyDescent="0.3">
      <c r="A626" s="5" t="s">
        <v>110</v>
      </c>
      <c r="B626" t="s">
        <v>255</v>
      </c>
      <c r="C626" t="s">
        <v>262</v>
      </c>
      <c r="D626" t="s">
        <v>270</v>
      </c>
      <c r="E626" t="s">
        <v>272</v>
      </c>
      <c r="F626" t="s">
        <v>277</v>
      </c>
      <c r="G626" s="7">
        <v>5</v>
      </c>
      <c r="H626" s="3">
        <v>29613.040000000001</v>
      </c>
      <c r="I626" s="3">
        <v>148065.20000000001</v>
      </c>
    </row>
    <row r="627" spans="1:9" x14ac:dyDescent="0.3">
      <c r="A627" s="5" t="s">
        <v>110</v>
      </c>
      <c r="B627" t="s">
        <v>258</v>
      </c>
      <c r="C627" t="s">
        <v>263</v>
      </c>
      <c r="D627" t="s">
        <v>269</v>
      </c>
      <c r="E627" t="s">
        <v>274</v>
      </c>
      <c r="F627" t="s">
        <v>287</v>
      </c>
      <c r="G627" s="7">
        <v>2</v>
      </c>
      <c r="H627" s="3">
        <v>39734.57</v>
      </c>
      <c r="I627" s="3">
        <v>79469.14</v>
      </c>
    </row>
    <row r="628" spans="1:9" x14ac:dyDescent="0.3">
      <c r="A628" s="5" t="s">
        <v>110</v>
      </c>
      <c r="B628" t="s">
        <v>255</v>
      </c>
      <c r="C628" t="s">
        <v>261</v>
      </c>
      <c r="D628" t="s">
        <v>269</v>
      </c>
      <c r="E628" t="s">
        <v>272</v>
      </c>
      <c r="F628" t="s">
        <v>290</v>
      </c>
      <c r="G628" s="7">
        <v>8</v>
      </c>
      <c r="H628" s="3">
        <v>31599.26</v>
      </c>
      <c r="I628" s="3">
        <v>252794.08</v>
      </c>
    </row>
    <row r="629" spans="1:9" x14ac:dyDescent="0.3">
      <c r="A629" s="5" t="s">
        <v>110</v>
      </c>
      <c r="B629" t="s">
        <v>259</v>
      </c>
      <c r="C629" t="s">
        <v>263</v>
      </c>
      <c r="D629" t="s">
        <v>270</v>
      </c>
      <c r="E629" t="s">
        <v>271</v>
      </c>
      <c r="F629" t="s">
        <v>281</v>
      </c>
      <c r="G629" s="7">
        <v>7</v>
      </c>
      <c r="H629" s="3">
        <v>9509.7199999999993</v>
      </c>
      <c r="I629" s="3">
        <v>66568.039999999994</v>
      </c>
    </row>
    <row r="630" spans="1:9" x14ac:dyDescent="0.3">
      <c r="A630" s="5" t="s">
        <v>110</v>
      </c>
      <c r="B630" t="s">
        <v>253</v>
      </c>
      <c r="C630" t="s">
        <v>265</v>
      </c>
      <c r="D630" t="s">
        <v>267</v>
      </c>
      <c r="E630" t="s">
        <v>271</v>
      </c>
      <c r="F630" t="s">
        <v>275</v>
      </c>
      <c r="G630" s="7">
        <v>8</v>
      </c>
      <c r="H630" s="3">
        <v>8043.32</v>
      </c>
      <c r="I630" s="3">
        <v>64346.559999999998</v>
      </c>
    </row>
    <row r="631" spans="1:9" x14ac:dyDescent="0.3">
      <c r="A631" s="5" t="s">
        <v>110</v>
      </c>
      <c r="B631" t="s">
        <v>253</v>
      </c>
      <c r="C631" t="s">
        <v>265</v>
      </c>
      <c r="D631" t="s">
        <v>269</v>
      </c>
      <c r="E631" t="s">
        <v>273</v>
      </c>
      <c r="F631" t="s">
        <v>278</v>
      </c>
      <c r="G631" s="7">
        <v>3</v>
      </c>
      <c r="H631" s="3">
        <v>51634.85</v>
      </c>
      <c r="I631" s="3">
        <v>154904.54999999999</v>
      </c>
    </row>
    <row r="632" spans="1:9" x14ac:dyDescent="0.3">
      <c r="A632" s="5" t="s">
        <v>111</v>
      </c>
      <c r="B632" t="s">
        <v>260</v>
      </c>
      <c r="C632" t="s">
        <v>264</v>
      </c>
      <c r="D632" t="s">
        <v>266</v>
      </c>
      <c r="E632" t="s">
        <v>272</v>
      </c>
      <c r="F632" t="s">
        <v>277</v>
      </c>
      <c r="G632" s="7">
        <v>4</v>
      </c>
      <c r="H632" s="3">
        <v>32203.040000000001</v>
      </c>
      <c r="I632" s="3">
        <v>128812.16</v>
      </c>
    </row>
    <row r="633" spans="1:9" x14ac:dyDescent="0.3">
      <c r="A633" s="5" t="s">
        <v>111</v>
      </c>
      <c r="B633" t="s">
        <v>254</v>
      </c>
      <c r="C633" t="s">
        <v>264</v>
      </c>
      <c r="D633" t="s">
        <v>267</v>
      </c>
      <c r="E633" t="s">
        <v>274</v>
      </c>
      <c r="F633" t="s">
        <v>280</v>
      </c>
      <c r="G633" s="7">
        <v>5</v>
      </c>
      <c r="H633" s="3">
        <v>31261.3</v>
      </c>
      <c r="I633" s="3">
        <v>156306.5</v>
      </c>
    </row>
    <row r="634" spans="1:9" x14ac:dyDescent="0.3">
      <c r="A634" s="5" t="s">
        <v>111</v>
      </c>
      <c r="B634" t="s">
        <v>255</v>
      </c>
      <c r="C634" t="s">
        <v>261</v>
      </c>
      <c r="D634" t="s">
        <v>270</v>
      </c>
      <c r="E634" t="s">
        <v>274</v>
      </c>
      <c r="F634" t="s">
        <v>287</v>
      </c>
      <c r="G634" s="7">
        <v>6</v>
      </c>
      <c r="H634" s="3">
        <v>33391.54</v>
      </c>
      <c r="I634" s="3">
        <v>200349.24</v>
      </c>
    </row>
    <row r="635" spans="1:9" x14ac:dyDescent="0.3">
      <c r="A635" s="5" t="s">
        <v>111</v>
      </c>
      <c r="B635" t="s">
        <v>260</v>
      </c>
      <c r="C635" t="s">
        <v>262</v>
      </c>
      <c r="D635" t="s">
        <v>267</v>
      </c>
      <c r="E635" t="s">
        <v>272</v>
      </c>
      <c r="F635" t="s">
        <v>277</v>
      </c>
      <c r="G635" s="7">
        <v>1</v>
      </c>
      <c r="H635" s="3">
        <v>27099.56</v>
      </c>
      <c r="I635" s="3">
        <v>27099.56</v>
      </c>
    </row>
    <row r="636" spans="1:9" x14ac:dyDescent="0.3">
      <c r="A636" s="5" t="s">
        <v>111</v>
      </c>
      <c r="B636" t="s">
        <v>258</v>
      </c>
      <c r="C636" t="s">
        <v>263</v>
      </c>
      <c r="D636" t="s">
        <v>268</v>
      </c>
      <c r="E636" t="s">
        <v>274</v>
      </c>
      <c r="F636" t="s">
        <v>287</v>
      </c>
      <c r="G636" s="7">
        <v>4</v>
      </c>
      <c r="H636" s="3">
        <v>30511.42</v>
      </c>
      <c r="I636" s="3">
        <v>122045.68</v>
      </c>
    </row>
    <row r="637" spans="1:9" x14ac:dyDescent="0.3">
      <c r="A637" s="5" t="s">
        <v>111</v>
      </c>
      <c r="B637" t="s">
        <v>258</v>
      </c>
      <c r="C637" t="s">
        <v>261</v>
      </c>
      <c r="D637" t="s">
        <v>268</v>
      </c>
      <c r="E637" t="s">
        <v>271</v>
      </c>
      <c r="F637" t="s">
        <v>275</v>
      </c>
      <c r="G637" s="7">
        <v>5</v>
      </c>
      <c r="H637" s="3">
        <v>7313.05</v>
      </c>
      <c r="I637" s="3">
        <v>36565.25</v>
      </c>
    </row>
    <row r="638" spans="1:9" x14ac:dyDescent="0.3">
      <c r="A638" s="5" t="s">
        <v>112</v>
      </c>
      <c r="B638" t="s">
        <v>260</v>
      </c>
      <c r="C638" t="s">
        <v>264</v>
      </c>
      <c r="D638" t="s">
        <v>269</v>
      </c>
      <c r="E638" t="s">
        <v>274</v>
      </c>
      <c r="F638" t="s">
        <v>287</v>
      </c>
      <c r="G638" s="7">
        <v>7</v>
      </c>
      <c r="H638" s="3">
        <v>30850.71</v>
      </c>
      <c r="I638" s="3">
        <v>215954.97</v>
      </c>
    </row>
    <row r="639" spans="1:9" x14ac:dyDescent="0.3">
      <c r="A639" s="5" t="s">
        <v>112</v>
      </c>
      <c r="B639" t="s">
        <v>253</v>
      </c>
      <c r="C639" t="s">
        <v>263</v>
      </c>
      <c r="D639" t="s">
        <v>269</v>
      </c>
      <c r="E639" t="s">
        <v>273</v>
      </c>
      <c r="F639" t="s">
        <v>288</v>
      </c>
      <c r="G639" s="7">
        <v>5</v>
      </c>
      <c r="H639" s="3">
        <v>48221.46</v>
      </c>
      <c r="I639" s="3">
        <v>241107.3</v>
      </c>
    </row>
    <row r="640" spans="1:9" x14ac:dyDescent="0.3">
      <c r="A640" s="5" t="s">
        <v>112</v>
      </c>
      <c r="B640" t="s">
        <v>258</v>
      </c>
      <c r="C640" t="s">
        <v>264</v>
      </c>
      <c r="D640" t="s">
        <v>266</v>
      </c>
      <c r="E640" t="s">
        <v>271</v>
      </c>
      <c r="F640" t="s">
        <v>281</v>
      </c>
      <c r="G640" s="7">
        <v>1</v>
      </c>
      <c r="H640" s="3">
        <v>7230.44</v>
      </c>
      <c r="I640" s="3">
        <v>7230.44</v>
      </c>
    </row>
    <row r="641" spans="1:9" x14ac:dyDescent="0.3">
      <c r="A641" s="5" t="s">
        <v>112</v>
      </c>
      <c r="B641" t="s">
        <v>257</v>
      </c>
      <c r="C641" t="s">
        <v>263</v>
      </c>
      <c r="D641" t="s">
        <v>267</v>
      </c>
      <c r="E641" t="s">
        <v>271</v>
      </c>
      <c r="F641" t="s">
        <v>275</v>
      </c>
      <c r="G641" s="7">
        <v>7</v>
      </c>
      <c r="H641" s="3">
        <v>8187.94</v>
      </c>
      <c r="I641" s="3">
        <v>57315.58</v>
      </c>
    </row>
    <row r="642" spans="1:9" x14ac:dyDescent="0.3">
      <c r="A642" s="5" t="s">
        <v>112</v>
      </c>
      <c r="B642" t="s">
        <v>259</v>
      </c>
      <c r="C642" t="s">
        <v>262</v>
      </c>
      <c r="D642" t="s">
        <v>268</v>
      </c>
      <c r="E642" t="s">
        <v>271</v>
      </c>
      <c r="F642" t="s">
        <v>285</v>
      </c>
      <c r="G642" s="7">
        <v>8</v>
      </c>
      <c r="H642" s="3">
        <v>10221.799999999999</v>
      </c>
      <c r="I642" s="3">
        <v>81774.399999999994</v>
      </c>
    </row>
    <row r="643" spans="1:9" x14ac:dyDescent="0.3">
      <c r="A643" s="5" t="s">
        <v>112</v>
      </c>
      <c r="B643" t="s">
        <v>259</v>
      </c>
      <c r="C643" t="s">
        <v>261</v>
      </c>
      <c r="D643" t="s">
        <v>269</v>
      </c>
      <c r="E643" t="s">
        <v>272</v>
      </c>
      <c r="F643" t="s">
        <v>286</v>
      </c>
      <c r="G643" s="7">
        <v>7</v>
      </c>
      <c r="H643" s="3">
        <v>30448.86</v>
      </c>
      <c r="I643" s="3">
        <v>213142.02</v>
      </c>
    </row>
    <row r="644" spans="1:9" x14ac:dyDescent="0.3">
      <c r="A644" s="5" t="s">
        <v>113</v>
      </c>
      <c r="B644" t="s">
        <v>257</v>
      </c>
      <c r="C644" t="s">
        <v>263</v>
      </c>
      <c r="D644" t="s">
        <v>267</v>
      </c>
      <c r="E644" t="s">
        <v>272</v>
      </c>
      <c r="F644" t="s">
        <v>286</v>
      </c>
      <c r="G644" s="7">
        <v>4</v>
      </c>
      <c r="H644" s="3">
        <v>30608.06</v>
      </c>
      <c r="I644" s="3">
        <v>122432.24</v>
      </c>
    </row>
    <row r="645" spans="1:9" x14ac:dyDescent="0.3">
      <c r="A645" s="5" t="s">
        <v>113</v>
      </c>
      <c r="B645" t="s">
        <v>260</v>
      </c>
      <c r="C645" t="s">
        <v>265</v>
      </c>
      <c r="D645" t="s">
        <v>269</v>
      </c>
      <c r="E645" t="s">
        <v>271</v>
      </c>
      <c r="F645" t="s">
        <v>281</v>
      </c>
      <c r="G645" s="7">
        <v>8</v>
      </c>
      <c r="H645" s="3">
        <v>8596.44</v>
      </c>
      <c r="I645" s="3">
        <v>68771.520000000004</v>
      </c>
    </row>
    <row r="646" spans="1:9" x14ac:dyDescent="0.3">
      <c r="A646" s="5" t="s">
        <v>113</v>
      </c>
      <c r="B646" t="s">
        <v>257</v>
      </c>
      <c r="C646" t="s">
        <v>265</v>
      </c>
      <c r="D646" t="s">
        <v>269</v>
      </c>
      <c r="E646" t="s">
        <v>272</v>
      </c>
      <c r="F646" t="s">
        <v>276</v>
      </c>
      <c r="G646" s="7">
        <v>5</v>
      </c>
      <c r="H646" s="3">
        <v>31376.49</v>
      </c>
      <c r="I646" s="3">
        <v>156882.45000000001</v>
      </c>
    </row>
    <row r="647" spans="1:9" x14ac:dyDescent="0.3">
      <c r="A647" s="5" t="s">
        <v>113</v>
      </c>
      <c r="B647" t="s">
        <v>255</v>
      </c>
      <c r="C647" t="s">
        <v>263</v>
      </c>
      <c r="D647" t="s">
        <v>268</v>
      </c>
      <c r="E647" t="s">
        <v>274</v>
      </c>
      <c r="F647" t="s">
        <v>280</v>
      </c>
      <c r="G647" s="7">
        <v>9</v>
      </c>
      <c r="H647" s="3">
        <v>29631.14</v>
      </c>
      <c r="I647" s="3">
        <v>266680.26</v>
      </c>
    </row>
    <row r="648" spans="1:9" x14ac:dyDescent="0.3">
      <c r="A648" s="5" t="s">
        <v>113</v>
      </c>
      <c r="B648" t="s">
        <v>255</v>
      </c>
      <c r="C648" t="s">
        <v>263</v>
      </c>
      <c r="D648" t="s">
        <v>268</v>
      </c>
      <c r="E648" t="s">
        <v>272</v>
      </c>
      <c r="F648" t="s">
        <v>286</v>
      </c>
      <c r="G648" s="7">
        <v>5</v>
      </c>
      <c r="H648" s="3">
        <v>32969.96</v>
      </c>
      <c r="I648" s="3">
        <v>164849.79999999999</v>
      </c>
    </row>
    <row r="649" spans="1:9" x14ac:dyDescent="0.3">
      <c r="A649" s="5" t="s">
        <v>113</v>
      </c>
      <c r="B649" t="s">
        <v>260</v>
      </c>
      <c r="C649" t="s">
        <v>263</v>
      </c>
      <c r="D649" t="s">
        <v>269</v>
      </c>
      <c r="E649" t="s">
        <v>272</v>
      </c>
      <c r="F649" t="s">
        <v>276</v>
      </c>
      <c r="G649" s="7">
        <v>1</v>
      </c>
      <c r="H649" s="3">
        <v>25106.92</v>
      </c>
      <c r="I649" s="3">
        <v>25106.92</v>
      </c>
    </row>
    <row r="650" spans="1:9" x14ac:dyDescent="0.3">
      <c r="A650" s="5" t="s">
        <v>114</v>
      </c>
      <c r="B650" t="s">
        <v>257</v>
      </c>
      <c r="C650" t="s">
        <v>265</v>
      </c>
      <c r="D650" t="s">
        <v>270</v>
      </c>
      <c r="E650" t="s">
        <v>271</v>
      </c>
      <c r="F650" t="s">
        <v>285</v>
      </c>
      <c r="G650" s="7">
        <v>9</v>
      </c>
      <c r="H650" s="3">
        <v>9455.4</v>
      </c>
      <c r="I650" s="3">
        <v>85098.6</v>
      </c>
    </row>
    <row r="651" spans="1:9" x14ac:dyDescent="0.3">
      <c r="A651" s="5" t="s">
        <v>114</v>
      </c>
      <c r="B651" t="s">
        <v>255</v>
      </c>
      <c r="C651" t="s">
        <v>265</v>
      </c>
      <c r="D651" t="s">
        <v>269</v>
      </c>
      <c r="E651" t="s">
        <v>273</v>
      </c>
      <c r="F651" t="s">
        <v>279</v>
      </c>
      <c r="G651" s="7">
        <v>5</v>
      </c>
      <c r="H651" s="3">
        <v>44390.69</v>
      </c>
      <c r="I651" s="3">
        <v>221953.45</v>
      </c>
    </row>
    <row r="652" spans="1:9" x14ac:dyDescent="0.3">
      <c r="A652" s="5" t="s">
        <v>114</v>
      </c>
      <c r="B652" t="s">
        <v>253</v>
      </c>
      <c r="C652" t="s">
        <v>263</v>
      </c>
      <c r="D652" t="s">
        <v>269</v>
      </c>
      <c r="E652" t="s">
        <v>273</v>
      </c>
      <c r="F652" t="s">
        <v>288</v>
      </c>
      <c r="G652" s="7">
        <v>6</v>
      </c>
      <c r="H652" s="3">
        <v>51705.23</v>
      </c>
      <c r="I652" s="3">
        <v>310231.38</v>
      </c>
    </row>
    <row r="653" spans="1:9" x14ac:dyDescent="0.3">
      <c r="A653" s="5" t="s">
        <v>114</v>
      </c>
      <c r="B653" t="s">
        <v>257</v>
      </c>
      <c r="C653" t="s">
        <v>264</v>
      </c>
      <c r="D653" t="s">
        <v>266</v>
      </c>
      <c r="E653" t="s">
        <v>273</v>
      </c>
      <c r="F653" t="s">
        <v>278</v>
      </c>
      <c r="G653" s="7">
        <v>4</v>
      </c>
      <c r="H653" s="3">
        <v>48145.760000000002</v>
      </c>
      <c r="I653" s="3">
        <v>192583.04000000001</v>
      </c>
    </row>
    <row r="654" spans="1:9" x14ac:dyDescent="0.3">
      <c r="A654" s="5" t="s">
        <v>114</v>
      </c>
      <c r="B654" t="s">
        <v>253</v>
      </c>
      <c r="C654" t="s">
        <v>264</v>
      </c>
      <c r="D654" t="s">
        <v>266</v>
      </c>
      <c r="E654" t="s">
        <v>274</v>
      </c>
      <c r="F654" t="s">
        <v>287</v>
      </c>
      <c r="G654" s="7">
        <v>6</v>
      </c>
      <c r="H654" s="3">
        <v>32990.120000000003</v>
      </c>
      <c r="I654" s="3">
        <v>197940.72</v>
      </c>
    </row>
    <row r="655" spans="1:9" x14ac:dyDescent="0.3">
      <c r="A655" s="5" t="s">
        <v>114</v>
      </c>
      <c r="B655" t="s">
        <v>255</v>
      </c>
      <c r="C655" t="s">
        <v>262</v>
      </c>
      <c r="D655" t="s">
        <v>266</v>
      </c>
      <c r="E655" t="s">
        <v>272</v>
      </c>
      <c r="F655" t="s">
        <v>290</v>
      </c>
      <c r="G655" s="7">
        <v>8</v>
      </c>
      <c r="H655" s="3">
        <v>25697.53</v>
      </c>
      <c r="I655" s="3">
        <v>205580.24</v>
      </c>
    </row>
    <row r="656" spans="1:9" x14ac:dyDescent="0.3">
      <c r="A656" s="5" t="s">
        <v>115</v>
      </c>
      <c r="B656" t="s">
        <v>259</v>
      </c>
      <c r="C656" t="s">
        <v>261</v>
      </c>
      <c r="D656" t="s">
        <v>270</v>
      </c>
      <c r="E656" t="s">
        <v>273</v>
      </c>
      <c r="F656" t="s">
        <v>278</v>
      </c>
      <c r="G656" s="7">
        <v>3</v>
      </c>
      <c r="H656" s="3">
        <v>49712.79</v>
      </c>
      <c r="I656" s="3">
        <v>149138.37</v>
      </c>
    </row>
    <row r="657" spans="1:9" x14ac:dyDescent="0.3">
      <c r="A657" s="5" t="s">
        <v>115</v>
      </c>
      <c r="B657" t="s">
        <v>255</v>
      </c>
      <c r="C657" t="s">
        <v>264</v>
      </c>
      <c r="D657" t="s">
        <v>270</v>
      </c>
      <c r="E657" t="s">
        <v>271</v>
      </c>
      <c r="F657" t="s">
        <v>282</v>
      </c>
      <c r="G657" s="7">
        <v>5</v>
      </c>
      <c r="H657" s="3">
        <v>10539.22</v>
      </c>
      <c r="I657" s="3">
        <v>52696.1</v>
      </c>
    </row>
    <row r="658" spans="1:9" x14ac:dyDescent="0.3">
      <c r="A658" s="5" t="s">
        <v>115</v>
      </c>
      <c r="B658" t="s">
        <v>253</v>
      </c>
      <c r="C658" t="s">
        <v>265</v>
      </c>
      <c r="D658" t="s">
        <v>269</v>
      </c>
      <c r="E658" t="s">
        <v>273</v>
      </c>
      <c r="F658" t="s">
        <v>278</v>
      </c>
      <c r="G658" s="7">
        <v>2</v>
      </c>
      <c r="H658" s="3">
        <v>53110.86</v>
      </c>
      <c r="I658" s="3">
        <v>106221.72</v>
      </c>
    </row>
    <row r="659" spans="1:9" x14ac:dyDescent="0.3">
      <c r="A659" s="5" t="s">
        <v>115</v>
      </c>
      <c r="B659" t="s">
        <v>256</v>
      </c>
      <c r="C659" t="s">
        <v>264</v>
      </c>
      <c r="D659" t="s">
        <v>266</v>
      </c>
      <c r="E659" t="s">
        <v>273</v>
      </c>
      <c r="F659" t="s">
        <v>283</v>
      </c>
      <c r="G659" s="7">
        <v>2</v>
      </c>
      <c r="H659" s="3">
        <v>39330.15</v>
      </c>
      <c r="I659" s="3">
        <v>78660.3</v>
      </c>
    </row>
    <row r="660" spans="1:9" x14ac:dyDescent="0.3">
      <c r="A660" s="5" t="s">
        <v>115</v>
      </c>
      <c r="B660" t="s">
        <v>254</v>
      </c>
      <c r="C660" t="s">
        <v>262</v>
      </c>
      <c r="D660" t="s">
        <v>270</v>
      </c>
      <c r="E660" t="s">
        <v>272</v>
      </c>
      <c r="F660" t="s">
        <v>286</v>
      </c>
      <c r="G660" s="7">
        <v>7</v>
      </c>
      <c r="H660" s="3">
        <v>28013.77</v>
      </c>
      <c r="I660" s="3">
        <v>196096.39</v>
      </c>
    </row>
    <row r="661" spans="1:9" x14ac:dyDescent="0.3">
      <c r="A661" s="5" t="s">
        <v>115</v>
      </c>
      <c r="B661" t="s">
        <v>258</v>
      </c>
      <c r="C661" t="s">
        <v>262</v>
      </c>
      <c r="D661" t="s">
        <v>268</v>
      </c>
      <c r="E661" t="s">
        <v>272</v>
      </c>
      <c r="F661" t="s">
        <v>277</v>
      </c>
      <c r="G661" s="7">
        <v>6</v>
      </c>
      <c r="H661" s="3">
        <v>34166.53</v>
      </c>
      <c r="I661" s="3">
        <v>204999.18</v>
      </c>
    </row>
    <row r="662" spans="1:9" x14ac:dyDescent="0.3">
      <c r="A662" s="5" t="s">
        <v>115</v>
      </c>
      <c r="B662" t="s">
        <v>257</v>
      </c>
      <c r="C662" t="s">
        <v>261</v>
      </c>
      <c r="D662" t="s">
        <v>269</v>
      </c>
      <c r="E662" t="s">
        <v>272</v>
      </c>
      <c r="F662" t="s">
        <v>290</v>
      </c>
      <c r="G662" s="7">
        <v>4</v>
      </c>
      <c r="H662" s="3">
        <v>29434.09</v>
      </c>
      <c r="I662" s="3">
        <v>117736.36</v>
      </c>
    </row>
    <row r="663" spans="1:9" x14ac:dyDescent="0.3">
      <c r="A663" s="5" t="s">
        <v>116</v>
      </c>
      <c r="B663" t="s">
        <v>256</v>
      </c>
      <c r="C663" t="s">
        <v>264</v>
      </c>
      <c r="D663" t="s">
        <v>267</v>
      </c>
      <c r="E663" t="s">
        <v>274</v>
      </c>
      <c r="F663" t="s">
        <v>280</v>
      </c>
      <c r="G663" s="7">
        <v>5</v>
      </c>
      <c r="H663" s="3">
        <v>35675.03</v>
      </c>
      <c r="I663" s="3">
        <v>178375.15</v>
      </c>
    </row>
    <row r="664" spans="1:9" x14ac:dyDescent="0.3">
      <c r="A664" s="5" t="s">
        <v>116</v>
      </c>
      <c r="B664" t="s">
        <v>255</v>
      </c>
      <c r="C664" t="s">
        <v>265</v>
      </c>
      <c r="D664" t="s">
        <v>269</v>
      </c>
      <c r="E664" t="s">
        <v>274</v>
      </c>
      <c r="F664" t="s">
        <v>287</v>
      </c>
      <c r="G664" s="7">
        <v>1</v>
      </c>
      <c r="H664" s="3">
        <v>38881.269999999997</v>
      </c>
      <c r="I664" s="3">
        <v>38881.269999999997</v>
      </c>
    </row>
    <row r="665" spans="1:9" x14ac:dyDescent="0.3">
      <c r="A665" s="5" t="s">
        <v>116</v>
      </c>
      <c r="B665" t="s">
        <v>259</v>
      </c>
      <c r="C665" t="s">
        <v>265</v>
      </c>
      <c r="D665" t="s">
        <v>267</v>
      </c>
      <c r="E665" t="s">
        <v>273</v>
      </c>
      <c r="F665" t="s">
        <v>278</v>
      </c>
      <c r="G665" s="7">
        <v>7</v>
      </c>
      <c r="H665" s="3">
        <v>53978.3</v>
      </c>
      <c r="I665" s="3">
        <v>377848.1</v>
      </c>
    </row>
    <row r="666" spans="1:9" x14ac:dyDescent="0.3">
      <c r="A666" s="5" t="s">
        <v>116</v>
      </c>
      <c r="B666" t="s">
        <v>260</v>
      </c>
      <c r="C666" t="s">
        <v>263</v>
      </c>
      <c r="D666" t="s">
        <v>266</v>
      </c>
      <c r="E666" t="s">
        <v>272</v>
      </c>
      <c r="F666" t="s">
        <v>276</v>
      </c>
      <c r="G666" s="7">
        <v>8</v>
      </c>
      <c r="H666" s="3">
        <v>29420.39</v>
      </c>
      <c r="I666" s="3">
        <v>235363.12</v>
      </c>
    </row>
    <row r="667" spans="1:9" x14ac:dyDescent="0.3">
      <c r="A667" s="5" t="s">
        <v>116</v>
      </c>
      <c r="B667" t="s">
        <v>255</v>
      </c>
      <c r="C667" t="s">
        <v>265</v>
      </c>
      <c r="D667" t="s">
        <v>267</v>
      </c>
      <c r="E667" t="s">
        <v>273</v>
      </c>
      <c r="F667" t="s">
        <v>283</v>
      </c>
      <c r="G667" s="7">
        <v>9</v>
      </c>
      <c r="H667" s="3">
        <v>46127.63</v>
      </c>
      <c r="I667" s="3">
        <v>415148.67</v>
      </c>
    </row>
    <row r="668" spans="1:9" x14ac:dyDescent="0.3">
      <c r="A668" s="5" t="s">
        <v>116</v>
      </c>
      <c r="B668" t="s">
        <v>259</v>
      </c>
      <c r="C668" t="s">
        <v>261</v>
      </c>
      <c r="D668" t="s">
        <v>266</v>
      </c>
      <c r="E668" t="s">
        <v>271</v>
      </c>
      <c r="F668" t="s">
        <v>275</v>
      </c>
      <c r="G668" s="7">
        <v>8</v>
      </c>
      <c r="H668" s="3">
        <v>8379.9500000000007</v>
      </c>
      <c r="I668" s="3">
        <v>67039.600000000006</v>
      </c>
    </row>
    <row r="669" spans="1:9" x14ac:dyDescent="0.3">
      <c r="A669" s="5" t="s">
        <v>117</v>
      </c>
      <c r="B669" t="s">
        <v>254</v>
      </c>
      <c r="C669" t="s">
        <v>261</v>
      </c>
      <c r="D669" t="s">
        <v>268</v>
      </c>
      <c r="E669" t="s">
        <v>271</v>
      </c>
      <c r="F669" t="s">
        <v>285</v>
      </c>
      <c r="G669" s="7">
        <v>5</v>
      </c>
      <c r="H669" s="3">
        <v>9669.67</v>
      </c>
      <c r="I669" s="3">
        <v>48348.35</v>
      </c>
    </row>
    <row r="670" spans="1:9" x14ac:dyDescent="0.3">
      <c r="A670" s="5" t="s">
        <v>117</v>
      </c>
      <c r="B670" t="s">
        <v>255</v>
      </c>
      <c r="C670" t="s">
        <v>265</v>
      </c>
      <c r="D670" t="s">
        <v>267</v>
      </c>
      <c r="E670" t="s">
        <v>272</v>
      </c>
      <c r="F670" t="s">
        <v>276</v>
      </c>
      <c r="G670" s="7">
        <v>3</v>
      </c>
      <c r="H670" s="3">
        <v>27014.25</v>
      </c>
      <c r="I670" s="3">
        <v>81042.75</v>
      </c>
    </row>
    <row r="671" spans="1:9" x14ac:dyDescent="0.3">
      <c r="A671" s="5" t="s">
        <v>117</v>
      </c>
      <c r="B671" t="s">
        <v>253</v>
      </c>
      <c r="C671" t="s">
        <v>265</v>
      </c>
      <c r="D671" t="s">
        <v>269</v>
      </c>
      <c r="E671" t="s">
        <v>272</v>
      </c>
      <c r="F671" t="s">
        <v>277</v>
      </c>
      <c r="G671" s="7">
        <v>9</v>
      </c>
      <c r="H671" s="3">
        <v>26598.74</v>
      </c>
      <c r="I671" s="3">
        <v>239388.66</v>
      </c>
    </row>
    <row r="672" spans="1:9" x14ac:dyDescent="0.3">
      <c r="A672" s="5" t="s">
        <v>117</v>
      </c>
      <c r="B672" t="s">
        <v>260</v>
      </c>
      <c r="C672" t="s">
        <v>263</v>
      </c>
      <c r="D672" t="s">
        <v>266</v>
      </c>
      <c r="E672" t="s">
        <v>271</v>
      </c>
      <c r="F672" t="s">
        <v>281</v>
      </c>
      <c r="G672" s="7">
        <v>6</v>
      </c>
      <c r="H672" s="3">
        <v>8436.25</v>
      </c>
      <c r="I672" s="3">
        <v>50617.5</v>
      </c>
    </row>
    <row r="673" spans="1:9" x14ac:dyDescent="0.3">
      <c r="A673" s="5" t="s">
        <v>117</v>
      </c>
      <c r="B673" t="s">
        <v>259</v>
      </c>
      <c r="C673" t="s">
        <v>265</v>
      </c>
      <c r="D673" t="s">
        <v>269</v>
      </c>
      <c r="E673" t="s">
        <v>272</v>
      </c>
      <c r="F673" t="s">
        <v>277</v>
      </c>
      <c r="G673" s="7">
        <v>5</v>
      </c>
      <c r="H673" s="3">
        <v>25784.81</v>
      </c>
      <c r="I673" s="3">
        <v>128924.05</v>
      </c>
    </row>
    <row r="674" spans="1:9" x14ac:dyDescent="0.3">
      <c r="A674" s="5" t="s">
        <v>117</v>
      </c>
      <c r="B674" t="s">
        <v>259</v>
      </c>
      <c r="C674" t="s">
        <v>263</v>
      </c>
      <c r="D674" t="s">
        <v>270</v>
      </c>
      <c r="E674" t="s">
        <v>274</v>
      </c>
      <c r="F674" t="s">
        <v>284</v>
      </c>
      <c r="G674" s="7">
        <v>3</v>
      </c>
      <c r="H674" s="3">
        <v>36097.53</v>
      </c>
      <c r="I674" s="3">
        <v>108292.59</v>
      </c>
    </row>
    <row r="675" spans="1:9" x14ac:dyDescent="0.3">
      <c r="A675" s="5" t="s">
        <v>118</v>
      </c>
      <c r="B675" t="s">
        <v>259</v>
      </c>
      <c r="C675" t="s">
        <v>263</v>
      </c>
      <c r="D675" t="s">
        <v>266</v>
      </c>
      <c r="E675" t="s">
        <v>274</v>
      </c>
      <c r="F675" t="s">
        <v>280</v>
      </c>
      <c r="G675" s="7">
        <v>6</v>
      </c>
      <c r="H675" s="3">
        <v>35087.879999999997</v>
      </c>
      <c r="I675" s="3">
        <v>210527.28</v>
      </c>
    </row>
    <row r="676" spans="1:9" x14ac:dyDescent="0.3">
      <c r="A676" s="5" t="s">
        <v>118</v>
      </c>
      <c r="B676" t="s">
        <v>254</v>
      </c>
      <c r="C676" t="s">
        <v>265</v>
      </c>
      <c r="D676" t="s">
        <v>267</v>
      </c>
      <c r="E676" t="s">
        <v>272</v>
      </c>
      <c r="F676" t="s">
        <v>290</v>
      </c>
      <c r="G676" s="7">
        <v>3</v>
      </c>
      <c r="H676" s="3">
        <v>29208.240000000002</v>
      </c>
      <c r="I676" s="3">
        <v>87624.72</v>
      </c>
    </row>
    <row r="677" spans="1:9" x14ac:dyDescent="0.3">
      <c r="A677" s="5" t="s">
        <v>118</v>
      </c>
      <c r="B677" t="s">
        <v>255</v>
      </c>
      <c r="C677" t="s">
        <v>262</v>
      </c>
      <c r="D677" t="s">
        <v>266</v>
      </c>
      <c r="E677" t="s">
        <v>271</v>
      </c>
      <c r="F677" t="s">
        <v>275</v>
      </c>
      <c r="G677" s="7">
        <v>6</v>
      </c>
      <c r="H677" s="3">
        <v>8552.11</v>
      </c>
      <c r="I677" s="3">
        <v>51312.66</v>
      </c>
    </row>
    <row r="678" spans="1:9" x14ac:dyDescent="0.3">
      <c r="A678" s="5" t="s">
        <v>118</v>
      </c>
      <c r="B678" t="s">
        <v>254</v>
      </c>
      <c r="C678" t="s">
        <v>262</v>
      </c>
      <c r="D678" t="s">
        <v>269</v>
      </c>
      <c r="E678" t="s">
        <v>273</v>
      </c>
      <c r="F678" t="s">
        <v>283</v>
      </c>
      <c r="G678" s="7">
        <v>4</v>
      </c>
      <c r="H678" s="3">
        <v>54613.13</v>
      </c>
      <c r="I678" s="3">
        <v>218452.52</v>
      </c>
    </row>
    <row r="679" spans="1:9" x14ac:dyDescent="0.3">
      <c r="A679" s="5" t="s">
        <v>118</v>
      </c>
      <c r="B679" t="s">
        <v>257</v>
      </c>
      <c r="C679" t="s">
        <v>263</v>
      </c>
      <c r="D679" t="s">
        <v>268</v>
      </c>
      <c r="E679" t="s">
        <v>272</v>
      </c>
      <c r="F679" t="s">
        <v>276</v>
      </c>
      <c r="G679" s="7">
        <v>2</v>
      </c>
      <c r="H679" s="3">
        <v>24126.19</v>
      </c>
      <c r="I679" s="3">
        <v>48252.38</v>
      </c>
    </row>
    <row r="680" spans="1:9" x14ac:dyDescent="0.3">
      <c r="A680" s="5" t="s">
        <v>118</v>
      </c>
      <c r="B680" t="s">
        <v>258</v>
      </c>
      <c r="C680" t="s">
        <v>265</v>
      </c>
      <c r="D680" t="s">
        <v>266</v>
      </c>
      <c r="E680" t="s">
        <v>272</v>
      </c>
      <c r="F680" t="s">
        <v>286</v>
      </c>
      <c r="G680" s="7">
        <v>8</v>
      </c>
      <c r="H680" s="3">
        <v>32414.01</v>
      </c>
      <c r="I680" s="3">
        <v>259312.08</v>
      </c>
    </row>
    <row r="681" spans="1:9" x14ac:dyDescent="0.3">
      <c r="A681" s="5" t="s">
        <v>119</v>
      </c>
      <c r="B681" t="s">
        <v>258</v>
      </c>
      <c r="C681" t="s">
        <v>262</v>
      </c>
      <c r="D681" t="s">
        <v>267</v>
      </c>
      <c r="E681" t="s">
        <v>273</v>
      </c>
      <c r="F681" t="s">
        <v>279</v>
      </c>
      <c r="G681" s="7">
        <v>4</v>
      </c>
      <c r="H681" s="3">
        <v>54484.37</v>
      </c>
      <c r="I681" s="3">
        <v>217937.48</v>
      </c>
    </row>
    <row r="682" spans="1:9" x14ac:dyDescent="0.3">
      <c r="A682" s="5" t="s">
        <v>119</v>
      </c>
      <c r="B682" t="s">
        <v>257</v>
      </c>
      <c r="C682" t="s">
        <v>265</v>
      </c>
      <c r="D682" t="s">
        <v>270</v>
      </c>
      <c r="E682" t="s">
        <v>272</v>
      </c>
      <c r="F682" t="s">
        <v>286</v>
      </c>
      <c r="G682" s="7">
        <v>9</v>
      </c>
      <c r="H682" s="3">
        <v>28799.17</v>
      </c>
      <c r="I682" s="3">
        <v>259192.53</v>
      </c>
    </row>
    <row r="683" spans="1:9" x14ac:dyDescent="0.3">
      <c r="A683" s="5" t="s">
        <v>119</v>
      </c>
      <c r="B683" t="s">
        <v>255</v>
      </c>
      <c r="C683" t="s">
        <v>265</v>
      </c>
      <c r="D683" t="s">
        <v>268</v>
      </c>
      <c r="E683" t="s">
        <v>273</v>
      </c>
      <c r="F683" t="s">
        <v>279</v>
      </c>
      <c r="G683" s="7">
        <v>7</v>
      </c>
      <c r="H683" s="3">
        <v>48162.43</v>
      </c>
      <c r="I683" s="3">
        <v>337137.01</v>
      </c>
    </row>
    <row r="684" spans="1:9" x14ac:dyDescent="0.3">
      <c r="A684" s="5" t="s">
        <v>119</v>
      </c>
      <c r="B684" t="s">
        <v>253</v>
      </c>
      <c r="C684" t="s">
        <v>265</v>
      </c>
      <c r="D684" t="s">
        <v>270</v>
      </c>
      <c r="E684" t="s">
        <v>271</v>
      </c>
      <c r="F684" t="s">
        <v>285</v>
      </c>
      <c r="G684" s="7">
        <v>2</v>
      </c>
      <c r="H684" s="3">
        <v>10436.18</v>
      </c>
      <c r="I684" s="3">
        <v>20872.36</v>
      </c>
    </row>
    <row r="685" spans="1:9" x14ac:dyDescent="0.3">
      <c r="A685" s="5" t="s">
        <v>119</v>
      </c>
      <c r="B685" t="s">
        <v>254</v>
      </c>
      <c r="C685" t="s">
        <v>264</v>
      </c>
      <c r="D685" t="s">
        <v>266</v>
      </c>
      <c r="E685" t="s">
        <v>274</v>
      </c>
      <c r="F685" t="s">
        <v>287</v>
      </c>
      <c r="G685" s="7">
        <v>4</v>
      </c>
      <c r="H685" s="3">
        <v>29917.15</v>
      </c>
      <c r="I685" s="3">
        <v>119668.6</v>
      </c>
    </row>
    <row r="686" spans="1:9" x14ac:dyDescent="0.3">
      <c r="A686" s="5" t="s">
        <v>119</v>
      </c>
      <c r="B686" t="s">
        <v>260</v>
      </c>
      <c r="C686" t="s">
        <v>265</v>
      </c>
      <c r="D686" t="s">
        <v>269</v>
      </c>
      <c r="E686" t="s">
        <v>271</v>
      </c>
      <c r="F686" t="s">
        <v>285</v>
      </c>
      <c r="G686" s="7">
        <v>5</v>
      </c>
      <c r="H686" s="3">
        <v>8993.4599999999991</v>
      </c>
      <c r="I686" s="3">
        <v>44967.3</v>
      </c>
    </row>
    <row r="687" spans="1:9" x14ac:dyDescent="0.3">
      <c r="A687" s="5" t="s">
        <v>120</v>
      </c>
      <c r="B687" t="s">
        <v>259</v>
      </c>
      <c r="C687" t="s">
        <v>264</v>
      </c>
      <c r="D687" t="s">
        <v>269</v>
      </c>
      <c r="E687" t="s">
        <v>274</v>
      </c>
      <c r="F687" t="s">
        <v>284</v>
      </c>
      <c r="G687" s="7">
        <v>3</v>
      </c>
      <c r="H687" s="3">
        <v>33276.43</v>
      </c>
      <c r="I687" s="3">
        <v>99829.29</v>
      </c>
    </row>
    <row r="688" spans="1:9" x14ac:dyDescent="0.3">
      <c r="A688" s="5" t="s">
        <v>120</v>
      </c>
      <c r="B688" t="s">
        <v>259</v>
      </c>
      <c r="C688" t="s">
        <v>263</v>
      </c>
      <c r="D688" t="s">
        <v>267</v>
      </c>
      <c r="E688" t="s">
        <v>273</v>
      </c>
      <c r="F688" t="s">
        <v>283</v>
      </c>
      <c r="G688" s="7">
        <v>9</v>
      </c>
      <c r="H688" s="3">
        <v>42901.07</v>
      </c>
      <c r="I688" s="3">
        <v>386109.63</v>
      </c>
    </row>
    <row r="689" spans="1:9" x14ac:dyDescent="0.3">
      <c r="A689" s="5" t="s">
        <v>120</v>
      </c>
      <c r="B689" t="s">
        <v>255</v>
      </c>
      <c r="C689" t="s">
        <v>262</v>
      </c>
      <c r="D689" t="s">
        <v>269</v>
      </c>
      <c r="E689" t="s">
        <v>274</v>
      </c>
      <c r="F689" t="s">
        <v>284</v>
      </c>
      <c r="G689" s="7">
        <v>5</v>
      </c>
      <c r="H689" s="3">
        <v>37677.99</v>
      </c>
      <c r="I689" s="3">
        <v>188389.95</v>
      </c>
    </row>
    <row r="690" spans="1:9" x14ac:dyDescent="0.3">
      <c r="A690" s="5" t="s">
        <v>120</v>
      </c>
      <c r="B690" t="s">
        <v>253</v>
      </c>
      <c r="C690" t="s">
        <v>262</v>
      </c>
      <c r="D690" t="s">
        <v>268</v>
      </c>
      <c r="E690" t="s">
        <v>271</v>
      </c>
      <c r="F690" t="s">
        <v>282</v>
      </c>
      <c r="G690" s="7">
        <v>2</v>
      </c>
      <c r="H690" s="3">
        <v>10283.64</v>
      </c>
      <c r="I690" s="3">
        <v>20567.28</v>
      </c>
    </row>
    <row r="691" spans="1:9" x14ac:dyDescent="0.3">
      <c r="A691" s="5" t="s">
        <v>120</v>
      </c>
      <c r="B691" t="s">
        <v>258</v>
      </c>
      <c r="C691" t="s">
        <v>262</v>
      </c>
      <c r="D691" t="s">
        <v>269</v>
      </c>
      <c r="E691" t="s">
        <v>274</v>
      </c>
      <c r="F691" t="s">
        <v>280</v>
      </c>
      <c r="G691" s="7">
        <v>3</v>
      </c>
      <c r="H691" s="3">
        <v>37208.74</v>
      </c>
      <c r="I691" s="3">
        <v>111626.22</v>
      </c>
    </row>
    <row r="692" spans="1:9" x14ac:dyDescent="0.3">
      <c r="A692" s="5" t="s">
        <v>120</v>
      </c>
      <c r="B692" t="s">
        <v>258</v>
      </c>
      <c r="C692" t="s">
        <v>262</v>
      </c>
      <c r="D692" t="s">
        <v>267</v>
      </c>
      <c r="E692" t="s">
        <v>273</v>
      </c>
      <c r="F692" t="s">
        <v>283</v>
      </c>
      <c r="G692" s="7">
        <v>9</v>
      </c>
      <c r="H692" s="3">
        <v>41766.46</v>
      </c>
      <c r="I692" s="3">
        <v>375898.14</v>
      </c>
    </row>
    <row r="693" spans="1:9" x14ac:dyDescent="0.3">
      <c r="A693" s="5" t="s">
        <v>121</v>
      </c>
      <c r="B693" t="s">
        <v>259</v>
      </c>
      <c r="C693" t="s">
        <v>262</v>
      </c>
      <c r="D693" t="s">
        <v>266</v>
      </c>
      <c r="E693" t="s">
        <v>274</v>
      </c>
      <c r="F693" t="s">
        <v>287</v>
      </c>
      <c r="G693" s="7">
        <v>7</v>
      </c>
      <c r="H693" s="3">
        <v>28310.38</v>
      </c>
      <c r="I693" s="3">
        <v>198172.66</v>
      </c>
    </row>
    <row r="694" spans="1:9" x14ac:dyDescent="0.3">
      <c r="A694" s="5" t="s">
        <v>121</v>
      </c>
      <c r="B694" t="s">
        <v>255</v>
      </c>
      <c r="C694" t="s">
        <v>262</v>
      </c>
      <c r="D694" t="s">
        <v>266</v>
      </c>
      <c r="E694" t="s">
        <v>272</v>
      </c>
      <c r="F694" t="s">
        <v>290</v>
      </c>
      <c r="G694" s="7">
        <v>2</v>
      </c>
      <c r="H694" s="3">
        <v>30580.98</v>
      </c>
      <c r="I694" s="3">
        <v>61161.96</v>
      </c>
    </row>
    <row r="695" spans="1:9" x14ac:dyDescent="0.3">
      <c r="A695" s="5" t="s">
        <v>121</v>
      </c>
      <c r="B695" t="s">
        <v>254</v>
      </c>
      <c r="C695" t="s">
        <v>262</v>
      </c>
      <c r="D695" t="s">
        <v>269</v>
      </c>
      <c r="E695" t="s">
        <v>271</v>
      </c>
      <c r="F695" t="s">
        <v>285</v>
      </c>
      <c r="G695" s="7">
        <v>9</v>
      </c>
      <c r="H695" s="3">
        <v>7419.12</v>
      </c>
      <c r="I695" s="3">
        <v>66772.08</v>
      </c>
    </row>
    <row r="696" spans="1:9" x14ac:dyDescent="0.3">
      <c r="A696" s="5" t="s">
        <v>121</v>
      </c>
      <c r="B696" t="s">
        <v>258</v>
      </c>
      <c r="C696" t="s">
        <v>263</v>
      </c>
      <c r="D696" t="s">
        <v>270</v>
      </c>
      <c r="E696" t="s">
        <v>272</v>
      </c>
      <c r="F696" t="s">
        <v>286</v>
      </c>
      <c r="G696" s="7">
        <v>4</v>
      </c>
      <c r="H696" s="3">
        <v>31335.65</v>
      </c>
      <c r="I696" s="3">
        <v>125342.6</v>
      </c>
    </row>
    <row r="697" spans="1:9" x14ac:dyDescent="0.3">
      <c r="A697" s="5" t="s">
        <v>121</v>
      </c>
      <c r="B697" t="s">
        <v>254</v>
      </c>
      <c r="C697" t="s">
        <v>265</v>
      </c>
      <c r="D697" t="s">
        <v>266</v>
      </c>
      <c r="E697" t="s">
        <v>273</v>
      </c>
      <c r="F697" t="s">
        <v>279</v>
      </c>
      <c r="G697" s="7">
        <v>9</v>
      </c>
      <c r="H697" s="3">
        <v>47797.64</v>
      </c>
      <c r="I697" s="3">
        <v>430178.76</v>
      </c>
    </row>
    <row r="698" spans="1:9" x14ac:dyDescent="0.3">
      <c r="A698" s="5" t="s">
        <v>121</v>
      </c>
      <c r="B698" t="s">
        <v>253</v>
      </c>
      <c r="C698" t="s">
        <v>261</v>
      </c>
      <c r="D698" t="s">
        <v>269</v>
      </c>
      <c r="E698" t="s">
        <v>274</v>
      </c>
      <c r="F698" t="s">
        <v>287</v>
      </c>
      <c r="G698" s="7">
        <v>2</v>
      </c>
      <c r="H698" s="3">
        <v>35683.660000000003</v>
      </c>
      <c r="I698" s="3">
        <v>71367.320000000007</v>
      </c>
    </row>
    <row r="699" spans="1:9" x14ac:dyDescent="0.3">
      <c r="A699" s="5" t="s">
        <v>121</v>
      </c>
      <c r="B699" t="s">
        <v>258</v>
      </c>
      <c r="C699" t="s">
        <v>264</v>
      </c>
      <c r="D699" t="s">
        <v>267</v>
      </c>
      <c r="E699" t="s">
        <v>272</v>
      </c>
      <c r="F699" t="s">
        <v>277</v>
      </c>
      <c r="G699" s="7">
        <v>4</v>
      </c>
      <c r="H699" s="3">
        <v>30409.91</v>
      </c>
      <c r="I699" s="3">
        <v>121639.64</v>
      </c>
    </row>
    <row r="700" spans="1:9" x14ac:dyDescent="0.3">
      <c r="A700" s="5" t="s">
        <v>122</v>
      </c>
      <c r="B700" t="s">
        <v>258</v>
      </c>
      <c r="C700" t="s">
        <v>261</v>
      </c>
      <c r="D700" t="s">
        <v>269</v>
      </c>
      <c r="E700" t="s">
        <v>272</v>
      </c>
      <c r="F700" t="s">
        <v>277</v>
      </c>
      <c r="G700" s="7">
        <v>5</v>
      </c>
      <c r="H700" s="3">
        <v>28534.27</v>
      </c>
      <c r="I700" s="3">
        <v>142671.35</v>
      </c>
    </row>
    <row r="701" spans="1:9" x14ac:dyDescent="0.3">
      <c r="A701" s="5" t="s">
        <v>122</v>
      </c>
      <c r="B701" t="s">
        <v>256</v>
      </c>
      <c r="C701" t="s">
        <v>261</v>
      </c>
      <c r="D701" t="s">
        <v>266</v>
      </c>
      <c r="E701" t="s">
        <v>274</v>
      </c>
      <c r="F701" t="s">
        <v>280</v>
      </c>
      <c r="G701" s="7">
        <v>2</v>
      </c>
      <c r="H701" s="3">
        <v>29771.23</v>
      </c>
      <c r="I701" s="3">
        <v>59542.46</v>
      </c>
    </row>
    <row r="702" spans="1:9" x14ac:dyDescent="0.3">
      <c r="A702" s="5" t="s">
        <v>122</v>
      </c>
      <c r="B702" t="s">
        <v>258</v>
      </c>
      <c r="C702" t="s">
        <v>265</v>
      </c>
      <c r="D702" t="s">
        <v>267</v>
      </c>
      <c r="E702" t="s">
        <v>274</v>
      </c>
      <c r="F702" t="s">
        <v>289</v>
      </c>
      <c r="G702" s="7">
        <v>1</v>
      </c>
      <c r="H702" s="3">
        <v>31112.99</v>
      </c>
      <c r="I702" s="3">
        <v>31112.99</v>
      </c>
    </row>
    <row r="703" spans="1:9" x14ac:dyDescent="0.3">
      <c r="A703" s="5" t="s">
        <v>122</v>
      </c>
      <c r="B703" t="s">
        <v>257</v>
      </c>
      <c r="C703" t="s">
        <v>265</v>
      </c>
      <c r="D703" t="s">
        <v>269</v>
      </c>
      <c r="E703" t="s">
        <v>271</v>
      </c>
      <c r="F703" t="s">
        <v>282</v>
      </c>
      <c r="G703" s="7">
        <v>7</v>
      </c>
      <c r="H703" s="3">
        <v>9008.2999999999993</v>
      </c>
      <c r="I703" s="3">
        <v>63058.1</v>
      </c>
    </row>
    <row r="704" spans="1:9" x14ac:dyDescent="0.3">
      <c r="A704" s="5" t="s">
        <v>122</v>
      </c>
      <c r="B704" t="s">
        <v>260</v>
      </c>
      <c r="C704" t="s">
        <v>265</v>
      </c>
      <c r="D704" t="s">
        <v>268</v>
      </c>
      <c r="E704" t="s">
        <v>272</v>
      </c>
      <c r="F704" t="s">
        <v>277</v>
      </c>
      <c r="G704" s="7">
        <v>1</v>
      </c>
      <c r="H704" s="3">
        <v>31100.92</v>
      </c>
      <c r="I704" s="3">
        <v>31100.92</v>
      </c>
    </row>
    <row r="705" spans="1:9" x14ac:dyDescent="0.3">
      <c r="A705" s="5" t="s">
        <v>122</v>
      </c>
      <c r="B705" t="s">
        <v>257</v>
      </c>
      <c r="C705" t="s">
        <v>262</v>
      </c>
      <c r="D705" t="s">
        <v>267</v>
      </c>
      <c r="E705" t="s">
        <v>272</v>
      </c>
      <c r="F705" t="s">
        <v>276</v>
      </c>
      <c r="G705" s="7">
        <v>8</v>
      </c>
      <c r="H705" s="3">
        <v>32530.21</v>
      </c>
      <c r="I705" s="3">
        <v>260241.68</v>
      </c>
    </row>
    <row r="706" spans="1:9" x14ac:dyDescent="0.3">
      <c r="A706" s="5" t="s">
        <v>123</v>
      </c>
      <c r="B706" t="s">
        <v>255</v>
      </c>
      <c r="C706" t="s">
        <v>263</v>
      </c>
      <c r="D706" t="s">
        <v>268</v>
      </c>
      <c r="E706" t="s">
        <v>273</v>
      </c>
      <c r="F706" t="s">
        <v>288</v>
      </c>
      <c r="G706" s="7">
        <v>3</v>
      </c>
      <c r="H706" s="3">
        <v>52059.07</v>
      </c>
      <c r="I706" s="3">
        <v>156177.21</v>
      </c>
    </row>
    <row r="707" spans="1:9" x14ac:dyDescent="0.3">
      <c r="A707" s="5" t="s">
        <v>123</v>
      </c>
      <c r="B707" t="s">
        <v>255</v>
      </c>
      <c r="C707" t="s">
        <v>262</v>
      </c>
      <c r="D707" t="s">
        <v>270</v>
      </c>
      <c r="E707" t="s">
        <v>271</v>
      </c>
      <c r="F707" t="s">
        <v>275</v>
      </c>
      <c r="G707" s="7">
        <v>6</v>
      </c>
      <c r="H707" s="3">
        <v>10532.14</v>
      </c>
      <c r="I707" s="3">
        <v>63192.84</v>
      </c>
    </row>
    <row r="708" spans="1:9" x14ac:dyDescent="0.3">
      <c r="A708" s="5" t="s">
        <v>123</v>
      </c>
      <c r="B708" t="s">
        <v>254</v>
      </c>
      <c r="C708" t="s">
        <v>263</v>
      </c>
      <c r="D708" t="s">
        <v>267</v>
      </c>
      <c r="E708" t="s">
        <v>273</v>
      </c>
      <c r="F708" t="s">
        <v>279</v>
      </c>
      <c r="G708" s="7">
        <v>7</v>
      </c>
      <c r="H708" s="3">
        <v>43395.15</v>
      </c>
      <c r="I708" s="3">
        <v>303766.05</v>
      </c>
    </row>
    <row r="709" spans="1:9" x14ac:dyDescent="0.3">
      <c r="A709" s="5" t="s">
        <v>123</v>
      </c>
      <c r="B709" t="s">
        <v>257</v>
      </c>
      <c r="C709" t="s">
        <v>263</v>
      </c>
      <c r="D709" t="s">
        <v>268</v>
      </c>
      <c r="E709" t="s">
        <v>272</v>
      </c>
      <c r="F709" t="s">
        <v>290</v>
      </c>
      <c r="G709" s="7">
        <v>1</v>
      </c>
      <c r="H709" s="3">
        <v>24596.44</v>
      </c>
      <c r="I709" s="3">
        <v>24596.44</v>
      </c>
    </row>
    <row r="710" spans="1:9" x14ac:dyDescent="0.3">
      <c r="A710" s="5" t="s">
        <v>123</v>
      </c>
      <c r="B710" t="s">
        <v>257</v>
      </c>
      <c r="C710" t="s">
        <v>261</v>
      </c>
      <c r="D710" t="s">
        <v>266</v>
      </c>
      <c r="E710" t="s">
        <v>273</v>
      </c>
      <c r="F710" t="s">
        <v>283</v>
      </c>
      <c r="G710" s="7">
        <v>6</v>
      </c>
      <c r="H710" s="3">
        <v>44471.82</v>
      </c>
      <c r="I710" s="3">
        <v>266830.92</v>
      </c>
    </row>
    <row r="711" spans="1:9" x14ac:dyDescent="0.3">
      <c r="A711" s="5" t="s">
        <v>123</v>
      </c>
      <c r="B711" t="s">
        <v>257</v>
      </c>
      <c r="C711" t="s">
        <v>261</v>
      </c>
      <c r="D711" t="s">
        <v>266</v>
      </c>
      <c r="E711" t="s">
        <v>272</v>
      </c>
      <c r="F711" t="s">
        <v>290</v>
      </c>
      <c r="G711" s="7">
        <v>7</v>
      </c>
      <c r="H711" s="3">
        <v>32124.9</v>
      </c>
      <c r="I711" s="3">
        <v>224874.3</v>
      </c>
    </row>
    <row r="712" spans="1:9" x14ac:dyDescent="0.3">
      <c r="A712" s="5" t="s">
        <v>124</v>
      </c>
      <c r="B712" t="s">
        <v>253</v>
      </c>
      <c r="C712" t="s">
        <v>263</v>
      </c>
      <c r="D712" t="s">
        <v>270</v>
      </c>
      <c r="E712" t="s">
        <v>272</v>
      </c>
      <c r="F712" t="s">
        <v>277</v>
      </c>
      <c r="G712" s="7">
        <v>6</v>
      </c>
      <c r="H712" s="3">
        <v>28706.85</v>
      </c>
      <c r="I712" s="3">
        <v>172241.1</v>
      </c>
    </row>
    <row r="713" spans="1:9" x14ac:dyDescent="0.3">
      <c r="A713" s="5" t="s">
        <v>124</v>
      </c>
      <c r="B713" t="s">
        <v>258</v>
      </c>
      <c r="C713" t="s">
        <v>263</v>
      </c>
      <c r="D713" t="s">
        <v>267</v>
      </c>
      <c r="E713" t="s">
        <v>273</v>
      </c>
      <c r="F713" t="s">
        <v>283</v>
      </c>
      <c r="G713" s="7">
        <v>4</v>
      </c>
      <c r="H713" s="3">
        <v>52970.19</v>
      </c>
      <c r="I713" s="3">
        <v>211880.76</v>
      </c>
    </row>
    <row r="714" spans="1:9" x14ac:dyDescent="0.3">
      <c r="A714" s="5" t="s">
        <v>124</v>
      </c>
      <c r="B714" t="s">
        <v>260</v>
      </c>
      <c r="C714" t="s">
        <v>262</v>
      </c>
      <c r="D714" t="s">
        <v>267</v>
      </c>
      <c r="E714" t="s">
        <v>273</v>
      </c>
      <c r="F714" t="s">
        <v>279</v>
      </c>
      <c r="G714" s="7">
        <v>1</v>
      </c>
      <c r="H714" s="3">
        <v>48137.87</v>
      </c>
      <c r="I714" s="3">
        <v>48137.87</v>
      </c>
    </row>
    <row r="715" spans="1:9" x14ac:dyDescent="0.3">
      <c r="A715" s="5" t="s">
        <v>124</v>
      </c>
      <c r="B715" t="s">
        <v>254</v>
      </c>
      <c r="C715" t="s">
        <v>262</v>
      </c>
      <c r="D715" t="s">
        <v>267</v>
      </c>
      <c r="E715" t="s">
        <v>274</v>
      </c>
      <c r="F715" t="s">
        <v>280</v>
      </c>
      <c r="G715" s="7">
        <v>9</v>
      </c>
      <c r="H715" s="3">
        <v>39101.33</v>
      </c>
      <c r="I715" s="3">
        <v>351911.97</v>
      </c>
    </row>
    <row r="716" spans="1:9" x14ac:dyDescent="0.3">
      <c r="A716" s="5" t="s">
        <v>124</v>
      </c>
      <c r="B716" t="s">
        <v>257</v>
      </c>
      <c r="C716" t="s">
        <v>261</v>
      </c>
      <c r="D716" t="s">
        <v>270</v>
      </c>
      <c r="E716" t="s">
        <v>274</v>
      </c>
      <c r="F716" t="s">
        <v>287</v>
      </c>
      <c r="G716" s="7">
        <v>4</v>
      </c>
      <c r="H716" s="3">
        <v>39332.65</v>
      </c>
      <c r="I716" s="3">
        <v>157330.6</v>
      </c>
    </row>
    <row r="717" spans="1:9" x14ac:dyDescent="0.3">
      <c r="A717" s="5" t="s">
        <v>124</v>
      </c>
      <c r="B717" t="s">
        <v>257</v>
      </c>
      <c r="C717" t="s">
        <v>265</v>
      </c>
      <c r="D717" t="s">
        <v>267</v>
      </c>
      <c r="E717" t="s">
        <v>274</v>
      </c>
      <c r="F717" t="s">
        <v>287</v>
      </c>
      <c r="G717" s="7">
        <v>7</v>
      </c>
      <c r="H717" s="3">
        <v>28087.1</v>
      </c>
      <c r="I717" s="3">
        <v>196609.7</v>
      </c>
    </row>
    <row r="718" spans="1:9" x14ac:dyDescent="0.3">
      <c r="A718" s="5" t="s">
        <v>125</v>
      </c>
      <c r="B718" t="s">
        <v>256</v>
      </c>
      <c r="C718" t="s">
        <v>263</v>
      </c>
      <c r="D718" t="s">
        <v>266</v>
      </c>
      <c r="E718" t="s">
        <v>272</v>
      </c>
      <c r="F718" t="s">
        <v>277</v>
      </c>
      <c r="G718" s="7">
        <v>7</v>
      </c>
      <c r="H718" s="3">
        <v>28911.83</v>
      </c>
      <c r="I718" s="3">
        <v>202382.81</v>
      </c>
    </row>
    <row r="719" spans="1:9" x14ac:dyDescent="0.3">
      <c r="A719" s="5" t="s">
        <v>125</v>
      </c>
      <c r="B719" t="s">
        <v>254</v>
      </c>
      <c r="C719" t="s">
        <v>262</v>
      </c>
      <c r="D719" t="s">
        <v>268</v>
      </c>
      <c r="E719" t="s">
        <v>273</v>
      </c>
      <c r="F719" t="s">
        <v>279</v>
      </c>
      <c r="G719" s="7">
        <v>2</v>
      </c>
      <c r="H719" s="3">
        <v>49224.4</v>
      </c>
      <c r="I719" s="3">
        <v>98448.8</v>
      </c>
    </row>
    <row r="720" spans="1:9" x14ac:dyDescent="0.3">
      <c r="A720" s="5" t="s">
        <v>125</v>
      </c>
      <c r="B720" t="s">
        <v>257</v>
      </c>
      <c r="C720" t="s">
        <v>261</v>
      </c>
      <c r="D720" t="s">
        <v>266</v>
      </c>
      <c r="E720" t="s">
        <v>271</v>
      </c>
      <c r="F720" t="s">
        <v>275</v>
      </c>
      <c r="G720" s="7">
        <v>1</v>
      </c>
      <c r="H720" s="3">
        <v>8094.97</v>
      </c>
      <c r="I720" s="3">
        <v>8094.97</v>
      </c>
    </row>
    <row r="721" spans="1:9" x14ac:dyDescent="0.3">
      <c r="A721" s="5" t="s">
        <v>125</v>
      </c>
      <c r="B721" t="s">
        <v>254</v>
      </c>
      <c r="C721" t="s">
        <v>262</v>
      </c>
      <c r="D721" t="s">
        <v>266</v>
      </c>
      <c r="E721" t="s">
        <v>272</v>
      </c>
      <c r="F721" t="s">
        <v>276</v>
      </c>
      <c r="G721" s="7">
        <v>8</v>
      </c>
      <c r="H721" s="3">
        <v>28359.26</v>
      </c>
      <c r="I721" s="3">
        <v>226874.08</v>
      </c>
    </row>
    <row r="722" spans="1:9" x14ac:dyDescent="0.3">
      <c r="A722" s="5" t="s">
        <v>125</v>
      </c>
      <c r="B722" t="s">
        <v>258</v>
      </c>
      <c r="C722" t="s">
        <v>263</v>
      </c>
      <c r="D722" t="s">
        <v>268</v>
      </c>
      <c r="E722" t="s">
        <v>271</v>
      </c>
      <c r="F722" t="s">
        <v>282</v>
      </c>
      <c r="G722" s="7">
        <v>8</v>
      </c>
      <c r="H722" s="3">
        <v>9529.1200000000008</v>
      </c>
      <c r="I722" s="3">
        <v>76232.960000000006</v>
      </c>
    </row>
    <row r="723" spans="1:9" x14ac:dyDescent="0.3">
      <c r="A723" s="5" t="s">
        <v>125</v>
      </c>
      <c r="B723" t="s">
        <v>256</v>
      </c>
      <c r="C723" t="s">
        <v>263</v>
      </c>
      <c r="D723" t="s">
        <v>266</v>
      </c>
      <c r="E723" t="s">
        <v>273</v>
      </c>
      <c r="F723" t="s">
        <v>279</v>
      </c>
      <c r="G723" s="7">
        <v>7</v>
      </c>
      <c r="H723" s="3">
        <v>42331.22</v>
      </c>
      <c r="I723" s="3">
        <v>296318.53999999998</v>
      </c>
    </row>
    <row r="724" spans="1:9" x14ac:dyDescent="0.3">
      <c r="A724" s="5" t="s">
        <v>126</v>
      </c>
      <c r="B724" t="s">
        <v>254</v>
      </c>
      <c r="C724" t="s">
        <v>264</v>
      </c>
      <c r="D724" t="s">
        <v>270</v>
      </c>
      <c r="E724" t="s">
        <v>272</v>
      </c>
      <c r="F724" t="s">
        <v>286</v>
      </c>
      <c r="G724" s="7">
        <v>8</v>
      </c>
      <c r="H724" s="3">
        <v>30542.19</v>
      </c>
      <c r="I724" s="3">
        <v>244337.52</v>
      </c>
    </row>
    <row r="725" spans="1:9" x14ac:dyDescent="0.3">
      <c r="A725" s="5" t="s">
        <v>126</v>
      </c>
      <c r="B725" t="s">
        <v>260</v>
      </c>
      <c r="C725" t="s">
        <v>265</v>
      </c>
      <c r="D725" t="s">
        <v>268</v>
      </c>
      <c r="E725" t="s">
        <v>271</v>
      </c>
      <c r="F725" t="s">
        <v>282</v>
      </c>
      <c r="G725" s="7">
        <v>3</v>
      </c>
      <c r="H725" s="3">
        <v>9596.32</v>
      </c>
      <c r="I725" s="3">
        <v>28788.959999999999</v>
      </c>
    </row>
    <row r="726" spans="1:9" x14ac:dyDescent="0.3">
      <c r="A726" s="5" t="s">
        <v>126</v>
      </c>
      <c r="B726" t="s">
        <v>260</v>
      </c>
      <c r="C726" t="s">
        <v>264</v>
      </c>
      <c r="D726" t="s">
        <v>266</v>
      </c>
      <c r="E726" t="s">
        <v>271</v>
      </c>
      <c r="F726" t="s">
        <v>275</v>
      </c>
      <c r="G726" s="7">
        <v>2</v>
      </c>
      <c r="H726" s="3">
        <v>7532.69</v>
      </c>
      <c r="I726" s="3">
        <v>15065.38</v>
      </c>
    </row>
    <row r="727" spans="1:9" x14ac:dyDescent="0.3">
      <c r="A727" s="5" t="s">
        <v>126</v>
      </c>
      <c r="B727" t="s">
        <v>255</v>
      </c>
      <c r="C727" t="s">
        <v>261</v>
      </c>
      <c r="D727" t="s">
        <v>269</v>
      </c>
      <c r="E727" t="s">
        <v>274</v>
      </c>
      <c r="F727" t="s">
        <v>287</v>
      </c>
      <c r="G727" s="7">
        <v>7</v>
      </c>
      <c r="H727" s="3">
        <v>33568.379999999997</v>
      </c>
      <c r="I727" s="3">
        <v>234978.66</v>
      </c>
    </row>
    <row r="728" spans="1:9" x14ac:dyDescent="0.3">
      <c r="A728" s="5" t="s">
        <v>126</v>
      </c>
      <c r="B728" t="s">
        <v>256</v>
      </c>
      <c r="C728" t="s">
        <v>262</v>
      </c>
      <c r="D728" t="s">
        <v>266</v>
      </c>
      <c r="E728" t="s">
        <v>274</v>
      </c>
      <c r="F728" t="s">
        <v>289</v>
      </c>
      <c r="G728" s="7">
        <v>8</v>
      </c>
      <c r="H728" s="3">
        <v>30567.42</v>
      </c>
      <c r="I728" s="3">
        <v>244539.36</v>
      </c>
    </row>
    <row r="729" spans="1:9" x14ac:dyDescent="0.3">
      <c r="A729" s="5" t="s">
        <v>126</v>
      </c>
      <c r="B729" t="s">
        <v>256</v>
      </c>
      <c r="C729" t="s">
        <v>261</v>
      </c>
      <c r="D729" t="s">
        <v>270</v>
      </c>
      <c r="E729" t="s">
        <v>274</v>
      </c>
      <c r="F729" t="s">
        <v>289</v>
      </c>
      <c r="G729" s="7">
        <v>1</v>
      </c>
      <c r="H729" s="3">
        <v>36472.15</v>
      </c>
      <c r="I729" s="3">
        <v>36472.15</v>
      </c>
    </row>
    <row r="730" spans="1:9" x14ac:dyDescent="0.3">
      <c r="A730" s="5" t="s">
        <v>127</v>
      </c>
      <c r="B730" t="s">
        <v>255</v>
      </c>
      <c r="C730" t="s">
        <v>263</v>
      </c>
      <c r="D730" t="s">
        <v>267</v>
      </c>
      <c r="E730" t="s">
        <v>272</v>
      </c>
      <c r="F730" t="s">
        <v>276</v>
      </c>
      <c r="G730" s="7">
        <v>9</v>
      </c>
      <c r="H730" s="3">
        <v>25923.02</v>
      </c>
      <c r="I730" s="3">
        <v>233307.18</v>
      </c>
    </row>
    <row r="731" spans="1:9" x14ac:dyDescent="0.3">
      <c r="A731" s="5" t="s">
        <v>127</v>
      </c>
      <c r="B731" t="s">
        <v>254</v>
      </c>
      <c r="C731" t="s">
        <v>264</v>
      </c>
      <c r="D731" t="s">
        <v>266</v>
      </c>
      <c r="E731" t="s">
        <v>273</v>
      </c>
      <c r="F731" t="s">
        <v>279</v>
      </c>
      <c r="G731" s="7">
        <v>4</v>
      </c>
      <c r="H731" s="3">
        <v>54310.28</v>
      </c>
      <c r="I731" s="3">
        <v>217241.12</v>
      </c>
    </row>
    <row r="732" spans="1:9" x14ac:dyDescent="0.3">
      <c r="A732" s="5" t="s">
        <v>127</v>
      </c>
      <c r="B732" t="s">
        <v>256</v>
      </c>
      <c r="C732" t="s">
        <v>264</v>
      </c>
      <c r="D732" t="s">
        <v>267</v>
      </c>
      <c r="E732" t="s">
        <v>273</v>
      </c>
      <c r="F732" t="s">
        <v>283</v>
      </c>
      <c r="G732" s="7">
        <v>4</v>
      </c>
      <c r="H732" s="3">
        <v>46006.94</v>
      </c>
      <c r="I732" s="3">
        <v>184027.76</v>
      </c>
    </row>
    <row r="733" spans="1:9" x14ac:dyDescent="0.3">
      <c r="A733" s="5" t="s">
        <v>127</v>
      </c>
      <c r="B733" t="s">
        <v>260</v>
      </c>
      <c r="C733" t="s">
        <v>264</v>
      </c>
      <c r="D733" t="s">
        <v>269</v>
      </c>
      <c r="E733" t="s">
        <v>274</v>
      </c>
      <c r="F733" t="s">
        <v>289</v>
      </c>
      <c r="G733" s="7">
        <v>3</v>
      </c>
      <c r="H733" s="3">
        <v>29734.44</v>
      </c>
      <c r="I733" s="3">
        <v>89203.32</v>
      </c>
    </row>
    <row r="734" spans="1:9" x14ac:dyDescent="0.3">
      <c r="A734" s="5" t="s">
        <v>127</v>
      </c>
      <c r="B734" t="s">
        <v>260</v>
      </c>
      <c r="C734" t="s">
        <v>261</v>
      </c>
      <c r="D734" t="s">
        <v>266</v>
      </c>
      <c r="E734" t="s">
        <v>274</v>
      </c>
      <c r="F734" t="s">
        <v>289</v>
      </c>
      <c r="G734" s="7">
        <v>6</v>
      </c>
      <c r="H734" s="3">
        <v>32806.68</v>
      </c>
      <c r="I734" s="3">
        <v>196840.08</v>
      </c>
    </row>
    <row r="735" spans="1:9" x14ac:dyDescent="0.3">
      <c r="A735" s="5" t="s">
        <v>127</v>
      </c>
      <c r="B735" t="s">
        <v>257</v>
      </c>
      <c r="C735" t="s">
        <v>263</v>
      </c>
      <c r="D735" t="s">
        <v>268</v>
      </c>
      <c r="E735" t="s">
        <v>274</v>
      </c>
      <c r="F735" t="s">
        <v>280</v>
      </c>
      <c r="G735" s="7">
        <v>1</v>
      </c>
      <c r="H735" s="3">
        <v>32431.919999999998</v>
      </c>
      <c r="I735" s="3">
        <v>32431.919999999998</v>
      </c>
    </row>
    <row r="736" spans="1:9" x14ac:dyDescent="0.3">
      <c r="A736" s="5" t="s">
        <v>127</v>
      </c>
      <c r="B736" t="s">
        <v>258</v>
      </c>
      <c r="C736" t="s">
        <v>262</v>
      </c>
      <c r="D736" t="s">
        <v>267</v>
      </c>
      <c r="E736" t="s">
        <v>271</v>
      </c>
      <c r="F736" t="s">
        <v>282</v>
      </c>
      <c r="G736" s="7">
        <v>6</v>
      </c>
      <c r="H736" s="3">
        <v>8683.32</v>
      </c>
      <c r="I736" s="3">
        <v>52099.92</v>
      </c>
    </row>
    <row r="737" spans="1:9" x14ac:dyDescent="0.3">
      <c r="A737" s="5" t="s">
        <v>128</v>
      </c>
      <c r="B737" t="s">
        <v>256</v>
      </c>
      <c r="C737" t="s">
        <v>262</v>
      </c>
      <c r="D737" t="s">
        <v>269</v>
      </c>
      <c r="E737" t="s">
        <v>274</v>
      </c>
      <c r="F737" t="s">
        <v>284</v>
      </c>
      <c r="G737" s="7">
        <v>2</v>
      </c>
      <c r="H737" s="3">
        <v>34695.18</v>
      </c>
      <c r="I737" s="3">
        <v>69390.36</v>
      </c>
    </row>
    <row r="738" spans="1:9" x14ac:dyDescent="0.3">
      <c r="A738" s="5" t="s">
        <v>128</v>
      </c>
      <c r="B738" t="s">
        <v>254</v>
      </c>
      <c r="C738" t="s">
        <v>261</v>
      </c>
      <c r="D738" t="s">
        <v>268</v>
      </c>
      <c r="E738" t="s">
        <v>271</v>
      </c>
      <c r="F738" t="s">
        <v>282</v>
      </c>
      <c r="G738" s="7">
        <v>9</v>
      </c>
      <c r="H738" s="3">
        <v>8996.99</v>
      </c>
      <c r="I738" s="3">
        <v>80972.91</v>
      </c>
    </row>
    <row r="739" spans="1:9" x14ac:dyDescent="0.3">
      <c r="A739" s="5" t="s">
        <v>128</v>
      </c>
      <c r="B739" t="s">
        <v>255</v>
      </c>
      <c r="C739" t="s">
        <v>264</v>
      </c>
      <c r="D739" t="s">
        <v>268</v>
      </c>
      <c r="E739" t="s">
        <v>273</v>
      </c>
      <c r="F739" t="s">
        <v>283</v>
      </c>
      <c r="G739" s="7">
        <v>2</v>
      </c>
      <c r="H739" s="3">
        <v>40945.99</v>
      </c>
      <c r="I739" s="3">
        <v>81891.98</v>
      </c>
    </row>
    <row r="740" spans="1:9" x14ac:dyDescent="0.3">
      <c r="A740" s="5" t="s">
        <v>128</v>
      </c>
      <c r="B740" t="s">
        <v>255</v>
      </c>
      <c r="C740" t="s">
        <v>265</v>
      </c>
      <c r="D740" t="s">
        <v>268</v>
      </c>
      <c r="E740" t="s">
        <v>272</v>
      </c>
      <c r="F740" t="s">
        <v>290</v>
      </c>
      <c r="G740" s="7">
        <v>7</v>
      </c>
      <c r="H740" s="3">
        <v>24534.49</v>
      </c>
      <c r="I740" s="3">
        <v>171741.43</v>
      </c>
    </row>
    <row r="741" spans="1:9" x14ac:dyDescent="0.3">
      <c r="A741" s="5" t="s">
        <v>128</v>
      </c>
      <c r="B741" t="s">
        <v>254</v>
      </c>
      <c r="C741" t="s">
        <v>261</v>
      </c>
      <c r="D741" t="s">
        <v>268</v>
      </c>
      <c r="E741" t="s">
        <v>272</v>
      </c>
      <c r="F741" t="s">
        <v>276</v>
      </c>
      <c r="G741" s="7">
        <v>1</v>
      </c>
      <c r="H741" s="3">
        <v>31969.45</v>
      </c>
      <c r="I741" s="3">
        <v>31969.45</v>
      </c>
    </row>
    <row r="742" spans="1:9" x14ac:dyDescent="0.3">
      <c r="A742" s="5" t="s">
        <v>128</v>
      </c>
      <c r="B742" t="s">
        <v>253</v>
      </c>
      <c r="C742" t="s">
        <v>261</v>
      </c>
      <c r="D742" t="s">
        <v>266</v>
      </c>
      <c r="E742" t="s">
        <v>272</v>
      </c>
      <c r="F742" t="s">
        <v>277</v>
      </c>
      <c r="G742" s="7">
        <v>7</v>
      </c>
      <c r="H742" s="3">
        <v>30068.84</v>
      </c>
      <c r="I742" s="3">
        <v>210481.88</v>
      </c>
    </row>
    <row r="743" spans="1:9" x14ac:dyDescent="0.3">
      <c r="A743" s="5" t="s">
        <v>129</v>
      </c>
      <c r="B743" t="s">
        <v>259</v>
      </c>
      <c r="C743" t="s">
        <v>263</v>
      </c>
      <c r="D743" t="s">
        <v>266</v>
      </c>
      <c r="E743" t="s">
        <v>272</v>
      </c>
      <c r="F743" t="s">
        <v>277</v>
      </c>
      <c r="G743" s="7">
        <v>5</v>
      </c>
      <c r="H743" s="3">
        <v>27820.81</v>
      </c>
      <c r="I743" s="3">
        <v>139104.04999999999</v>
      </c>
    </row>
    <row r="744" spans="1:9" x14ac:dyDescent="0.3">
      <c r="A744" s="5" t="s">
        <v>129</v>
      </c>
      <c r="B744" t="s">
        <v>258</v>
      </c>
      <c r="C744" t="s">
        <v>262</v>
      </c>
      <c r="D744" t="s">
        <v>266</v>
      </c>
      <c r="E744" t="s">
        <v>271</v>
      </c>
      <c r="F744" t="s">
        <v>275</v>
      </c>
      <c r="G744" s="7">
        <v>8</v>
      </c>
      <c r="H744" s="3">
        <v>9973.42</v>
      </c>
      <c r="I744" s="3">
        <v>79787.360000000001</v>
      </c>
    </row>
    <row r="745" spans="1:9" x14ac:dyDescent="0.3">
      <c r="A745" s="5" t="s">
        <v>129</v>
      </c>
      <c r="B745" t="s">
        <v>255</v>
      </c>
      <c r="C745" t="s">
        <v>261</v>
      </c>
      <c r="D745" t="s">
        <v>269</v>
      </c>
      <c r="E745" t="s">
        <v>271</v>
      </c>
      <c r="F745" t="s">
        <v>281</v>
      </c>
      <c r="G745" s="7">
        <v>4</v>
      </c>
      <c r="H745" s="3">
        <v>8544.4</v>
      </c>
      <c r="I745" s="3">
        <v>34177.599999999999</v>
      </c>
    </row>
    <row r="746" spans="1:9" x14ac:dyDescent="0.3">
      <c r="A746" s="5" t="s">
        <v>129</v>
      </c>
      <c r="B746" t="s">
        <v>256</v>
      </c>
      <c r="C746" t="s">
        <v>261</v>
      </c>
      <c r="D746" t="s">
        <v>269</v>
      </c>
      <c r="E746" t="s">
        <v>274</v>
      </c>
      <c r="F746" t="s">
        <v>289</v>
      </c>
      <c r="G746" s="7">
        <v>7</v>
      </c>
      <c r="H746" s="3">
        <v>37388.35</v>
      </c>
      <c r="I746" s="3">
        <v>261718.45</v>
      </c>
    </row>
    <row r="747" spans="1:9" x14ac:dyDescent="0.3">
      <c r="A747" s="5" t="s">
        <v>129</v>
      </c>
      <c r="B747" t="s">
        <v>258</v>
      </c>
      <c r="C747" t="s">
        <v>264</v>
      </c>
      <c r="D747" t="s">
        <v>269</v>
      </c>
      <c r="E747" t="s">
        <v>271</v>
      </c>
      <c r="F747" t="s">
        <v>275</v>
      </c>
      <c r="G747" s="7">
        <v>6</v>
      </c>
      <c r="H747" s="3">
        <v>8264.57</v>
      </c>
      <c r="I747" s="3">
        <v>49587.42</v>
      </c>
    </row>
    <row r="748" spans="1:9" x14ac:dyDescent="0.3">
      <c r="A748" s="5" t="s">
        <v>129</v>
      </c>
      <c r="B748" t="s">
        <v>256</v>
      </c>
      <c r="C748" t="s">
        <v>264</v>
      </c>
      <c r="D748" t="s">
        <v>270</v>
      </c>
      <c r="E748" t="s">
        <v>274</v>
      </c>
      <c r="F748" t="s">
        <v>280</v>
      </c>
      <c r="G748" s="7">
        <v>5</v>
      </c>
      <c r="H748" s="3">
        <v>28132.42</v>
      </c>
      <c r="I748" s="3">
        <v>140662.1</v>
      </c>
    </row>
    <row r="749" spans="1:9" x14ac:dyDescent="0.3">
      <c r="A749" s="5" t="s">
        <v>130</v>
      </c>
      <c r="B749" t="s">
        <v>253</v>
      </c>
      <c r="C749" t="s">
        <v>265</v>
      </c>
      <c r="D749" t="s">
        <v>269</v>
      </c>
      <c r="E749" t="s">
        <v>274</v>
      </c>
      <c r="F749" t="s">
        <v>287</v>
      </c>
      <c r="G749" s="7">
        <v>4</v>
      </c>
      <c r="H749" s="3">
        <v>39137.79</v>
      </c>
      <c r="I749" s="3">
        <v>156551.16</v>
      </c>
    </row>
    <row r="750" spans="1:9" x14ac:dyDescent="0.3">
      <c r="A750" s="5" t="s">
        <v>130</v>
      </c>
      <c r="B750" t="s">
        <v>260</v>
      </c>
      <c r="C750" t="s">
        <v>263</v>
      </c>
      <c r="D750" t="s">
        <v>266</v>
      </c>
      <c r="E750" t="s">
        <v>272</v>
      </c>
      <c r="F750" t="s">
        <v>276</v>
      </c>
      <c r="G750" s="7">
        <v>7</v>
      </c>
      <c r="H750" s="3">
        <v>28218.97</v>
      </c>
      <c r="I750" s="3">
        <v>197532.79</v>
      </c>
    </row>
    <row r="751" spans="1:9" x14ac:dyDescent="0.3">
      <c r="A751" s="5" t="s">
        <v>130</v>
      </c>
      <c r="B751" t="s">
        <v>258</v>
      </c>
      <c r="C751" t="s">
        <v>265</v>
      </c>
      <c r="D751" t="s">
        <v>266</v>
      </c>
      <c r="E751" t="s">
        <v>271</v>
      </c>
      <c r="F751" t="s">
        <v>275</v>
      </c>
      <c r="G751" s="7">
        <v>5</v>
      </c>
      <c r="H751" s="3">
        <v>9920.15</v>
      </c>
      <c r="I751" s="3">
        <v>49600.75</v>
      </c>
    </row>
    <row r="752" spans="1:9" x14ac:dyDescent="0.3">
      <c r="A752" s="5" t="s">
        <v>130</v>
      </c>
      <c r="B752" t="s">
        <v>257</v>
      </c>
      <c r="C752" t="s">
        <v>264</v>
      </c>
      <c r="D752" t="s">
        <v>270</v>
      </c>
      <c r="E752" t="s">
        <v>271</v>
      </c>
      <c r="F752" t="s">
        <v>285</v>
      </c>
      <c r="G752" s="7">
        <v>5</v>
      </c>
      <c r="H752" s="3">
        <v>8174.09</v>
      </c>
      <c r="I752" s="3">
        <v>40870.449999999997</v>
      </c>
    </row>
    <row r="753" spans="1:9" x14ac:dyDescent="0.3">
      <c r="A753" s="5" t="s">
        <v>130</v>
      </c>
      <c r="B753" t="s">
        <v>255</v>
      </c>
      <c r="C753" t="s">
        <v>262</v>
      </c>
      <c r="D753" t="s">
        <v>270</v>
      </c>
      <c r="E753" t="s">
        <v>274</v>
      </c>
      <c r="F753" t="s">
        <v>280</v>
      </c>
      <c r="G753" s="7">
        <v>1</v>
      </c>
      <c r="H753" s="3">
        <v>35473.47</v>
      </c>
      <c r="I753" s="3">
        <v>35473.47</v>
      </c>
    </row>
    <row r="754" spans="1:9" x14ac:dyDescent="0.3">
      <c r="A754" s="5" t="s">
        <v>130</v>
      </c>
      <c r="B754" t="s">
        <v>258</v>
      </c>
      <c r="C754" t="s">
        <v>264</v>
      </c>
      <c r="D754" t="s">
        <v>269</v>
      </c>
      <c r="E754" t="s">
        <v>274</v>
      </c>
      <c r="F754" t="s">
        <v>284</v>
      </c>
      <c r="G754" s="7">
        <v>2</v>
      </c>
      <c r="H754" s="3">
        <v>38378.379999999997</v>
      </c>
      <c r="I754" s="3">
        <v>76756.759999999995</v>
      </c>
    </row>
    <row r="755" spans="1:9" x14ac:dyDescent="0.3">
      <c r="A755" s="5" t="s">
        <v>131</v>
      </c>
      <c r="B755" t="s">
        <v>258</v>
      </c>
      <c r="C755" t="s">
        <v>263</v>
      </c>
      <c r="D755" t="s">
        <v>267</v>
      </c>
      <c r="E755" t="s">
        <v>273</v>
      </c>
      <c r="F755" t="s">
        <v>283</v>
      </c>
      <c r="G755" s="7">
        <v>5</v>
      </c>
      <c r="H755" s="3">
        <v>38999.589999999997</v>
      </c>
      <c r="I755" s="3">
        <v>194997.95</v>
      </c>
    </row>
    <row r="756" spans="1:9" x14ac:dyDescent="0.3">
      <c r="A756" s="5" t="s">
        <v>131</v>
      </c>
      <c r="B756" t="s">
        <v>258</v>
      </c>
      <c r="C756" t="s">
        <v>264</v>
      </c>
      <c r="D756" t="s">
        <v>270</v>
      </c>
      <c r="E756" t="s">
        <v>273</v>
      </c>
      <c r="F756" t="s">
        <v>288</v>
      </c>
      <c r="G756" s="7">
        <v>3</v>
      </c>
      <c r="H756" s="3">
        <v>53201.440000000002</v>
      </c>
      <c r="I756" s="3">
        <v>159604.32</v>
      </c>
    </row>
    <row r="757" spans="1:9" x14ac:dyDescent="0.3">
      <c r="A757" s="5" t="s">
        <v>131</v>
      </c>
      <c r="B757" t="s">
        <v>259</v>
      </c>
      <c r="C757" t="s">
        <v>263</v>
      </c>
      <c r="D757" t="s">
        <v>268</v>
      </c>
      <c r="E757" t="s">
        <v>274</v>
      </c>
      <c r="F757" t="s">
        <v>289</v>
      </c>
      <c r="G757" s="7">
        <v>2</v>
      </c>
      <c r="H757" s="3">
        <v>34513.06</v>
      </c>
      <c r="I757" s="3">
        <v>69026.12</v>
      </c>
    </row>
    <row r="758" spans="1:9" x14ac:dyDescent="0.3">
      <c r="A758" s="5" t="s">
        <v>131</v>
      </c>
      <c r="B758" t="s">
        <v>258</v>
      </c>
      <c r="C758" t="s">
        <v>263</v>
      </c>
      <c r="D758" t="s">
        <v>266</v>
      </c>
      <c r="E758" t="s">
        <v>273</v>
      </c>
      <c r="F758" t="s">
        <v>288</v>
      </c>
      <c r="G758" s="7">
        <v>4</v>
      </c>
      <c r="H758" s="3">
        <v>49184.49</v>
      </c>
      <c r="I758" s="3">
        <v>196737.96</v>
      </c>
    </row>
    <row r="759" spans="1:9" x14ac:dyDescent="0.3">
      <c r="A759" s="5" t="s">
        <v>131</v>
      </c>
      <c r="B759" t="s">
        <v>256</v>
      </c>
      <c r="C759" t="s">
        <v>263</v>
      </c>
      <c r="D759" t="s">
        <v>268</v>
      </c>
      <c r="E759" t="s">
        <v>273</v>
      </c>
      <c r="F759" t="s">
        <v>283</v>
      </c>
      <c r="G759" s="7">
        <v>4</v>
      </c>
      <c r="H759" s="3">
        <v>47666.84</v>
      </c>
      <c r="I759" s="3">
        <v>190667.36</v>
      </c>
    </row>
    <row r="760" spans="1:9" x14ac:dyDescent="0.3">
      <c r="A760" s="5" t="s">
        <v>131</v>
      </c>
      <c r="B760" t="s">
        <v>260</v>
      </c>
      <c r="C760" t="s">
        <v>263</v>
      </c>
      <c r="D760" t="s">
        <v>266</v>
      </c>
      <c r="E760" t="s">
        <v>274</v>
      </c>
      <c r="F760" t="s">
        <v>287</v>
      </c>
      <c r="G760" s="7">
        <v>4</v>
      </c>
      <c r="H760" s="3">
        <v>38393.279999999999</v>
      </c>
      <c r="I760" s="3">
        <v>153573.12</v>
      </c>
    </row>
    <row r="761" spans="1:9" x14ac:dyDescent="0.3">
      <c r="A761" s="5" t="s">
        <v>132</v>
      </c>
      <c r="B761" t="s">
        <v>253</v>
      </c>
      <c r="C761" t="s">
        <v>263</v>
      </c>
      <c r="D761" t="s">
        <v>266</v>
      </c>
      <c r="E761" t="s">
        <v>274</v>
      </c>
      <c r="F761" t="s">
        <v>287</v>
      </c>
      <c r="G761" s="7">
        <v>4</v>
      </c>
      <c r="H761" s="3">
        <v>27755.95</v>
      </c>
      <c r="I761" s="3">
        <v>111023.8</v>
      </c>
    </row>
    <row r="762" spans="1:9" x14ac:dyDescent="0.3">
      <c r="A762" s="5" t="s">
        <v>132</v>
      </c>
      <c r="B762" t="s">
        <v>254</v>
      </c>
      <c r="C762" t="s">
        <v>262</v>
      </c>
      <c r="D762" t="s">
        <v>270</v>
      </c>
      <c r="E762" t="s">
        <v>271</v>
      </c>
      <c r="F762" t="s">
        <v>285</v>
      </c>
      <c r="G762" s="7">
        <v>3</v>
      </c>
      <c r="H762" s="3">
        <v>8112.5</v>
      </c>
      <c r="I762" s="3">
        <v>24337.5</v>
      </c>
    </row>
    <row r="763" spans="1:9" x14ac:dyDescent="0.3">
      <c r="A763" s="5" t="s">
        <v>132</v>
      </c>
      <c r="B763" t="s">
        <v>258</v>
      </c>
      <c r="C763" t="s">
        <v>265</v>
      </c>
      <c r="D763" t="s">
        <v>270</v>
      </c>
      <c r="E763" t="s">
        <v>274</v>
      </c>
      <c r="F763" t="s">
        <v>284</v>
      </c>
      <c r="G763" s="7">
        <v>7</v>
      </c>
      <c r="H763" s="3">
        <v>38409.760000000002</v>
      </c>
      <c r="I763" s="3">
        <v>268868.32</v>
      </c>
    </row>
    <row r="764" spans="1:9" x14ac:dyDescent="0.3">
      <c r="A764" s="5" t="s">
        <v>132</v>
      </c>
      <c r="B764" t="s">
        <v>255</v>
      </c>
      <c r="C764" t="s">
        <v>261</v>
      </c>
      <c r="D764" t="s">
        <v>268</v>
      </c>
      <c r="E764" t="s">
        <v>274</v>
      </c>
      <c r="F764" t="s">
        <v>289</v>
      </c>
      <c r="G764" s="7">
        <v>9</v>
      </c>
      <c r="H764" s="3">
        <v>36830.019999999997</v>
      </c>
      <c r="I764" s="3">
        <v>331470.18</v>
      </c>
    </row>
    <row r="765" spans="1:9" x14ac:dyDescent="0.3">
      <c r="A765" s="5" t="s">
        <v>132</v>
      </c>
      <c r="B765" t="s">
        <v>258</v>
      </c>
      <c r="C765" t="s">
        <v>265</v>
      </c>
      <c r="D765" t="s">
        <v>266</v>
      </c>
      <c r="E765" t="s">
        <v>272</v>
      </c>
      <c r="F765" t="s">
        <v>290</v>
      </c>
      <c r="G765" s="7">
        <v>5</v>
      </c>
      <c r="H765" s="3">
        <v>23997.63</v>
      </c>
      <c r="I765" s="3">
        <v>119988.15</v>
      </c>
    </row>
    <row r="766" spans="1:9" x14ac:dyDescent="0.3">
      <c r="A766" s="5" t="s">
        <v>132</v>
      </c>
      <c r="B766" t="s">
        <v>255</v>
      </c>
      <c r="C766" t="s">
        <v>263</v>
      </c>
      <c r="D766" t="s">
        <v>268</v>
      </c>
      <c r="E766" t="s">
        <v>271</v>
      </c>
      <c r="F766" t="s">
        <v>281</v>
      </c>
      <c r="G766" s="7">
        <v>4</v>
      </c>
      <c r="H766" s="3">
        <v>8982.82</v>
      </c>
      <c r="I766" s="3">
        <v>35931.279999999999</v>
      </c>
    </row>
    <row r="767" spans="1:9" x14ac:dyDescent="0.3">
      <c r="A767" s="5" t="s">
        <v>133</v>
      </c>
      <c r="B767" t="s">
        <v>256</v>
      </c>
      <c r="C767" t="s">
        <v>262</v>
      </c>
      <c r="D767" t="s">
        <v>267</v>
      </c>
      <c r="E767" t="s">
        <v>271</v>
      </c>
      <c r="F767" t="s">
        <v>281</v>
      </c>
      <c r="G767" s="7">
        <v>2</v>
      </c>
      <c r="H767" s="3">
        <v>9025.5499999999993</v>
      </c>
      <c r="I767" s="3">
        <v>18051.099999999999</v>
      </c>
    </row>
    <row r="768" spans="1:9" x14ac:dyDescent="0.3">
      <c r="A768" s="5" t="s">
        <v>133</v>
      </c>
      <c r="B768" t="s">
        <v>255</v>
      </c>
      <c r="C768" t="s">
        <v>264</v>
      </c>
      <c r="D768" t="s">
        <v>268</v>
      </c>
      <c r="E768" t="s">
        <v>271</v>
      </c>
      <c r="F768" t="s">
        <v>285</v>
      </c>
      <c r="G768" s="7">
        <v>2</v>
      </c>
      <c r="H768" s="3">
        <v>8588</v>
      </c>
      <c r="I768" s="3">
        <v>17176</v>
      </c>
    </row>
    <row r="769" spans="1:9" x14ac:dyDescent="0.3">
      <c r="A769" s="5" t="s">
        <v>133</v>
      </c>
      <c r="B769" t="s">
        <v>257</v>
      </c>
      <c r="C769" t="s">
        <v>262</v>
      </c>
      <c r="D769" t="s">
        <v>269</v>
      </c>
      <c r="E769" t="s">
        <v>272</v>
      </c>
      <c r="F769" t="s">
        <v>290</v>
      </c>
      <c r="G769" s="7">
        <v>5</v>
      </c>
      <c r="H769" s="3">
        <v>27130.81</v>
      </c>
      <c r="I769" s="3">
        <v>135654.04999999999</v>
      </c>
    </row>
    <row r="770" spans="1:9" x14ac:dyDescent="0.3">
      <c r="A770" s="5" t="s">
        <v>133</v>
      </c>
      <c r="B770" t="s">
        <v>254</v>
      </c>
      <c r="C770" t="s">
        <v>263</v>
      </c>
      <c r="D770" t="s">
        <v>268</v>
      </c>
      <c r="E770" t="s">
        <v>274</v>
      </c>
      <c r="F770" t="s">
        <v>284</v>
      </c>
      <c r="G770" s="7">
        <v>7</v>
      </c>
      <c r="H770" s="3">
        <v>35926.080000000002</v>
      </c>
      <c r="I770" s="3">
        <v>251482.56</v>
      </c>
    </row>
    <row r="771" spans="1:9" x14ac:dyDescent="0.3">
      <c r="A771" s="5" t="s">
        <v>133</v>
      </c>
      <c r="B771" t="s">
        <v>260</v>
      </c>
      <c r="C771" t="s">
        <v>262</v>
      </c>
      <c r="D771" t="s">
        <v>269</v>
      </c>
      <c r="E771" t="s">
        <v>271</v>
      </c>
      <c r="F771" t="s">
        <v>285</v>
      </c>
      <c r="G771" s="7">
        <v>9</v>
      </c>
      <c r="H771" s="3">
        <v>7931.49</v>
      </c>
      <c r="I771" s="3">
        <v>71383.41</v>
      </c>
    </row>
    <row r="772" spans="1:9" x14ac:dyDescent="0.3">
      <c r="A772" s="5" t="s">
        <v>133</v>
      </c>
      <c r="B772" t="s">
        <v>255</v>
      </c>
      <c r="C772" t="s">
        <v>262</v>
      </c>
      <c r="D772" t="s">
        <v>269</v>
      </c>
      <c r="E772" t="s">
        <v>271</v>
      </c>
      <c r="F772" t="s">
        <v>282</v>
      </c>
      <c r="G772" s="7">
        <v>7</v>
      </c>
      <c r="H772" s="3">
        <v>9941.43</v>
      </c>
      <c r="I772" s="3">
        <v>69590.009999999995</v>
      </c>
    </row>
    <row r="773" spans="1:9" x14ac:dyDescent="0.3">
      <c r="A773" s="5" t="s">
        <v>133</v>
      </c>
      <c r="B773" t="s">
        <v>255</v>
      </c>
      <c r="C773" t="s">
        <v>263</v>
      </c>
      <c r="D773" t="s">
        <v>269</v>
      </c>
      <c r="E773" t="s">
        <v>273</v>
      </c>
      <c r="F773" t="s">
        <v>288</v>
      </c>
      <c r="G773" s="7">
        <v>5</v>
      </c>
      <c r="H773" s="3">
        <v>52704.67</v>
      </c>
      <c r="I773" s="3">
        <v>263523.34999999998</v>
      </c>
    </row>
    <row r="774" spans="1:9" x14ac:dyDescent="0.3">
      <c r="A774" s="5" t="s">
        <v>134</v>
      </c>
      <c r="B774" t="s">
        <v>260</v>
      </c>
      <c r="C774" t="s">
        <v>262</v>
      </c>
      <c r="D774" t="s">
        <v>267</v>
      </c>
      <c r="E774" t="s">
        <v>271</v>
      </c>
      <c r="F774" t="s">
        <v>285</v>
      </c>
      <c r="G774" s="7">
        <v>6</v>
      </c>
      <c r="H774" s="3">
        <v>8636.89</v>
      </c>
      <c r="I774" s="3">
        <v>51821.34</v>
      </c>
    </row>
    <row r="775" spans="1:9" x14ac:dyDescent="0.3">
      <c r="A775" s="5" t="s">
        <v>134</v>
      </c>
      <c r="B775" t="s">
        <v>254</v>
      </c>
      <c r="C775" t="s">
        <v>261</v>
      </c>
      <c r="D775" t="s">
        <v>268</v>
      </c>
      <c r="E775" t="s">
        <v>274</v>
      </c>
      <c r="F775" t="s">
        <v>280</v>
      </c>
      <c r="G775" s="7">
        <v>3</v>
      </c>
      <c r="H775" s="3">
        <v>30829.41</v>
      </c>
      <c r="I775" s="3">
        <v>92488.23</v>
      </c>
    </row>
    <row r="776" spans="1:9" x14ac:dyDescent="0.3">
      <c r="A776" s="5" t="s">
        <v>134</v>
      </c>
      <c r="B776" t="s">
        <v>258</v>
      </c>
      <c r="C776" t="s">
        <v>261</v>
      </c>
      <c r="D776" t="s">
        <v>268</v>
      </c>
      <c r="E776" t="s">
        <v>274</v>
      </c>
      <c r="F776" t="s">
        <v>289</v>
      </c>
      <c r="G776" s="7">
        <v>5</v>
      </c>
      <c r="H776" s="3">
        <v>30833.64</v>
      </c>
      <c r="I776" s="3">
        <v>154168.20000000001</v>
      </c>
    </row>
    <row r="777" spans="1:9" x14ac:dyDescent="0.3">
      <c r="A777" s="5" t="s">
        <v>134</v>
      </c>
      <c r="B777" t="s">
        <v>255</v>
      </c>
      <c r="C777" t="s">
        <v>262</v>
      </c>
      <c r="D777" t="s">
        <v>267</v>
      </c>
      <c r="E777" t="s">
        <v>273</v>
      </c>
      <c r="F777" t="s">
        <v>283</v>
      </c>
      <c r="G777" s="7">
        <v>8</v>
      </c>
      <c r="H777" s="3">
        <v>46931.24</v>
      </c>
      <c r="I777" s="3">
        <v>375449.92</v>
      </c>
    </row>
    <row r="778" spans="1:9" x14ac:dyDescent="0.3">
      <c r="A778" s="5" t="s">
        <v>134</v>
      </c>
      <c r="B778" t="s">
        <v>260</v>
      </c>
      <c r="C778" t="s">
        <v>264</v>
      </c>
      <c r="D778" t="s">
        <v>266</v>
      </c>
      <c r="E778" t="s">
        <v>271</v>
      </c>
      <c r="F778" t="s">
        <v>275</v>
      </c>
      <c r="G778" s="7">
        <v>1</v>
      </c>
      <c r="H778" s="3">
        <v>9671.57</v>
      </c>
      <c r="I778" s="3">
        <v>9671.57</v>
      </c>
    </row>
    <row r="779" spans="1:9" x14ac:dyDescent="0.3">
      <c r="A779" s="5" t="s">
        <v>134</v>
      </c>
      <c r="B779" t="s">
        <v>257</v>
      </c>
      <c r="C779" t="s">
        <v>263</v>
      </c>
      <c r="D779" t="s">
        <v>270</v>
      </c>
      <c r="E779" t="s">
        <v>271</v>
      </c>
      <c r="F779" t="s">
        <v>281</v>
      </c>
      <c r="G779" s="7">
        <v>1</v>
      </c>
      <c r="H779" s="3">
        <v>8445.15</v>
      </c>
      <c r="I779" s="3">
        <v>8445.15</v>
      </c>
    </row>
    <row r="780" spans="1:9" x14ac:dyDescent="0.3">
      <c r="A780" s="5" t="s">
        <v>135</v>
      </c>
      <c r="B780" t="s">
        <v>257</v>
      </c>
      <c r="C780" t="s">
        <v>261</v>
      </c>
      <c r="D780" t="s">
        <v>268</v>
      </c>
      <c r="E780" t="s">
        <v>271</v>
      </c>
      <c r="F780" t="s">
        <v>285</v>
      </c>
      <c r="G780" s="7">
        <v>7</v>
      </c>
      <c r="H780" s="3">
        <v>9299.15</v>
      </c>
      <c r="I780" s="3">
        <v>65094.05</v>
      </c>
    </row>
    <row r="781" spans="1:9" x14ac:dyDescent="0.3">
      <c r="A781" s="5" t="s">
        <v>135</v>
      </c>
      <c r="B781" t="s">
        <v>256</v>
      </c>
      <c r="C781" t="s">
        <v>264</v>
      </c>
      <c r="D781" t="s">
        <v>270</v>
      </c>
      <c r="E781" t="s">
        <v>272</v>
      </c>
      <c r="F781" t="s">
        <v>276</v>
      </c>
      <c r="G781" s="7">
        <v>5</v>
      </c>
      <c r="H781" s="3">
        <v>28083.83</v>
      </c>
      <c r="I781" s="3">
        <v>140419.15</v>
      </c>
    </row>
    <row r="782" spans="1:9" x14ac:dyDescent="0.3">
      <c r="A782" s="5" t="s">
        <v>135</v>
      </c>
      <c r="B782" t="s">
        <v>260</v>
      </c>
      <c r="C782" t="s">
        <v>262</v>
      </c>
      <c r="D782" t="s">
        <v>267</v>
      </c>
      <c r="E782" t="s">
        <v>271</v>
      </c>
      <c r="F782" t="s">
        <v>282</v>
      </c>
      <c r="G782" s="7">
        <v>5</v>
      </c>
      <c r="H782" s="3">
        <v>8260.3799999999992</v>
      </c>
      <c r="I782" s="3">
        <v>41301.9</v>
      </c>
    </row>
    <row r="783" spans="1:9" x14ac:dyDescent="0.3">
      <c r="A783" s="5" t="s">
        <v>135</v>
      </c>
      <c r="B783" t="s">
        <v>256</v>
      </c>
      <c r="C783" t="s">
        <v>264</v>
      </c>
      <c r="D783" t="s">
        <v>266</v>
      </c>
      <c r="E783" t="s">
        <v>274</v>
      </c>
      <c r="F783" t="s">
        <v>289</v>
      </c>
      <c r="G783" s="7">
        <v>1</v>
      </c>
      <c r="H783" s="3">
        <v>27518.2</v>
      </c>
      <c r="I783" s="3">
        <v>27518.2</v>
      </c>
    </row>
    <row r="784" spans="1:9" x14ac:dyDescent="0.3">
      <c r="A784" s="5" t="s">
        <v>135</v>
      </c>
      <c r="B784" t="s">
        <v>257</v>
      </c>
      <c r="C784" t="s">
        <v>265</v>
      </c>
      <c r="D784" t="s">
        <v>266</v>
      </c>
      <c r="E784" t="s">
        <v>274</v>
      </c>
      <c r="F784" t="s">
        <v>287</v>
      </c>
      <c r="G784" s="7">
        <v>9</v>
      </c>
      <c r="H784" s="3">
        <v>27250.1</v>
      </c>
      <c r="I784" s="3">
        <v>245250.9</v>
      </c>
    </row>
    <row r="785" spans="1:9" x14ac:dyDescent="0.3">
      <c r="A785" s="5" t="s">
        <v>135</v>
      </c>
      <c r="B785" t="s">
        <v>254</v>
      </c>
      <c r="C785" t="s">
        <v>261</v>
      </c>
      <c r="D785" t="s">
        <v>266</v>
      </c>
      <c r="E785" t="s">
        <v>272</v>
      </c>
      <c r="F785" t="s">
        <v>277</v>
      </c>
      <c r="G785" s="7">
        <v>1</v>
      </c>
      <c r="H785" s="3">
        <v>26344.73</v>
      </c>
      <c r="I785" s="3">
        <v>26344.73</v>
      </c>
    </row>
    <row r="786" spans="1:9" x14ac:dyDescent="0.3">
      <c r="A786" s="5" t="s">
        <v>136</v>
      </c>
      <c r="B786" t="s">
        <v>258</v>
      </c>
      <c r="C786" t="s">
        <v>262</v>
      </c>
      <c r="D786" t="s">
        <v>267</v>
      </c>
      <c r="E786" t="s">
        <v>272</v>
      </c>
      <c r="F786" t="s">
        <v>286</v>
      </c>
      <c r="G786" s="7">
        <v>5</v>
      </c>
      <c r="H786" s="3">
        <v>28351.75</v>
      </c>
      <c r="I786" s="3">
        <v>141758.75</v>
      </c>
    </row>
    <row r="787" spans="1:9" x14ac:dyDescent="0.3">
      <c r="A787" s="5" t="s">
        <v>136</v>
      </c>
      <c r="B787" t="s">
        <v>260</v>
      </c>
      <c r="C787" t="s">
        <v>263</v>
      </c>
      <c r="D787" t="s">
        <v>269</v>
      </c>
      <c r="E787" t="s">
        <v>271</v>
      </c>
      <c r="F787" t="s">
        <v>285</v>
      </c>
      <c r="G787" s="7">
        <v>9</v>
      </c>
      <c r="H787" s="3">
        <v>10119.290000000001</v>
      </c>
      <c r="I787" s="3">
        <v>91073.61</v>
      </c>
    </row>
    <row r="788" spans="1:9" x14ac:dyDescent="0.3">
      <c r="A788" s="5" t="s">
        <v>136</v>
      </c>
      <c r="B788" t="s">
        <v>253</v>
      </c>
      <c r="C788" t="s">
        <v>262</v>
      </c>
      <c r="D788" t="s">
        <v>269</v>
      </c>
      <c r="E788" t="s">
        <v>273</v>
      </c>
      <c r="F788" t="s">
        <v>279</v>
      </c>
      <c r="G788" s="7">
        <v>4</v>
      </c>
      <c r="H788" s="3">
        <v>52622.720000000001</v>
      </c>
      <c r="I788" s="3">
        <v>210490.88</v>
      </c>
    </row>
    <row r="789" spans="1:9" x14ac:dyDescent="0.3">
      <c r="A789" s="5" t="s">
        <v>136</v>
      </c>
      <c r="B789" t="s">
        <v>257</v>
      </c>
      <c r="C789" t="s">
        <v>263</v>
      </c>
      <c r="D789" t="s">
        <v>270</v>
      </c>
      <c r="E789" t="s">
        <v>272</v>
      </c>
      <c r="F789" t="s">
        <v>290</v>
      </c>
      <c r="G789" s="7">
        <v>8</v>
      </c>
      <c r="H789" s="3">
        <v>26792.25</v>
      </c>
      <c r="I789" s="3">
        <v>214338</v>
      </c>
    </row>
    <row r="790" spans="1:9" x14ac:dyDescent="0.3">
      <c r="A790" s="5" t="s">
        <v>136</v>
      </c>
      <c r="B790" t="s">
        <v>257</v>
      </c>
      <c r="C790" t="s">
        <v>262</v>
      </c>
      <c r="D790" t="s">
        <v>269</v>
      </c>
      <c r="E790" t="s">
        <v>272</v>
      </c>
      <c r="F790" t="s">
        <v>276</v>
      </c>
      <c r="G790" s="7">
        <v>6</v>
      </c>
      <c r="H790" s="3">
        <v>26538.85</v>
      </c>
      <c r="I790" s="3">
        <v>159233.1</v>
      </c>
    </row>
    <row r="791" spans="1:9" x14ac:dyDescent="0.3">
      <c r="A791" s="5" t="s">
        <v>136</v>
      </c>
      <c r="B791" t="s">
        <v>253</v>
      </c>
      <c r="C791" t="s">
        <v>264</v>
      </c>
      <c r="D791" t="s">
        <v>269</v>
      </c>
      <c r="E791" t="s">
        <v>271</v>
      </c>
      <c r="F791" t="s">
        <v>282</v>
      </c>
      <c r="G791" s="7">
        <v>3</v>
      </c>
      <c r="H791" s="3">
        <v>7997.9</v>
      </c>
      <c r="I791" s="3">
        <v>23993.7</v>
      </c>
    </row>
    <row r="792" spans="1:9" x14ac:dyDescent="0.3">
      <c r="A792" s="5" t="s">
        <v>137</v>
      </c>
      <c r="B792" t="s">
        <v>259</v>
      </c>
      <c r="C792" t="s">
        <v>264</v>
      </c>
      <c r="D792" t="s">
        <v>266</v>
      </c>
      <c r="E792" t="s">
        <v>271</v>
      </c>
      <c r="F792" t="s">
        <v>281</v>
      </c>
      <c r="G792" s="7">
        <v>4</v>
      </c>
      <c r="H792" s="3">
        <v>8378.41</v>
      </c>
      <c r="I792" s="3">
        <v>33513.64</v>
      </c>
    </row>
    <row r="793" spans="1:9" x14ac:dyDescent="0.3">
      <c r="A793" s="5" t="s">
        <v>137</v>
      </c>
      <c r="B793" t="s">
        <v>257</v>
      </c>
      <c r="C793" t="s">
        <v>264</v>
      </c>
      <c r="D793" t="s">
        <v>266</v>
      </c>
      <c r="E793" t="s">
        <v>272</v>
      </c>
      <c r="F793" t="s">
        <v>276</v>
      </c>
      <c r="G793" s="7">
        <v>2</v>
      </c>
      <c r="H793" s="3">
        <v>29379.83</v>
      </c>
      <c r="I793" s="3">
        <v>58759.66</v>
      </c>
    </row>
    <row r="794" spans="1:9" x14ac:dyDescent="0.3">
      <c r="A794" s="5" t="s">
        <v>137</v>
      </c>
      <c r="B794" t="s">
        <v>255</v>
      </c>
      <c r="C794" t="s">
        <v>265</v>
      </c>
      <c r="D794" t="s">
        <v>270</v>
      </c>
      <c r="E794" t="s">
        <v>273</v>
      </c>
      <c r="F794" t="s">
        <v>279</v>
      </c>
      <c r="G794" s="7">
        <v>1</v>
      </c>
      <c r="H794" s="3">
        <v>46146.02</v>
      </c>
      <c r="I794" s="3">
        <v>46146.02</v>
      </c>
    </row>
    <row r="795" spans="1:9" x14ac:dyDescent="0.3">
      <c r="A795" s="5" t="s">
        <v>137</v>
      </c>
      <c r="B795" t="s">
        <v>254</v>
      </c>
      <c r="C795" t="s">
        <v>263</v>
      </c>
      <c r="D795" t="s">
        <v>268</v>
      </c>
      <c r="E795" t="s">
        <v>272</v>
      </c>
      <c r="F795" t="s">
        <v>290</v>
      </c>
      <c r="G795" s="7">
        <v>8</v>
      </c>
      <c r="H795" s="3">
        <v>26244.66</v>
      </c>
      <c r="I795" s="3">
        <v>209957.28</v>
      </c>
    </row>
    <row r="796" spans="1:9" x14ac:dyDescent="0.3">
      <c r="A796" s="5" t="s">
        <v>137</v>
      </c>
      <c r="B796" t="s">
        <v>260</v>
      </c>
      <c r="C796" t="s">
        <v>264</v>
      </c>
      <c r="D796" t="s">
        <v>270</v>
      </c>
      <c r="E796" t="s">
        <v>271</v>
      </c>
      <c r="F796" t="s">
        <v>282</v>
      </c>
      <c r="G796" s="7">
        <v>1</v>
      </c>
      <c r="H796" s="3">
        <v>7668.53</v>
      </c>
      <c r="I796" s="3">
        <v>7668.53</v>
      </c>
    </row>
    <row r="797" spans="1:9" x14ac:dyDescent="0.3">
      <c r="A797" s="5" t="s">
        <v>137</v>
      </c>
      <c r="B797" t="s">
        <v>253</v>
      </c>
      <c r="C797" t="s">
        <v>265</v>
      </c>
      <c r="D797" t="s">
        <v>270</v>
      </c>
      <c r="E797" t="s">
        <v>271</v>
      </c>
      <c r="F797" t="s">
        <v>285</v>
      </c>
      <c r="G797" s="7">
        <v>1</v>
      </c>
      <c r="H797" s="3">
        <v>7267.76</v>
      </c>
      <c r="I797" s="3">
        <v>7267.76</v>
      </c>
    </row>
    <row r="798" spans="1:9" x14ac:dyDescent="0.3">
      <c r="A798" s="5" t="s">
        <v>138</v>
      </c>
      <c r="B798" t="s">
        <v>255</v>
      </c>
      <c r="C798" t="s">
        <v>263</v>
      </c>
      <c r="D798" t="s">
        <v>267</v>
      </c>
      <c r="E798" t="s">
        <v>272</v>
      </c>
      <c r="F798" t="s">
        <v>286</v>
      </c>
      <c r="G798" s="7">
        <v>4</v>
      </c>
      <c r="H798" s="3">
        <v>25524.39</v>
      </c>
      <c r="I798" s="3">
        <v>102097.56</v>
      </c>
    </row>
    <row r="799" spans="1:9" x14ac:dyDescent="0.3">
      <c r="A799" s="5" t="s">
        <v>138</v>
      </c>
      <c r="B799" t="s">
        <v>253</v>
      </c>
      <c r="C799" t="s">
        <v>262</v>
      </c>
      <c r="D799" t="s">
        <v>267</v>
      </c>
      <c r="E799" t="s">
        <v>273</v>
      </c>
      <c r="F799" t="s">
        <v>278</v>
      </c>
      <c r="G799" s="7">
        <v>6</v>
      </c>
      <c r="H799" s="3">
        <v>50946.41</v>
      </c>
      <c r="I799" s="3">
        <v>305678.46000000002</v>
      </c>
    </row>
    <row r="800" spans="1:9" x14ac:dyDescent="0.3">
      <c r="A800" s="5" t="s">
        <v>138</v>
      </c>
      <c r="B800" t="s">
        <v>260</v>
      </c>
      <c r="C800" t="s">
        <v>265</v>
      </c>
      <c r="D800" t="s">
        <v>270</v>
      </c>
      <c r="E800" t="s">
        <v>272</v>
      </c>
      <c r="F800" t="s">
        <v>276</v>
      </c>
      <c r="G800" s="7">
        <v>9</v>
      </c>
      <c r="H800" s="3">
        <v>26528.75</v>
      </c>
      <c r="I800" s="3">
        <v>238758.75</v>
      </c>
    </row>
    <row r="801" spans="1:9" x14ac:dyDescent="0.3">
      <c r="A801" s="5" t="s">
        <v>138</v>
      </c>
      <c r="B801" t="s">
        <v>256</v>
      </c>
      <c r="C801" t="s">
        <v>261</v>
      </c>
      <c r="D801" t="s">
        <v>270</v>
      </c>
      <c r="E801" t="s">
        <v>272</v>
      </c>
      <c r="F801" t="s">
        <v>290</v>
      </c>
      <c r="G801" s="7">
        <v>1</v>
      </c>
      <c r="H801" s="3">
        <v>29048.34</v>
      </c>
      <c r="I801" s="3">
        <v>29048.34</v>
      </c>
    </row>
    <row r="802" spans="1:9" x14ac:dyDescent="0.3">
      <c r="A802" s="5" t="s">
        <v>138</v>
      </c>
      <c r="B802" t="s">
        <v>260</v>
      </c>
      <c r="C802" t="s">
        <v>265</v>
      </c>
      <c r="D802" t="s">
        <v>270</v>
      </c>
      <c r="E802" t="s">
        <v>271</v>
      </c>
      <c r="F802" t="s">
        <v>281</v>
      </c>
      <c r="G802" s="7">
        <v>7</v>
      </c>
      <c r="H802" s="3">
        <v>9235.42</v>
      </c>
      <c r="I802" s="3">
        <v>64647.94</v>
      </c>
    </row>
    <row r="803" spans="1:9" x14ac:dyDescent="0.3">
      <c r="A803" s="5" t="s">
        <v>138</v>
      </c>
      <c r="B803" t="s">
        <v>259</v>
      </c>
      <c r="C803" t="s">
        <v>265</v>
      </c>
      <c r="D803" t="s">
        <v>269</v>
      </c>
      <c r="E803" t="s">
        <v>273</v>
      </c>
      <c r="F803" t="s">
        <v>288</v>
      </c>
      <c r="G803" s="7">
        <v>5</v>
      </c>
      <c r="H803" s="3">
        <v>54213.14</v>
      </c>
      <c r="I803" s="3">
        <v>271065.7</v>
      </c>
    </row>
    <row r="804" spans="1:9" x14ac:dyDescent="0.3">
      <c r="A804" s="5" t="s">
        <v>139</v>
      </c>
      <c r="B804" t="s">
        <v>260</v>
      </c>
      <c r="C804" t="s">
        <v>263</v>
      </c>
      <c r="D804" t="s">
        <v>267</v>
      </c>
      <c r="E804" t="s">
        <v>274</v>
      </c>
      <c r="F804" t="s">
        <v>289</v>
      </c>
      <c r="G804" s="7">
        <v>8</v>
      </c>
      <c r="H804" s="3">
        <v>38577.35</v>
      </c>
      <c r="I804" s="3">
        <v>308618.8</v>
      </c>
    </row>
    <row r="805" spans="1:9" x14ac:dyDescent="0.3">
      <c r="A805" s="5" t="s">
        <v>139</v>
      </c>
      <c r="B805" t="s">
        <v>260</v>
      </c>
      <c r="C805" t="s">
        <v>262</v>
      </c>
      <c r="D805" t="s">
        <v>270</v>
      </c>
      <c r="E805" t="s">
        <v>273</v>
      </c>
      <c r="F805" t="s">
        <v>279</v>
      </c>
      <c r="G805" s="7">
        <v>7</v>
      </c>
      <c r="H805" s="3">
        <v>51673.21</v>
      </c>
      <c r="I805" s="3">
        <v>361712.47</v>
      </c>
    </row>
    <row r="806" spans="1:9" x14ac:dyDescent="0.3">
      <c r="A806" s="5" t="s">
        <v>139</v>
      </c>
      <c r="B806" t="s">
        <v>259</v>
      </c>
      <c r="C806" t="s">
        <v>261</v>
      </c>
      <c r="D806" t="s">
        <v>266</v>
      </c>
      <c r="E806" t="s">
        <v>272</v>
      </c>
      <c r="F806" t="s">
        <v>286</v>
      </c>
      <c r="G806" s="7">
        <v>4</v>
      </c>
      <c r="H806" s="3">
        <v>24193.759999999998</v>
      </c>
      <c r="I806" s="3">
        <v>96775.039999999994</v>
      </c>
    </row>
    <row r="807" spans="1:9" x14ac:dyDescent="0.3">
      <c r="A807" s="5" t="s">
        <v>139</v>
      </c>
      <c r="B807" t="s">
        <v>254</v>
      </c>
      <c r="C807" t="s">
        <v>264</v>
      </c>
      <c r="D807" t="s">
        <v>266</v>
      </c>
      <c r="E807" t="s">
        <v>272</v>
      </c>
      <c r="F807" t="s">
        <v>277</v>
      </c>
      <c r="G807" s="7">
        <v>4</v>
      </c>
      <c r="H807" s="3">
        <v>30240.79</v>
      </c>
      <c r="I807" s="3">
        <v>120963.16</v>
      </c>
    </row>
    <row r="808" spans="1:9" x14ac:dyDescent="0.3">
      <c r="A808" s="5" t="s">
        <v>139</v>
      </c>
      <c r="B808" t="s">
        <v>257</v>
      </c>
      <c r="C808" t="s">
        <v>264</v>
      </c>
      <c r="D808" t="s">
        <v>269</v>
      </c>
      <c r="E808" t="s">
        <v>272</v>
      </c>
      <c r="F808" t="s">
        <v>290</v>
      </c>
      <c r="G808" s="7">
        <v>6</v>
      </c>
      <c r="H808" s="3">
        <v>32609.73</v>
      </c>
      <c r="I808" s="3">
        <v>195658.38</v>
      </c>
    </row>
    <row r="809" spans="1:9" x14ac:dyDescent="0.3">
      <c r="A809" s="5" t="s">
        <v>139</v>
      </c>
      <c r="B809" t="s">
        <v>260</v>
      </c>
      <c r="C809" t="s">
        <v>265</v>
      </c>
      <c r="D809" t="s">
        <v>269</v>
      </c>
      <c r="E809" t="s">
        <v>273</v>
      </c>
      <c r="F809" t="s">
        <v>279</v>
      </c>
      <c r="G809" s="7">
        <v>6</v>
      </c>
      <c r="H809" s="3">
        <v>38561.18</v>
      </c>
      <c r="I809" s="3">
        <v>231367.08</v>
      </c>
    </row>
    <row r="810" spans="1:9" x14ac:dyDescent="0.3">
      <c r="A810" s="5" t="s">
        <v>139</v>
      </c>
      <c r="B810" t="s">
        <v>259</v>
      </c>
      <c r="C810" t="s">
        <v>263</v>
      </c>
      <c r="D810" t="s">
        <v>268</v>
      </c>
      <c r="E810" t="s">
        <v>271</v>
      </c>
      <c r="F810" t="s">
        <v>281</v>
      </c>
      <c r="G810" s="7">
        <v>9</v>
      </c>
      <c r="H810" s="3">
        <v>9093.93</v>
      </c>
      <c r="I810" s="3">
        <v>81845.37</v>
      </c>
    </row>
    <row r="811" spans="1:9" x14ac:dyDescent="0.3">
      <c r="A811" s="5" t="s">
        <v>140</v>
      </c>
      <c r="B811" t="s">
        <v>255</v>
      </c>
      <c r="C811" t="s">
        <v>263</v>
      </c>
      <c r="D811" t="s">
        <v>268</v>
      </c>
      <c r="E811" t="s">
        <v>272</v>
      </c>
      <c r="F811" t="s">
        <v>286</v>
      </c>
      <c r="G811" s="7">
        <v>5</v>
      </c>
      <c r="H811" s="3">
        <v>33406.959999999999</v>
      </c>
      <c r="I811" s="3">
        <v>167034.79999999999</v>
      </c>
    </row>
    <row r="812" spans="1:9" x14ac:dyDescent="0.3">
      <c r="A812" s="5" t="s">
        <v>140</v>
      </c>
      <c r="B812" t="s">
        <v>256</v>
      </c>
      <c r="C812" t="s">
        <v>264</v>
      </c>
      <c r="D812" t="s">
        <v>268</v>
      </c>
      <c r="E812" t="s">
        <v>272</v>
      </c>
      <c r="F812" t="s">
        <v>286</v>
      </c>
      <c r="G812" s="7">
        <v>8</v>
      </c>
      <c r="H812" s="3">
        <v>29109.94</v>
      </c>
      <c r="I812" s="3">
        <v>232879.52</v>
      </c>
    </row>
    <row r="813" spans="1:9" x14ac:dyDescent="0.3">
      <c r="A813" s="5" t="s">
        <v>140</v>
      </c>
      <c r="B813" t="s">
        <v>256</v>
      </c>
      <c r="C813" t="s">
        <v>261</v>
      </c>
      <c r="D813" t="s">
        <v>269</v>
      </c>
      <c r="E813" t="s">
        <v>273</v>
      </c>
      <c r="F813" t="s">
        <v>283</v>
      </c>
      <c r="G813" s="7">
        <v>5</v>
      </c>
      <c r="H813" s="3">
        <v>38323.910000000003</v>
      </c>
      <c r="I813" s="3">
        <v>191619.55</v>
      </c>
    </row>
    <row r="814" spans="1:9" x14ac:dyDescent="0.3">
      <c r="A814" s="5" t="s">
        <v>140</v>
      </c>
      <c r="B814" t="s">
        <v>260</v>
      </c>
      <c r="C814" t="s">
        <v>262</v>
      </c>
      <c r="D814" t="s">
        <v>269</v>
      </c>
      <c r="E814" t="s">
        <v>274</v>
      </c>
      <c r="F814" t="s">
        <v>284</v>
      </c>
      <c r="G814" s="7">
        <v>2</v>
      </c>
      <c r="H814" s="3">
        <v>27340.97</v>
      </c>
      <c r="I814" s="3">
        <v>54681.94</v>
      </c>
    </row>
    <row r="815" spans="1:9" x14ac:dyDescent="0.3">
      <c r="A815" s="5" t="s">
        <v>140</v>
      </c>
      <c r="B815" t="s">
        <v>254</v>
      </c>
      <c r="C815" t="s">
        <v>261</v>
      </c>
      <c r="D815" t="s">
        <v>269</v>
      </c>
      <c r="E815" t="s">
        <v>274</v>
      </c>
      <c r="F815" t="s">
        <v>284</v>
      </c>
      <c r="G815" s="7">
        <v>6</v>
      </c>
      <c r="H815" s="3">
        <v>32532.94</v>
      </c>
      <c r="I815" s="3">
        <v>195197.64</v>
      </c>
    </row>
    <row r="816" spans="1:9" x14ac:dyDescent="0.3">
      <c r="A816" s="5" t="s">
        <v>140</v>
      </c>
      <c r="B816" t="s">
        <v>254</v>
      </c>
      <c r="C816" t="s">
        <v>262</v>
      </c>
      <c r="D816" t="s">
        <v>266</v>
      </c>
      <c r="E816" t="s">
        <v>271</v>
      </c>
      <c r="F816" t="s">
        <v>275</v>
      </c>
      <c r="G816" s="7">
        <v>9</v>
      </c>
      <c r="H816" s="3">
        <v>7752.03</v>
      </c>
      <c r="I816" s="3">
        <v>69768.27</v>
      </c>
    </row>
    <row r="817" spans="1:9" x14ac:dyDescent="0.3">
      <c r="A817" s="5" t="s">
        <v>141</v>
      </c>
      <c r="B817" t="s">
        <v>255</v>
      </c>
      <c r="C817" t="s">
        <v>264</v>
      </c>
      <c r="D817" t="s">
        <v>269</v>
      </c>
      <c r="E817" t="s">
        <v>271</v>
      </c>
      <c r="F817" t="s">
        <v>282</v>
      </c>
      <c r="G817" s="7">
        <v>3</v>
      </c>
      <c r="H817" s="3">
        <v>9484.1299999999992</v>
      </c>
      <c r="I817" s="3">
        <v>28452.39</v>
      </c>
    </row>
    <row r="818" spans="1:9" x14ac:dyDescent="0.3">
      <c r="A818" s="5" t="s">
        <v>141</v>
      </c>
      <c r="B818" t="s">
        <v>260</v>
      </c>
      <c r="C818" t="s">
        <v>262</v>
      </c>
      <c r="D818" t="s">
        <v>266</v>
      </c>
      <c r="E818" t="s">
        <v>272</v>
      </c>
      <c r="F818" t="s">
        <v>277</v>
      </c>
      <c r="G818" s="7">
        <v>1</v>
      </c>
      <c r="H818" s="3">
        <v>31738.55</v>
      </c>
      <c r="I818" s="3">
        <v>31738.55</v>
      </c>
    </row>
    <row r="819" spans="1:9" x14ac:dyDescent="0.3">
      <c r="A819" s="5" t="s">
        <v>141</v>
      </c>
      <c r="B819" t="s">
        <v>256</v>
      </c>
      <c r="C819" t="s">
        <v>263</v>
      </c>
      <c r="D819" t="s">
        <v>268</v>
      </c>
      <c r="E819" t="s">
        <v>273</v>
      </c>
      <c r="F819" t="s">
        <v>278</v>
      </c>
      <c r="G819" s="7">
        <v>1</v>
      </c>
      <c r="H819" s="3">
        <v>41451.839999999997</v>
      </c>
      <c r="I819" s="3">
        <v>41451.839999999997</v>
      </c>
    </row>
    <row r="820" spans="1:9" x14ac:dyDescent="0.3">
      <c r="A820" s="5" t="s">
        <v>141</v>
      </c>
      <c r="B820" t="s">
        <v>254</v>
      </c>
      <c r="C820" t="s">
        <v>265</v>
      </c>
      <c r="D820" t="s">
        <v>268</v>
      </c>
      <c r="E820" t="s">
        <v>272</v>
      </c>
      <c r="F820" t="s">
        <v>276</v>
      </c>
      <c r="G820" s="7">
        <v>3</v>
      </c>
      <c r="H820" s="3">
        <v>33751.57</v>
      </c>
      <c r="I820" s="3">
        <v>101254.71</v>
      </c>
    </row>
    <row r="821" spans="1:9" x14ac:dyDescent="0.3">
      <c r="A821" s="5" t="s">
        <v>141</v>
      </c>
      <c r="B821" t="s">
        <v>260</v>
      </c>
      <c r="C821" t="s">
        <v>265</v>
      </c>
      <c r="D821" t="s">
        <v>268</v>
      </c>
      <c r="E821" t="s">
        <v>271</v>
      </c>
      <c r="F821" t="s">
        <v>282</v>
      </c>
      <c r="G821" s="7">
        <v>5</v>
      </c>
      <c r="H821" s="3">
        <v>8727.49</v>
      </c>
      <c r="I821" s="3">
        <v>43637.45</v>
      </c>
    </row>
    <row r="822" spans="1:9" x14ac:dyDescent="0.3">
      <c r="A822" s="5" t="s">
        <v>141</v>
      </c>
      <c r="B822" t="s">
        <v>253</v>
      </c>
      <c r="C822" t="s">
        <v>264</v>
      </c>
      <c r="D822" t="s">
        <v>270</v>
      </c>
      <c r="E822" t="s">
        <v>273</v>
      </c>
      <c r="F822" t="s">
        <v>288</v>
      </c>
      <c r="G822" s="7">
        <v>3</v>
      </c>
      <c r="H822" s="3">
        <v>40821.230000000003</v>
      </c>
      <c r="I822" s="3">
        <v>122463.69</v>
      </c>
    </row>
    <row r="823" spans="1:9" x14ac:dyDescent="0.3">
      <c r="A823" s="5" t="s">
        <v>142</v>
      </c>
      <c r="B823" t="s">
        <v>254</v>
      </c>
      <c r="C823" t="s">
        <v>263</v>
      </c>
      <c r="D823" t="s">
        <v>270</v>
      </c>
      <c r="E823" t="s">
        <v>273</v>
      </c>
      <c r="F823" t="s">
        <v>279</v>
      </c>
      <c r="G823" s="7">
        <v>9</v>
      </c>
      <c r="H823" s="3">
        <v>52006.53</v>
      </c>
      <c r="I823" s="3">
        <v>468058.77</v>
      </c>
    </row>
    <row r="824" spans="1:9" x14ac:dyDescent="0.3">
      <c r="A824" s="5" t="s">
        <v>142</v>
      </c>
      <c r="B824" t="s">
        <v>259</v>
      </c>
      <c r="C824" t="s">
        <v>261</v>
      </c>
      <c r="D824" t="s">
        <v>267</v>
      </c>
      <c r="E824" t="s">
        <v>271</v>
      </c>
      <c r="F824" t="s">
        <v>275</v>
      </c>
      <c r="G824" s="7">
        <v>8</v>
      </c>
      <c r="H824" s="3">
        <v>9910.91</v>
      </c>
      <c r="I824" s="3">
        <v>79287.28</v>
      </c>
    </row>
    <row r="825" spans="1:9" x14ac:dyDescent="0.3">
      <c r="A825" s="5" t="s">
        <v>142</v>
      </c>
      <c r="B825" t="s">
        <v>253</v>
      </c>
      <c r="C825" t="s">
        <v>263</v>
      </c>
      <c r="D825" t="s">
        <v>267</v>
      </c>
      <c r="E825" t="s">
        <v>274</v>
      </c>
      <c r="F825" t="s">
        <v>284</v>
      </c>
      <c r="G825" s="7">
        <v>3</v>
      </c>
      <c r="H825" s="3">
        <v>35382.980000000003</v>
      </c>
      <c r="I825" s="3">
        <v>106148.94</v>
      </c>
    </row>
    <row r="826" spans="1:9" x14ac:dyDescent="0.3">
      <c r="A826" s="5" t="s">
        <v>142</v>
      </c>
      <c r="B826" t="s">
        <v>257</v>
      </c>
      <c r="C826" t="s">
        <v>265</v>
      </c>
      <c r="D826" t="s">
        <v>267</v>
      </c>
      <c r="E826" t="s">
        <v>274</v>
      </c>
      <c r="F826" t="s">
        <v>280</v>
      </c>
      <c r="G826" s="7">
        <v>9</v>
      </c>
      <c r="H826" s="3">
        <v>38124.36</v>
      </c>
      <c r="I826" s="3">
        <v>343119.24</v>
      </c>
    </row>
    <row r="827" spans="1:9" x14ac:dyDescent="0.3">
      <c r="A827" s="5" t="s">
        <v>142</v>
      </c>
      <c r="B827" t="s">
        <v>254</v>
      </c>
      <c r="C827" t="s">
        <v>265</v>
      </c>
      <c r="D827" t="s">
        <v>270</v>
      </c>
      <c r="E827" t="s">
        <v>273</v>
      </c>
      <c r="F827" t="s">
        <v>288</v>
      </c>
      <c r="G827" s="7">
        <v>6</v>
      </c>
      <c r="H827" s="3">
        <v>51522.71</v>
      </c>
      <c r="I827" s="3">
        <v>309136.26</v>
      </c>
    </row>
    <row r="828" spans="1:9" x14ac:dyDescent="0.3">
      <c r="A828" s="5" t="s">
        <v>142</v>
      </c>
      <c r="B828" t="s">
        <v>256</v>
      </c>
      <c r="C828" t="s">
        <v>263</v>
      </c>
      <c r="D828" t="s">
        <v>270</v>
      </c>
      <c r="E828" t="s">
        <v>272</v>
      </c>
      <c r="F828" t="s">
        <v>277</v>
      </c>
      <c r="G828" s="7">
        <v>7</v>
      </c>
      <c r="H828" s="3">
        <v>33680.699999999997</v>
      </c>
      <c r="I828" s="3">
        <v>235764.9</v>
      </c>
    </row>
    <row r="829" spans="1:9" x14ac:dyDescent="0.3">
      <c r="A829" s="5" t="s">
        <v>143</v>
      </c>
      <c r="B829" t="s">
        <v>258</v>
      </c>
      <c r="C829" t="s">
        <v>263</v>
      </c>
      <c r="D829" t="s">
        <v>267</v>
      </c>
      <c r="E829" t="s">
        <v>274</v>
      </c>
      <c r="F829" t="s">
        <v>289</v>
      </c>
      <c r="G829" s="7">
        <v>4</v>
      </c>
      <c r="H829" s="3">
        <v>32753.77</v>
      </c>
      <c r="I829" s="3">
        <v>131015.08</v>
      </c>
    </row>
    <row r="830" spans="1:9" x14ac:dyDescent="0.3">
      <c r="A830" s="5" t="s">
        <v>143</v>
      </c>
      <c r="B830" t="s">
        <v>253</v>
      </c>
      <c r="C830" t="s">
        <v>265</v>
      </c>
      <c r="D830" t="s">
        <v>267</v>
      </c>
      <c r="E830" t="s">
        <v>272</v>
      </c>
      <c r="F830" t="s">
        <v>286</v>
      </c>
      <c r="G830" s="7">
        <v>4</v>
      </c>
      <c r="H830" s="3">
        <v>32173.09</v>
      </c>
      <c r="I830" s="3">
        <v>128692.36</v>
      </c>
    </row>
    <row r="831" spans="1:9" x14ac:dyDescent="0.3">
      <c r="A831" s="5" t="s">
        <v>143</v>
      </c>
      <c r="B831" t="s">
        <v>257</v>
      </c>
      <c r="C831" t="s">
        <v>261</v>
      </c>
      <c r="D831" t="s">
        <v>269</v>
      </c>
      <c r="E831" t="s">
        <v>274</v>
      </c>
      <c r="F831" t="s">
        <v>280</v>
      </c>
      <c r="G831" s="7">
        <v>2</v>
      </c>
      <c r="H831" s="3">
        <v>39996.82</v>
      </c>
      <c r="I831" s="3">
        <v>79993.64</v>
      </c>
    </row>
    <row r="832" spans="1:9" x14ac:dyDescent="0.3">
      <c r="A832" s="5" t="s">
        <v>143</v>
      </c>
      <c r="B832" t="s">
        <v>255</v>
      </c>
      <c r="C832" t="s">
        <v>264</v>
      </c>
      <c r="D832" t="s">
        <v>267</v>
      </c>
      <c r="E832" t="s">
        <v>274</v>
      </c>
      <c r="F832" t="s">
        <v>287</v>
      </c>
      <c r="G832" s="7">
        <v>5</v>
      </c>
      <c r="H832" s="3">
        <v>36479.120000000003</v>
      </c>
      <c r="I832" s="3">
        <v>182395.6</v>
      </c>
    </row>
    <row r="833" spans="1:9" x14ac:dyDescent="0.3">
      <c r="A833" s="5" t="s">
        <v>143</v>
      </c>
      <c r="B833" t="s">
        <v>255</v>
      </c>
      <c r="C833" t="s">
        <v>264</v>
      </c>
      <c r="D833" t="s">
        <v>269</v>
      </c>
      <c r="E833" t="s">
        <v>272</v>
      </c>
      <c r="F833" t="s">
        <v>290</v>
      </c>
      <c r="G833" s="7">
        <v>8</v>
      </c>
      <c r="H833" s="3">
        <v>25078.86</v>
      </c>
      <c r="I833" s="3">
        <v>200630.88</v>
      </c>
    </row>
    <row r="834" spans="1:9" x14ac:dyDescent="0.3">
      <c r="A834" s="5" t="s">
        <v>143</v>
      </c>
      <c r="B834" t="s">
        <v>256</v>
      </c>
      <c r="C834" t="s">
        <v>263</v>
      </c>
      <c r="D834" t="s">
        <v>266</v>
      </c>
      <c r="E834" t="s">
        <v>271</v>
      </c>
      <c r="F834" t="s">
        <v>282</v>
      </c>
      <c r="G834" s="7">
        <v>7</v>
      </c>
      <c r="H834" s="3">
        <v>8987.2800000000007</v>
      </c>
      <c r="I834" s="3">
        <v>62910.96</v>
      </c>
    </row>
    <row r="835" spans="1:9" x14ac:dyDescent="0.3">
      <c r="A835" s="5" t="s">
        <v>144</v>
      </c>
      <c r="B835" t="s">
        <v>254</v>
      </c>
      <c r="C835" t="s">
        <v>264</v>
      </c>
      <c r="D835" t="s">
        <v>270</v>
      </c>
      <c r="E835" t="s">
        <v>274</v>
      </c>
      <c r="F835" t="s">
        <v>287</v>
      </c>
      <c r="G835" s="7">
        <v>7</v>
      </c>
      <c r="H835" s="3">
        <v>34718.050000000003</v>
      </c>
      <c r="I835" s="3">
        <v>243026.35</v>
      </c>
    </row>
    <row r="836" spans="1:9" x14ac:dyDescent="0.3">
      <c r="A836" s="5" t="s">
        <v>144</v>
      </c>
      <c r="B836" t="s">
        <v>260</v>
      </c>
      <c r="C836" t="s">
        <v>265</v>
      </c>
      <c r="D836" t="s">
        <v>267</v>
      </c>
      <c r="E836" t="s">
        <v>274</v>
      </c>
      <c r="F836" t="s">
        <v>289</v>
      </c>
      <c r="G836" s="7">
        <v>6</v>
      </c>
      <c r="H836" s="3">
        <v>29429.9</v>
      </c>
      <c r="I836" s="3">
        <v>176579.4</v>
      </c>
    </row>
    <row r="837" spans="1:9" x14ac:dyDescent="0.3">
      <c r="A837" s="5" t="s">
        <v>144</v>
      </c>
      <c r="B837" t="s">
        <v>254</v>
      </c>
      <c r="C837" t="s">
        <v>265</v>
      </c>
      <c r="D837" t="s">
        <v>270</v>
      </c>
      <c r="E837" t="s">
        <v>272</v>
      </c>
      <c r="F837" t="s">
        <v>290</v>
      </c>
      <c r="G837" s="7">
        <v>3</v>
      </c>
      <c r="H837" s="3">
        <v>34584.39</v>
      </c>
      <c r="I837" s="3">
        <v>103753.17</v>
      </c>
    </row>
    <row r="838" spans="1:9" x14ac:dyDescent="0.3">
      <c r="A838" s="5" t="s">
        <v>144</v>
      </c>
      <c r="B838" t="s">
        <v>256</v>
      </c>
      <c r="C838" t="s">
        <v>263</v>
      </c>
      <c r="D838" t="s">
        <v>270</v>
      </c>
      <c r="E838" t="s">
        <v>271</v>
      </c>
      <c r="F838" t="s">
        <v>282</v>
      </c>
      <c r="G838" s="7">
        <v>5</v>
      </c>
      <c r="H838" s="3">
        <v>7821.97</v>
      </c>
      <c r="I838" s="3">
        <v>39109.85</v>
      </c>
    </row>
    <row r="839" spans="1:9" x14ac:dyDescent="0.3">
      <c r="A839" s="5" t="s">
        <v>144</v>
      </c>
      <c r="B839" t="s">
        <v>255</v>
      </c>
      <c r="C839" t="s">
        <v>263</v>
      </c>
      <c r="D839" t="s">
        <v>270</v>
      </c>
      <c r="E839" t="s">
        <v>274</v>
      </c>
      <c r="F839" t="s">
        <v>284</v>
      </c>
      <c r="G839" s="7">
        <v>1</v>
      </c>
      <c r="H839" s="3">
        <v>29472.74</v>
      </c>
      <c r="I839" s="3">
        <v>29472.74</v>
      </c>
    </row>
    <row r="840" spans="1:9" x14ac:dyDescent="0.3">
      <c r="A840" s="5" t="s">
        <v>144</v>
      </c>
      <c r="B840" t="s">
        <v>254</v>
      </c>
      <c r="C840" t="s">
        <v>263</v>
      </c>
      <c r="D840" t="s">
        <v>266</v>
      </c>
      <c r="E840" t="s">
        <v>274</v>
      </c>
      <c r="F840" t="s">
        <v>284</v>
      </c>
      <c r="G840" s="7">
        <v>7</v>
      </c>
      <c r="H840" s="3">
        <v>38914.14</v>
      </c>
      <c r="I840" s="3">
        <v>272398.98</v>
      </c>
    </row>
    <row r="841" spans="1:9" x14ac:dyDescent="0.3">
      <c r="A841" s="5" t="s">
        <v>145</v>
      </c>
      <c r="B841" t="s">
        <v>255</v>
      </c>
      <c r="C841" t="s">
        <v>261</v>
      </c>
      <c r="D841" t="s">
        <v>268</v>
      </c>
      <c r="E841" t="s">
        <v>271</v>
      </c>
      <c r="F841" t="s">
        <v>282</v>
      </c>
      <c r="G841" s="7">
        <v>9</v>
      </c>
      <c r="H841" s="3">
        <v>8806.7000000000007</v>
      </c>
      <c r="I841" s="3">
        <v>79260.3</v>
      </c>
    </row>
    <row r="842" spans="1:9" x14ac:dyDescent="0.3">
      <c r="A842" s="5" t="s">
        <v>145</v>
      </c>
      <c r="B842" t="s">
        <v>253</v>
      </c>
      <c r="C842" t="s">
        <v>264</v>
      </c>
      <c r="D842" t="s">
        <v>267</v>
      </c>
      <c r="E842" t="s">
        <v>274</v>
      </c>
      <c r="F842" t="s">
        <v>289</v>
      </c>
      <c r="G842" s="7">
        <v>1</v>
      </c>
      <c r="H842" s="3">
        <v>28008.81</v>
      </c>
      <c r="I842" s="3">
        <v>28008.81</v>
      </c>
    </row>
    <row r="843" spans="1:9" x14ac:dyDescent="0.3">
      <c r="A843" s="5" t="s">
        <v>145</v>
      </c>
      <c r="B843" t="s">
        <v>257</v>
      </c>
      <c r="C843" t="s">
        <v>263</v>
      </c>
      <c r="D843" t="s">
        <v>268</v>
      </c>
      <c r="E843" t="s">
        <v>271</v>
      </c>
      <c r="F843" t="s">
        <v>285</v>
      </c>
      <c r="G843" s="7">
        <v>2</v>
      </c>
      <c r="H843" s="3">
        <v>9258.84</v>
      </c>
      <c r="I843" s="3">
        <v>18517.68</v>
      </c>
    </row>
    <row r="844" spans="1:9" x14ac:dyDescent="0.3">
      <c r="A844" s="5" t="s">
        <v>145</v>
      </c>
      <c r="B844" t="s">
        <v>260</v>
      </c>
      <c r="C844" t="s">
        <v>262</v>
      </c>
      <c r="D844" t="s">
        <v>268</v>
      </c>
      <c r="E844" t="s">
        <v>271</v>
      </c>
      <c r="F844" t="s">
        <v>275</v>
      </c>
      <c r="G844" s="7">
        <v>3</v>
      </c>
      <c r="H844" s="3">
        <v>9271.2099999999991</v>
      </c>
      <c r="I844" s="3">
        <v>27813.63</v>
      </c>
    </row>
    <row r="845" spans="1:9" x14ac:dyDescent="0.3">
      <c r="A845" s="5" t="s">
        <v>145</v>
      </c>
      <c r="B845" t="s">
        <v>253</v>
      </c>
      <c r="C845" t="s">
        <v>262</v>
      </c>
      <c r="D845" t="s">
        <v>268</v>
      </c>
      <c r="E845" t="s">
        <v>272</v>
      </c>
      <c r="F845" t="s">
        <v>277</v>
      </c>
      <c r="G845" s="7">
        <v>3</v>
      </c>
      <c r="H845" s="3">
        <v>24522.41</v>
      </c>
      <c r="I845" s="3">
        <v>73567.23</v>
      </c>
    </row>
    <row r="846" spans="1:9" x14ac:dyDescent="0.3">
      <c r="A846" s="5" t="s">
        <v>145</v>
      </c>
      <c r="B846" t="s">
        <v>255</v>
      </c>
      <c r="C846" t="s">
        <v>265</v>
      </c>
      <c r="D846" t="s">
        <v>270</v>
      </c>
      <c r="E846" t="s">
        <v>273</v>
      </c>
      <c r="F846" t="s">
        <v>278</v>
      </c>
      <c r="G846" s="7">
        <v>8</v>
      </c>
      <c r="H846" s="3">
        <v>55755.4</v>
      </c>
      <c r="I846" s="3">
        <v>446043.2</v>
      </c>
    </row>
    <row r="847" spans="1:9" x14ac:dyDescent="0.3">
      <c r="A847" s="5" t="s">
        <v>145</v>
      </c>
      <c r="B847" t="s">
        <v>255</v>
      </c>
      <c r="C847" t="s">
        <v>264</v>
      </c>
      <c r="D847" t="s">
        <v>269</v>
      </c>
      <c r="E847" t="s">
        <v>271</v>
      </c>
      <c r="F847" t="s">
        <v>282</v>
      </c>
      <c r="G847" s="7">
        <v>7</v>
      </c>
      <c r="H847" s="3">
        <v>9074.7000000000007</v>
      </c>
      <c r="I847" s="3">
        <v>63522.9</v>
      </c>
    </row>
    <row r="848" spans="1:9" x14ac:dyDescent="0.3">
      <c r="A848" s="5" t="s">
        <v>146</v>
      </c>
      <c r="B848" t="s">
        <v>258</v>
      </c>
      <c r="C848" t="s">
        <v>263</v>
      </c>
      <c r="D848" t="s">
        <v>270</v>
      </c>
      <c r="E848" t="s">
        <v>272</v>
      </c>
      <c r="F848" t="s">
        <v>286</v>
      </c>
      <c r="G848" s="7">
        <v>6</v>
      </c>
      <c r="H848" s="3">
        <v>30069.71</v>
      </c>
      <c r="I848" s="3">
        <v>180418.26</v>
      </c>
    </row>
    <row r="849" spans="1:9" x14ac:dyDescent="0.3">
      <c r="A849" s="5" t="s">
        <v>146</v>
      </c>
      <c r="B849" t="s">
        <v>258</v>
      </c>
      <c r="C849" t="s">
        <v>262</v>
      </c>
      <c r="D849" t="s">
        <v>270</v>
      </c>
      <c r="E849" t="s">
        <v>273</v>
      </c>
      <c r="F849" t="s">
        <v>279</v>
      </c>
      <c r="G849" s="7">
        <v>4</v>
      </c>
      <c r="H849" s="3">
        <v>47612.08</v>
      </c>
      <c r="I849" s="3">
        <v>190448.32</v>
      </c>
    </row>
    <row r="850" spans="1:9" x14ac:dyDescent="0.3">
      <c r="A850" s="5" t="s">
        <v>146</v>
      </c>
      <c r="B850" t="s">
        <v>253</v>
      </c>
      <c r="C850" t="s">
        <v>264</v>
      </c>
      <c r="D850" t="s">
        <v>268</v>
      </c>
      <c r="E850" t="s">
        <v>274</v>
      </c>
      <c r="F850" t="s">
        <v>280</v>
      </c>
      <c r="G850" s="7">
        <v>9</v>
      </c>
      <c r="H850" s="3">
        <v>35017.370000000003</v>
      </c>
      <c r="I850" s="3">
        <v>315156.33</v>
      </c>
    </row>
    <row r="851" spans="1:9" x14ac:dyDescent="0.3">
      <c r="A851" s="5" t="s">
        <v>146</v>
      </c>
      <c r="B851" t="s">
        <v>259</v>
      </c>
      <c r="C851" t="s">
        <v>265</v>
      </c>
      <c r="D851" t="s">
        <v>270</v>
      </c>
      <c r="E851" t="s">
        <v>273</v>
      </c>
      <c r="F851" t="s">
        <v>278</v>
      </c>
      <c r="G851" s="7">
        <v>1</v>
      </c>
      <c r="H851" s="3">
        <v>43007.4</v>
      </c>
      <c r="I851" s="3">
        <v>43007.4</v>
      </c>
    </row>
    <row r="852" spans="1:9" x14ac:dyDescent="0.3">
      <c r="A852" s="5" t="s">
        <v>146</v>
      </c>
      <c r="B852" t="s">
        <v>253</v>
      </c>
      <c r="C852" t="s">
        <v>261</v>
      </c>
      <c r="D852" t="s">
        <v>268</v>
      </c>
      <c r="E852" t="s">
        <v>271</v>
      </c>
      <c r="F852" t="s">
        <v>285</v>
      </c>
      <c r="G852" s="7">
        <v>2</v>
      </c>
      <c r="H852" s="3">
        <v>8201.6200000000008</v>
      </c>
      <c r="I852" s="3">
        <v>16403.240000000002</v>
      </c>
    </row>
    <row r="853" spans="1:9" x14ac:dyDescent="0.3">
      <c r="A853" s="5" t="s">
        <v>146</v>
      </c>
      <c r="B853" t="s">
        <v>258</v>
      </c>
      <c r="C853" t="s">
        <v>264</v>
      </c>
      <c r="D853" t="s">
        <v>269</v>
      </c>
      <c r="E853" t="s">
        <v>271</v>
      </c>
      <c r="F853" t="s">
        <v>281</v>
      </c>
      <c r="G853" s="7">
        <v>4</v>
      </c>
      <c r="H853" s="3">
        <v>8963.5499999999993</v>
      </c>
      <c r="I853" s="3">
        <v>35854.199999999997</v>
      </c>
    </row>
    <row r="854" spans="1:9" x14ac:dyDescent="0.3">
      <c r="A854" s="5" t="s">
        <v>147</v>
      </c>
      <c r="B854" t="s">
        <v>255</v>
      </c>
      <c r="C854" t="s">
        <v>264</v>
      </c>
      <c r="D854" t="s">
        <v>267</v>
      </c>
      <c r="E854" t="s">
        <v>271</v>
      </c>
      <c r="F854" t="s">
        <v>285</v>
      </c>
      <c r="G854" s="7">
        <v>3</v>
      </c>
      <c r="H854" s="3">
        <v>9967.73</v>
      </c>
      <c r="I854" s="3">
        <v>29903.19</v>
      </c>
    </row>
    <row r="855" spans="1:9" x14ac:dyDescent="0.3">
      <c r="A855" s="5" t="s">
        <v>147</v>
      </c>
      <c r="B855" t="s">
        <v>256</v>
      </c>
      <c r="C855" t="s">
        <v>261</v>
      </c>
      <c r="D855" t="s">
        <v>268</v>
      </c>
      <c r="E855" t="s">
        <v>271</v>
      </c>
      <c r="F855" t="s">
        <v>281</v>
      </c>
      <c r="G855" s="7">
        <v>1</v>
      </c>
      <c r="H855" s="3">
        <v>7394.54</v>
      </c>
      <c r="I855" s="3">
        <v>7394.54</v>
      </c>
    </row>
    <row r="856" spans="1:9" x14ac:dyDescent="0.3">
      <c r="A856" s="5" t="s">
        <v>147</v>
      </c>
      <c r="B856" t="s">
        <v>253</v>
      </c>
      <c r="C856" t="s">
        <v>264</v>
      </c>
      <c r="D856" t="s">
        <v>269</v>
      </c>
      <c r="E856" t="s">
        <v>271</v>
      </c>
      <c r="F856" t="s">
        <v>282</v>
      </c>
      <c r="G856" s="7">
        <v>5</v>
      </c>
      <c r="H856" s="3">
        <v>9276.57</v>
      </c>
      <c r="I856" s="3">
        <v>46382.85</v>
      </c>
    </row>
    <row r="857" spans="1:9" x14ac:dyDescent="0.3">
      <c r="A857" s="5" t="s">
        <v>147</v>
      </c>
      <c r="B857" t="s">
        <v>255</v>
      </c>
      <c r="C857" t="s">
        <v>265</v>
      </c>
      <c r="D857" t="s">
        <v>267</v>
      </c>
      <c r="E857" t="s">
        <v>272</v>
      </c>
      <c r="F857" t="s">
        <v>277</v>
      </c>
      <c r="G857" s="7">
        <v>7</v>
      </c>
      <c r="H857" s="3">
        <v>32835.919999999998</v>
      </c>
      <c r="I857" s="3">
        <v>229851.44</v>
      </c>
    </row>
    <row r="858" spans="1:9" x14ac:dyDescent="0.3">
      <c r="A858" s="5" t="s">
        <v>147</v>
      </c>
      <c r="B858" t="s">
        <v>256</v>
      </c>
      <c r="C858" t="s">
        <v>265</v>
      </c>
      <c r="D858" t="s">
        <v>266</v>
      </c>
      <c r="E858" t="s">
        <v>271</v>
      </c>
      <c r="F858" t="s">
        <v>285</v>
      </c>
      <c r="G858" s="7">
        <v>2</v>
      </c>
      <c r="H858" s="3">
        <v>7758.52</v>
      </c>
      <c r="I858" s="3">
        <v>15517.04</v>
      </c>
    </row>
    <row r="859" spans="1:9" x14ac:dyDescent="0.3">
      <c r="A859" s="5" t="s">
        <v>147</v>
      </c>
      <c r="B859" t="s">
        <v>256</v>
      </c>
      <c r="C859" t="s">
        <v>261</v>
      </c>
      <c r="D859" t="s">
        <v>268</v>
      </c>
      <c r="E859" t="s">
        <v>272</v>
      </c>
      <c r="F859" t="s">
        <v>277</v>
      </c>
      <c r="G859" s="7">
        <v>5</v>
      </c>
      <c r="H859" s="3">
        <v>23968.25</v>
      </c>
      <c r="I859" s="3">
        <v>119841.25</v>
      </c>
    </row>
    <row r="860" spans="1:9" x14ac:dyDescent="0.3">
      <c r="A860" s="5" t="s">
        <v>148</v>
      </c>
      <c r="B860" t="s">
        <v>258</v>
      </c>
      <c r="C860" t="s">
        <v>263</v>
      </c>
      <c r="D860" t="s">
        <v>268</v>
      </c>
      <c r="E860" t="s">
        <v>274</v>
      </c>
      <c r="F860" t="s">
        <v>287</v>
      </c>
      <c r="G860" s="7">
        <v>6</v>
      </c>
      <c r="H860" s="3">
        <v>31202.73</v>
      </c>
      <c r="I860" s="3">
        <v>187216.38</v>
      </c>
    </row>
    <row r="861" spans="1:9" x14ac:dyDescent="0.3">
      <c r="A861" s="5" t="s">
        <v>148</v>
      </c>
      <c r="B861" t="s">
        <v>253</v>
      </c>
      <c r="C861" t="s">
        <v>262</v>
      </c>
      <c r="D861" t="s">
        <v>266</v>
      </c>
      <c r="E861" t="s">
        <v>271</v>
      </c>
      <c r="F861" t="s">
        <v>282</v>
      </c>
      <c r="G861" s="7">
        <v>7</v>
      </c>
      <c r="H861" s="3">
        <v>9224.69</v>
      </c>
      <c r="I861" s="3">
        <v>64572.83</v>
      </c>
    </row>
    <row r="862" spans="1:9" x14ac:dyDescent="0.3">
      <c r="A862" s="5" t="s">
        <v>148</v>
      </c>
      <c r="B862" t="s">
        <v>254</v>
      </c>
      <c r="C862" t="s">
        <v>263</v>
      </c>
      <c r="D862" t="s">
        <v>266</v>
      </c>
      <c r="E862" t="s">
        <v>271</v>
      </c>
      <c r="F862" t="s">
        <v>282</v>
      </c>
      <c r="G862" s="7">
        <v>1</v>
      </c>
      <c r="H862" s="3">
        <v>7695.16</v>
      </c>
      <c r="I862" s="3">
        <v>7695.16</v>
      </c>
    </row>
    <row r="863" spans="1:9" x14ac:dyDescent="0.3">
      <c r="A863" s="5" t="s">
        <v>148</v>
      </c>
      <c r="B863" t="s">
        <v>260</v>
      </c>
      <c r="C863" t="s">
        <v>264</v>
      </c>
      <c r="D863" t="s">
        <v>268</v>
      </c>
      <c r="E863" t="s">
        <v>273</v>
      </c>
      <c r="F863" t="s">
        <v>283</v>
      </c>
      <c r="G863" s="7">
        <v>7</v>
      </c>
      <c r="H863" s="3">
        <v>45920.2</v>
      </c>
      <c r="I863" s="3">
        <v>321441.40000000002</v>
      </c>
    </row>
    <row r="864" spans="1:9" x14ac:dyDescent="0.3">
      <c r="A864" s="5" t="s">
        <v>148</v>
      </c>
      <c r="B864" t="s">
        <v>258</v>
      </c>
      <c r="C864" t="s">
        <v>262</v>
      </c>
      <c r="D864" t="s">
        <v>266</v>
      </c>
      <c r="E864" t="s">
        <v>274</v>
      </c>
      <c r="F864" t="s">
        <v>284</v>
      </c>
      <c r="G864" s="7">
        <v>4</v>
      </c>
      <c r="H864" s="3">
        <v>34269.72</v>
      </c>
      <c r="I864" s="3">
        <v>137078.88</v>
      </c>
    </row>
    <row r="865" spans="1:9" x14ac:dyDescent="0.3">
      <c r="A865" s="5" t="s">
        <v>148</v>
      </c>
      <c r="B865" t="s">
        <v>258</v>
      </c>
      <c r="C865" t="s">
        <v>261</v>
      </c>
      <c r="D865" t="s">
        <v>270</v>
      </c>
      <c r="E865" t="s">
        <v>271</v>
      </c>
      <c r="F865" t="s">
        <v>275</v>
      </c>
      <c r="G865" s="7">
        <v>8</v>
      </c>
      <c r="H865" s="3">
        <v>9261.2000000000007</v>
      </c>
      <c r="I865" s="3">
        <v>74089.600000000006</v>
      </c>
    </row>
    <row r="866" spans="1:9" x14ac:dyDescent="0.3">
      <c r="A866" s="5" t="s">
        <v>149</v>
      </c>
      <c r="B866" t="s">
        <v>254</v>
      </c>
      <c r="C866" t="s">
        <v>261</v>
      </c>
      <c r="D866" t="s">
        <v>267</v>
      </c>
      <c r="E866" t="s">
        <v>271</v>
      </c>
      <c r="F866" t="s">
        <v>282</v>
      </c>
      <c r="G866" s="7">
        <v>4</v>
      </c>
      <c r="H866" s="3">
        <v>8158</v>
      </c>
      <c r="I866" s="3">
        <v>32632</v>
      </c>
    </row>
    <row r="867" spans="1:9" x14ac:dyDescent="0.3">
      <c r="A867" s="5" t="s">
        <v>149</v>
      </c>
      <c r="B867" t="s">
        <v>260</v>
      </c>
      <c r="C867" t="s">
        <v>262</v>
      </c>
      <c r="D867" t="s">
        <v>267</v>
      </c>
      <c r="E867" t="s">
        <v>274</v>
      </c>
      <c r="F867" t="s">
        <v>289</v>
      </c>
      <c r="G867" s="7">
        <v>6</v>
      </c>
      <c r="H867" s="3">
        <v>32320.38</v>
      </c>
      <c r="I867" s="3">
        <v>193922.28</v>
      </c>
    </row>
    <row r="868" spans="1:9" x14ac:dyDescent="0.3">
      <c r="A868" s="5" t="s">
        <v>149</v>
      </c>
      <c r="B868" t="s">
        <v>255</v>
      </c>
      <c r="C868" t="s">
        <v>265</v>
      </c>
      <c r="D868" t="s">
        <v>267</v>
      </c>
      <c r="E868" t="s">
        <v>272</v>
      </c>
      <c r="F868" t="s">
        <v>290</v>
      </c>
      <c r="G868" s="7">
        <v>9</v>
      </c>
      <c r="H868" s="3">
        <v>32517.4</v>
      </c>
      <c r="I868" s="3">
        <v>292656.59999999998</v>
      </c>
    </row>
    <row r="869" spans="1:9" x14ac:dyDescent="0.3">
      <c r="A869" s="5" t="s">
        <v>149</v>
      </c>
      <c r="B869" t="s">
        <v>259</v>
      </c>
      <c r="C869" t="s">
        <v>262</v>
      </c>
      <c r="D869" t="s">
        <v>270</v>
      </c>
      <c r="E869" t="s">
        <v>271</v>
      </c>
      <c r="F869" t="s">
        <v>285</v>
      </c>
      <c r="G869" s="7">
        <v>5</v>
      </c>
      <c r="H869" s="3">
        <v>10425.129999999999</v>
      </c>
      <c r="I869" s="3">
        <v>52125.65</v>
      </c>
    </row>
    <row r="870" spans="1:9" x14ac:dyDescent="0.3">
      <c r="A870" s="5" t="s">
        <v>149</v>
      </c>
      <c r="B870" t="s">
        <v>253</v>
      </c>
      <c r="C870" t="s">
        <v>264</v>
      </c>
      <c r="D870" t="s">
        <v>266</v>
      </c>
      <c r="E870" t="s">
        <v>273</v>
      </c>
      <c r="F870" t="s">
        <v>279</v>
      </c>
      <c r="G870" s="7">
        <v>4</v>
      </c>
      <c r="H870" s="3">
        <v>53763.85</v>
      </c>
      <c r="I870" s="3">
        <v>215055.4</v>
      </c>
    </row>
    <row r="871" spans="1:9" x14ac:dyDescent="0.3">
      <c r="A871" s="5" t="s">
        <v>149</v>
      </c>
      <c r="B871" t="s">
        <v>259</v>
      </c>
      <c r="C871" t="s">
        <v>265</v>
      </c>
      <c r="D871" t="s">
        <v>269</v>
      </c>
      <c r="E871" t="s">
        <v>271</v>
      </c>
      <c r="F871" t="s">
        <v>281</v>
      </c>
      <c r="G871" s="7">
        <v>8</v>
      </c>
      <c r="H871" s="3">
        <v>9143.56</v>
      </c>
      <c r="I871" s="3">
        <v>73148.479999999996</v>
      </c>
    </row>
    <row r="872" spans="1:9" x14ac:dyDescent="0.3">
      <c r="A872" s="5" t="s">
        <v>150</v>
      </c>
      <c r="B872" t="s">
        <v>255</v>
      </c>
      <c r="C872" t="s">
        <v>261</v>
      </c>
      <c r="D872" t="s">
        <v>266</v>
      </c>
      <c r="E872" t="s">
        <v>273</v>
      </c>
      <c r="F872" t="s">
        <v>278</v>
      </c>
      <c r="G872" s="7">
        <v>9</v>
      </c>
      <c r="H872" s="3">
        <v>45635.27</v>
      </c>
      <c r="I872" s="3">
        <v>410717.43</v>
      </c>
    </row>
    <row r="873" spans="1:9" x14ac:dyDescent="0.3">
      <c r="A873" s="5" t="s">
        <v>150</v>
      </c>
      <c r="B873" t="s">
        <v>257</v>
      </c>
      <c r="C873" t="s">
        <v>262</v>
      </c>
      <c r="D873" t="s">
        <v>268</v>
      </c>
      <c r="E873" t="s">
        <v>273</v>
      </c>
      <c r="F873" t="s">
        <v>283</v>
      </c>
      <c r="G873" s="7">
        <v>4</v>
      </c>
      <c r="H873" s="3">
        <v>44243.22</v>
      </c>
      <c r="I873" s="3">
        <v>176972.88</v>
      </c>
    </row>
    <row r="874" spans="1:9" x14ac:dyDescent="0.3">
      <c r="A874" s="5" t="s">
        <v>150</v>
      </c>
      <c r="B874" t="s">
        <v>258</v>
      </c>
      <c r="C874" t="s">
        <v>263</v>
      </c>
      <c r="D874" t="s">
        <v>267</v>
      </c>
      <c r="E874" t="s">
        <v>271</v>
      </c>
      <c r="F874" t="s">
        <v>275</v>
      </c>
      <c r="G874" s="7">
        <v>3</v>
      </c>
      <c r="H874" s="3">
        <v>7649.85</v>
      </c>
      <c r="I874" s="3">
        <v>22949.55</v>
      </c>
    </row>
    <row r="875" spans="1:9" x14ac:dyDescent="0.3">
      <c r="A875" s="5" t="s">
        <v>150</v>
      </c>
      <c r="B875" t="s">
        <v>260</v>
      </c>
      <c r="C875" t="s">
        <v>263</v>
      </c>
      <c r="D875" t="s">
        <v>266</v>
      </c>
      <c r="E875" t="s">
        <v>271</v>
      </c>
      <c r="F875" t="s">
        <v>281</v>
      </c>
      <c r="G875" s="7">
        <v>8</v>
      </c>
      <c r="H875" s="3">
        <v>7587.27</v>
      </c>
      <c r="I875" s="3">
        <v>60698.16</v>
      </c>
    </row>
    <row r="876" spans="1:9" x14ac:dyDescent="0.3">
      <c r="A876" s="5" t="s">
        <v>150</v>
      </c>
      <c r="B876" t="s">
        <v>258</v>
      </c>
      <c r="C876" t="s">
        <v>264</v>
      </c>
      <c r="D876" t="s">
        <v>269</v>
      </c>
      <c r="E876" t="s">
        <v>273</v>
      </c>
      <c r="F876" t="s">
        <v>288</v>
      </c>
      <c r="G876" s="7">
        <v>5</v>
      </c>
      <c r="H876" s="3">
        <v>50640.44</v>
      </c>
      <c r="I876" s="3">
        <v>253202.2</v>
      </c>
    </row>
    <row r="877" spans="1:9" x14ac:dyDescent="0.3">
      <c r="A877" s="5" t="s">
        <v>150</v>
      </c>
      <c r="B877" t="s">
        <v>256</v>
      </c>
      <c r="C877" t="s">
        <v>263</v>
      </c>
      <c r="D877" t="s">
        <v>268</v>
      </c>
      <c r="E877" t="s">
        <v>274</v>
      </c>
      <c r="F877" t="s">
        <v>280</v>
      </c>
      <c r="G877" s="7">
        <v>2</v>
      </c>
      <c r="H877" s="3">
        <v>30525.37</v>
      </c>
      <c r="I877" s="3">
        <v>61050.74</v>
      </c>
    </row>
    <row r="878" spans="1:9" x14ac:dyDescent="0.3">
      <c r="A878" s="5" t="s">
        <v>151</v>
      </c>
      <c r="B878" t="s">
        <v>258</v>
      </c>
      <c r="C878" t="s">
        <v>262</v>
      </c>
      <c r="D878" t="s">
        <v>270</v>
      </c>
      <c r="E878" t="s">
        <v>274</v>
      </c>
      <c r="F878" t="s">
        <v>287</v>
      </c>
      <c r="G878" s="7">
        <v>9</v>
      </c>
      <c r="H878" s="3">
        <v>30459.67</v>
      </c>
      <c r="I878" s="3">
        <v>274137.03000000003</v>
      </c>
    </row>
    <row r="879" spans="1:9" x14ac:dyDescent="0.3">
      <c r="A879" s="5" t="s">
        <v>151</v>
      </c>
      <c r="B879" t="s">
        <v>258</v>
      </c>
      <c r="C879" t="s">
        <v>262</v>
      </c>
      <c r="D879" t="s">
        <v>270</v>
      </c>
      <c r="E879" t="s">
        <v>271</v>
      </c>
      <c r="F879" t="s">
        <v>275</v>
      </c>
      <c r="G879" s="7">
        <v>3</v>
      </c>
      <c r="H879" s="3">
        <v>10618.86</v>
      </c>
      <c r="I879" s="3">
        <v>31856.58</v>
      </c>
    </row>
    <row r="880" spans="1:9" x14ac:dyDescent="0.3">
      <c r="A880" s="5" t="s">
        <v>151</v>
      </c>
      <c r="B880" t="s">
        <v>255</v>
      </c>
      <c r="C880" t="s">
        <v>263</v>
      </c>
      <c r="D880" t="s">
        <v>269</v>
      </c>
      <c r="E880" t="s">
        <v>272</v>
      </c>
      <c r="F880" t="s">
        <v>276</v>
      </c>
      <c r="G880" s="7">
        <v>2</v>
      </c>
      <c r="H880" s="3">
        <v>25904.77</v>
      </c>
      <c r="I880" s="3">
        <v>51809.54</v>
      </c>
    </row>
    <row r="881" spans="1:9" x14ac:dyDescent="0.3">
      <c r="A881" s="5" t="s">
        <v>151</v>
      </c>
      <c r="B881" t="s">
        <v>255</v>
      </c>
      <c r="C881" t="s">
        <v>262</v>
      </c>
      <c r="D881" t="s">
        <v>268</v>
      </c>
      <c r="E881" t="s">
        <v>274</v>
      </c>
      <c r="F881" t="s">
        <v>280</v>
      </c>
      <c r="G881" s="7">
        <v>1</v>
      </c>
      <c r="H881" s="3">
        <v>29095.16</v>
      </c>
      <c r="I881" s="3">
        <v>29095.16</v>
      </c>
    </row>
    <row r="882" spans="1:9" x14ac:dyDescent="0.3">
      <c r="A882" s="5" t="s">
        <v>151</v>
      </c>
      <c r="B882" t="s">
        <v>255</v>
      </c>
      <c r="C882" t="s">
        <v>264</v>
      </c>
      <c r="D882" t="s">
        <v>267</v>
      </c>
      <c r="E882" t="s">
        <v>271</v>
      </c>
      <c r="F882" t="s">
        <v>282</v>
      </c>
      <c r="G882" s="7">
        <v>8</v>
      </c>
      <c r="H882" s="3">
        <v>7560.53</v>
      </c>
      <c r="I882" s="3">
        <v>60484.24</v>
      </c>
    </row>
    <row r="883" spans="1:9" x14ac:dyDescent="0.3">
      <c r="A883" s="5" t="s">
        <v>151</v>
      </c>
      <c r="B883" t="s">
        <v>259</v>
      </c>
      <c r="C883" t="s">
        <v>265</v>
      </c>
      <c r="D883" t="s">
        <v>266</v>
      </c>
      <c r="E883" t="s">
        <v>274</v>
      </c>
      <c r="F883" t="s">
        <v>284</v>
      </c>
      <c r="G883" s="7">
        <v>3</v>
      </c>
      <c r="H883" s="3">
        <v>34621.51</v>
      </c>
      <c r="I883" s="3">
        <v>103864.53</v>
      </c>
    </row>
    <row r="884" spans="1:9" x14ac:dyDescent="0.3">
      <c r="A884" s="5" t="s">
        <v>151</v>
      </c>
      <c r="B884" t="s">
        <v>256</v>
      </c>
      <c r="C884" t="s">
        <v>264</v>
      </c>
      <c r="D884" t="s">
        <v>268</v>
      </c>
      <c r="E884" t="s">
        <v>272</v>
      </c>
      <c r="F884" t="s">
        <v>286</v>
      </c>
      <c r="G884" s="7">
        <v>7</v>
      </c>
      <c r="H884" s="3">
        <v>30832.07</v>
      </c>
      <c r="I884" s="3">
        <v>215824.49</v>
      </c>
    </row>
    <row r="885" spans="1:9" x14ac:dyDescent="0.3">
      <c r="A885" s="5" t="s">
        <v>152</v>
      </c>
      <c r="B885" t="s">
        <v>257</v>
      </c>
      <c r="C885" t="s">
        <v>264</v>
      </c>
      <c r="D885" t="s">
        <v>270</v>
      </c>
      <c r="E885" t="s">
        <v>271</v>
      </c>
      <c r="F885" t="s">
        <v>281</v>
      </c>
      <c r="G885" s="7">
        <v>1</v>
      </c>
      <c r="H885" s="3">
        <v>8466.77</v>
      </c>
      <c r="I885" s="3">
        <v>8466.77</v>
      </c>
    </row>
    <row r="886" spans="1:9" x14ac:dyDescent="0.3">
      <c r="A886" s="5" t="s">
        <v>152</v>
      </c>
      <c r="B886" t="s">
        <v>257</v>
      </c>
      <c r="C886" t="s">
        <v>262</v>
      </c>
      <c r="D886" t="s">
        <v>269</v>
      </c>
      <c r="E886" t="s">
        <v>272</v>
      </c>
      <c r="F886" t="s">
        <v>277</v>
      </c>
      <c r="G886" s="7">
        <v>1</v>
      </c>
      <c r="H886" s="3">
        <v>29796.63</v>
      </c>
      <c r="I886" s="3">
        <v>29796.63</v>
      </c>
    </row>
    <row r="887" spans="1:9" x14ac:dyDescent="0.3">
      <c r="A887" s="5" t="s">
        <v>152</v>
      </c>
      <c r="B887" t="s">
        <v>255</v>
      </c>
      <c r="C887" t="s">
        <v>265</v>
      </c>
      <c r="D887" t="s">
        <v>269</v>
      </c>
      <c r="E887" t="s">
        <v>271</v>
      </c>
      <c r="F887" t="s">
        <v>285</v>
      </c>
      <c r="G887" s="7">
        <v>9</v>
      </c>
      <c r="H887" s="3">
        <v>9905.56</v>
      </c>
      <c r="I887" s="3">
        <v>89150.04</v>
      </c>
    </row>
    <row r="888" spans="1:9" x14ac:dyDescent="0.3">
      <c r="A888" s="5" t="s">
        <v>152</v>
      </c>
      <c r="B888" t="s">
        <v>260</v>
      </c>
      <c r="C888" t="s">
        <v>262</v>
      </c>
      <c r="D888" t="s">
        <v>266</v>
      </c>
      <c r="E888" t="s">
        <v>272</v>
      </c>
      <c r="F888" t="s">
        <v>277</v>
      </c>
      <c r="G888" s="7">
        <v>8</v>
      </c>
      <c r="H888" s="3">
        <v>32962.769999999997</v>
      </c>
      <c r="I888" s="3">
        <v>263702.15999999997</v>
      </c>
    </row>
    <row r="889" spans="1:9" x14ac:dyDescent="0.3">
      <c r="A889" s="5" t="s">
        <v>152</v>
      </c>
      <c r="B889" t="s">
        <v>259</v>
      </c>
      <c r="C889" t="s">
        <v>261</v>
      </c>
      <c r="D889" t="s">
        <v>269</v>
      </c>
      <c r="E889" t="s">
        <v>274</v>
      </c>
      <c r="F889" t="s">
        <v>287</v>
      </c>
      <c r="G889" s="7">
        <v>3</v>
      </c>
      <c r="H889" s="3">
        <v>39461.269999999997</v>
      </c>
      <c r="I889" s="3">
        <v>118383.81</v>
      </c>
    </row>
    <row r="890" spans="1:9" x14ac:dyDescent="0.3">
      <c r="A890" s="5" t="s">
        <v>152</v>
      </c>
      <c r="B890" t="s">
        <v>254</v>
      </c>
      <c r="C890" t="s">
        <v>262</v>
      </c>
      <c r="D890" t="s">
        <v>269</v>
      </c>
      <c r="E890" t="s">
        <v>274</v>
      </c>
      <c r="F890" t="s">
        <v>287</v>
      </c>
      <c r="G890" s="7">
        <v>6</v>
      </c>
      <c r="H890" s="3">
        <v>37750.629999999997</v>
      </c>
      <c r="I890" s="3">
        <v>226503.78</v>
      </c>
    </row>
    <row r="891" spans="1:9" x14ac:dyDescent="0.3">
      <c r="A891" s="5" t="s">
        <v>153</v>
      </c>
      <c r="B891" t="s">
        <v>260</v>
      </c>
      <c r="C891" t="s">
        <v>262</v>
      </c>
      <c r="D891" t="s">
        <v>268</v>
      </c>
      <c r="E891" t="s">
        <v>272</v>
      </c>
      <c r="F891" t="s">
        <v>276</v>
      </c>
      <c r="G891" s="7">
        <v>3</v>
      </c>
      <c r="H891" s="3">
        <v>30126.22</v>
      </c>
      <c r="I891" s="3">
        <v>90378.66</v>
      </c>
    </row>
    <row r="892" spans="1:9" x14ac:dyDescent="0.3">
      <c r="A892" s="5" t="s">
        <v>153</v>
      </c>
      <c r="B892" t="s">
        <v>253</v>
      </c>
      <c r="C892" t="s">
        <v>262</v>
      </c>
      <c r="D892" t="s">
        <v>267</v>
      </c>
      <c r="E892" t="s">
        <v>272</v>
      </c>
      <c r="F892" t="s">
        <v>276</v>
      </c>
      <c r="G892" s="7">
        <v>4</v>
      </c>
      <c r="H892" s="3">
        <v>25812.16</v>
      </c>
      <c r="I892" s="3">
        <v>103248.64</v>
      </c>
    </row>
    <row r="893" spans="1:9" x14ac:dyDescent="0.3">
      <c r="A893" s="5" t="s">
        <v>153</v>
      </c>
      <c r="B893" t="s">
        <v>253</v>
      </c>
      <c r="C893" t="s">
        <v>265</v>
      </c>
      <c r="D893" t="s">
        <v>266</v>
      </c>
      <c r="E893" t="s">
        <v>272</v>
      </c>
      <c r="F893" t="s">
        <v>276</v>
      </c>
      <c r="G893" s="7">
        <v>1</v>
      </c>
      <c r="H893" s="3">
        <v>24917.35</v>
      </c>
      <c r="I893" s="3">
        <v>24917.35</v>
      </c>
    </row>
    <row r="894" spans="1:9" x14ac:dyDescent="0.3">
      <c r="A894" s="5" t="s">
        <v>153</v>
      </c>
      <c r="B894" t="s">
        <v>260</v>
      </c>
      <c r="C894" t="s">
        <v>262</v>
      </c>
      <c r="D894" t="s">
        <v>268</v>
      </c>
      <c r="E894" t="s">
        <v>271</v>
      </c>
      <c r="F894" t="s">
        <v>281</v>
      </c>
      <c r="G894" s="7">
        <v>5</v>
      </c>
      <c r="H894" s="3">
        <v>7410.34</v>
      </c>
      <c r="I894" s="3">
        <v>37051.699999999997</v>
      </c>
    </row>
    <row r="895" spans="1:9" x14ac:dyDescent="0.3">
      <c r="A895" s="5" t="s">
        <v>153</v>
      </c>
      <c r="B895" t="s">
        <v>255</v>
      </c>
      <c r="C895" t="s">
        <v>265</v>
      </c>
      <c r="D895" t="s">
        <v>267</v>
      </c>
      <c r="E895" t="s">
        <v>274</v>
      </c>
      <c r="F895" t="s">
        <v>284</v>
      </c>
      <c r="G895" s="7">
        <v>1</v>
      </c>
      <c r="H895" s="3">
        <v>35731.53</v>
      </c>
      <c r="I895" s="3">
        <v>35731.53</v>
      </c>
    </row>
    <row r="896" spans="1:9" x14ac:dyDescent="0.3">
      <c r="A896" s="5" t="s">
        <v>153</v>
      </c>
      <c r="B896" t="s">
        <v>254</v>
      </c>
      <c r="C896" t="s">
        <v>263</v>
      </c>
      <c r="D896" t="s">
        <v>268</v>
      </c>
      <c r="E896" t="s">
        <v>271</v>
      </c>
      <c r="F896" t="s">
        <v>285</v>
      </c>
      <c r="G896" s="7">
        <v>1</v>
      </c>
      <c r="H896" s="3">
        <v>9970.6200000000008</v>
      </c>
      <c r="I896" s="3">
        <v>9970.6200000000008</v>
      </c>
    </row>
    <row r="897" spans="1:9" x14ac:dyDescent="0.3">
      <c r="A897" s="5" t="s">
        <v>154</v>
      </c>
      <c r="B897" t="s">
        <v>254</v>
      </c>
      <c r="C897" t="s">
        <v>261</v>
      </c>
      <c r="D897" t="s">
        <v>268</v>
      </c>
      <c r="E897" t="s">
        <v>274</v>
      </c>
      <c r="F897" t="s">
        <v>287</v>
      </c>
      <c r="G897" s="7">
        <v>7</v>
      </c>
      <c r="H897" s="3">
        <v>33711.15</v>
      </c>
      <c r="I897" s="3">
        <v>235978.05</v>
      </c>
    </row>
    <row r="898" spans="1:9" x14ac:dyDescent="0.3">
      <c r="A898" s="5" t="s">
        <v>154</v>
      </c>
      <c r="B898" t="s">
        <v>259</v>
      </c>
      <c r="C898" t="s">
        <v>265</v>
      </c>
      <c r="D898" t="s">
        <v>269</v>
      </c>
      <c r="E898" t="s">
        <v>273</v>
      </c>
      <c r="F898" t="s">
        <v>283</v>
      </c>
      <c r="G898" s="7">
        <v>6</v>
      </c>
      <c r="H898" s="3">
        <v>39234.86</v>
      </c>
      <c r="I898" s="3">
        <v>235409.16</v>
      </c>
    </row>
    <row r="899" spans="1:9" x14ac:dyDescent="0.3">
      <c r="A899" s="5" t="s">
        <v>154</v>
      </c>
      <c r="B899" t="s">
        <v>254</v>
      </c>
      <c r="C899" t="s">
        <v>263</v>
      </c>
      <c r="D899" t="s">
        <v>267</v>
      </c>
      <c r="E899" t="s">
        <v>271</v>
      </c>
      <c r="F899" t="s">
        <v>282</v>
      </c>
      <c r="G899" s="7">
        <v>2</v>
      </c>
      <c r="H899" s="3">
        <v>9045.6</v>
      </c>
      <c r="I899" s="3">
        <v>18091.2</v>
      </c>
    </row>
    <row r="900" spans="1:9" x14ac:dyDescent="0.3">
      <c r="A900" s="5" t="s">
        <v>154</v>
      </c>
      <c r="B900" t="s">
        <v>253</v>
      </c>
      <c r="C900" t="s">
        <v>265</v>
      </c>
      <c r="D900" t="s">
        <v>266</v>
      </c>
      <c r="E900" t="s">
        <v>274</v>
      </c>
      <c r="F900" t="s">
        <v>289</v>
      </c>
      <c r="G900" s="7">
        <v>2</v>
      </c>
      <c r="H900" s="3">
        <v>39177.589999999997</v>
      </c>
      <c r="I900" s="3">
        <v>78355.179999999993</v>
      </c>
    </row>
    <row r="901" spans="1:9" x14ac:dyDescent="0.3">
      <c r="A901" s="5" t="s">
        <v>154</v>
      </c>
      <c r="B901" t="s">
        <v>256</v>
      </c>
      <c r="C901" t="s">
        <v>265</v>
      </c>
      <c r="D901" t="s">
        <v>266</v>
      </c>
      <c r="E901" t="s">
        <v>274</v>
      </c>
      <c r="F901" t="s">
        <v>280</v>
      </c>
      <c r="G901" s="7">
        <v>7</v>
      </c>
      <c r="H901" s="3">
        <v>34849.449999999997</v>
      </c>
      <c r="I901" s="3">
        <v>243946.15</v>
      </c>
    </row>
    <row r="902" spans="1:9" x14ac:dyDescent="0.3">
      <c r="A902" s="5" t="s">
        <v>154</v>
      </c>
      <c r="B902" t="s">
        <v>255</v>
      </c>
      <c r="C902" t="s">
        <v>261</v>
      </c>
      <c r="D902" t="s">
        <v>267</v>
      </c>
      <c r="E902" t="s">
        <v>271</v>
      </c>
      <c r="F902" t="s">
        <v>275</v>
      </c>
      <c r="G902" s="7">
        <v>1</v>
      </c>
      <c r="H902" s="3">
        <v>9977.0499999999993</v>
      </c>
      <c r="I902" s="3">
        <v>9977.0499999999993</v>
      </c>
    </row>
    <row r="903" spans="1:9" x14ac:dyDescent="0.3">
      <c r="A903" s="5" t="s">
        <v>155</v>
      </c>
      <c r="B903" t="s">
        <v>254</v>
      </c>
      <c r="C903" t="s">
        <v>264</v>
      </c>
      <c r="D903" t="s">
        <v>269</v>
      </c>
      <c r="E903" t="s">
        <v>271</v>
      </c>
      <c r="F903" t="s">
        <v>285</v>
      </c>
      <c r="G903" s="7">
        <v>2</v>
      </c>
      <c r="H903" s="3">
        <v>9945.52</v>
      </c>
      <c r="I903" s="3">
        <v>19891.04</v>
      </c>
    </row>
    <row r="904" spans="1:9" x14ac:dyDescent="0.3">
      <c r="A904" s="5" t="s">
        <v>155</v>
      </c>
      <c r="B904" t="s">
        <v>259</v>
      </c>
      <c r="C904" t="s">
        <v>264</v>
      </c>
      <c r="D904" t="s">
        <v>270</v>
      </c>
      <c r="E904" t="s">
        <v>274</v>
      </c>
      <c r="F904" t="s">
        <v>280</v>
      </c>
      <c r="G904" s="7">
        <v>8</v>
      </c>
      <c r="H904" s="3">
        <v>39131.25</v>
      </c>
      <c r="I904" s="3">
        <v>313050</v>
      </c>
    </row>
    <row r="905" spans="1:9" x14ac:dyDescent="0.3">
      <c r="A905" s="5" t="s">
        <v>155</v>
      </c>
      <c r="B905" t="s">
        <v>253</v>
      </c>
      <c r="C905" t="s">
        <v>265</v>
      </c>
      <c r="D905" t="s">
        <v>268</v>
      </c>
      <c r="E905" t="s">
        <v>271</v>
      </c>
      <c r="F905" t="s">
        <v>282</v>
      </c>
      <c r="G905" s="7">
        <v>6</v>
      </c>
      <c r="H905" s="3">
        <v>9843.7800000000007</v>
      </c>
      <c r="I905" s="3">
        <v>59062.68</v>
      </c>
    </row>
    <row r="906" spans="1:9" x14ac:dyDescent="0.3">
      <c r="A906" s="5" t="s">
        <v>155</v>
      </c>
      <c r="B906" t="s">
        <v>256</v>
      </c>
      <c r="C906" t="s">
        <v>262</v>
      </c>
      <c r="D906" t="s">
        <v>269</v>
      </c>
      <c r="E906" t="s">
        <v>272</v>
      </c>
      <c r="F906" t="s">
        <v>286</v>
      </c>
      <c r="G906" s="7">
        <v>2</v>
      </c>
      <c r="H906" s="3">
        <v>32174.25</v>
      </c>
      <c r="I906" s="3">
        <v>64348.5</v>
      </c>
    </row>
    <row r="907" spans="1:9" x14ac:dyDescent="0.3">
      <c r="A907" s="5" t="s">
        <v>155</v>
      </c>
      <c r="B907" t="s">
        <v>258</v>
      </c>
      <c r="C907" t="s">
        <v>263</v>
      </c>
      <c r="D907" t="s">
        <v>267</v>
      </c>
      <c r="E907" t="s">
        <v>271</v>
      </c>
      <c r="F907" t="s">
        <v>282</v>
      </c>
      <c r="G907" s="7">
        <v>7</v>
      </c>
      <c r="H907" s="3">
        <v>8020.95</v>
      </c>
      <c r="I907" s="3">
        <v>56146.65</v>
      </c>
    </row>
    <row r="908" spans="1:9" x14ac:dyDescent="0.3">
      <c r="A908" s="5" t="s">
        <v>155</v>
      </c>
      <c r="B908" t="s">
        <v>258</v>
      </c>
      <c r="C908" t="s">
        <v>262</v>
      </c>
      <c r="D908" t="s">
        <v>268</v>
      </c>
      <c r="E908" t="s">
        <v>271</v>
      </c>
      <c r="F908" t="s">
        <v>275</v>
      </c>
      <c r="G908" s="7">
        <v>4</v>
      </c>
      <c r="H908" s="3">
        <v>7428.75</v>
      </c>
      <c r="I908" s="3">
        <v>29715</v>
      </c>
    </row>
    <row r="909" spans="1:9" x14ac:dyDescent="0.3">
      <c r="A909" s="5" t="s">
        <v>156</v>
      </c>
      <c r="B909" t="s">
        <v>256</v>
      </c>
      <c r="C909" t="s">
        <v>262</v>
      </c>
      <c r="D909" t="s">
        <v>266</v>
      </c>
      <c r="E909" t="s">
        <v>271</v>
      </c>
      <c r="F909" t="s">
        <v>282</v>
      </c>
      <c r="G909" s="7">
        <v>2</v>
      </c>
      <c r="H909" s="3">
        <v>8984.84</v>
      </c>
      <c r="I909" s="3">
        <v>17969.68</v>
      </c>
    </row>
    <row r="910" spans="1:9" x14ac:dyDescent="0.3">
      <c r="A910" s="5" t="s">
        <v>156</v>
      </c>
      <c r="B910" t="s">
        <v>253</v>
      </c>
      <c r="C910" t="s">
        <v>265</v>
      </c>
      <c r="D910" t="s">
        <v>270</v>
      </c>
      <c r="E910" t="s">
        <v>274</v>
      </c>
      <c r="F910" t="s">
        <v>280</v>
      </c>
      <c r="G910" s="7">
        <v>6</v>
      </c>
      <c r="H910" s="3">
        <v>28792.76</v>
      </c>
      <c r="I910" s="3">
        <v>172756.56</v>
      </c>
    </row>
    <row r="911" spans="1:9" x14ac:dyDescent="0.3">
      <c r="A911" s="5" t="s">
        <v>156</v>
      </c>
      <c r="B911" t="s">
        <v>259</v>
      </c>
      <c r="C911" t="s">
        <v>265</v>
      </c>
      <c r="D911" t="s">
        <v>266</v>
      </c>
      <c r="E911" t="s">
        <v>272</v>
      </c>
      <c r="F911" t="s">
        <v>277</v>
      </c>
      <c r="G911" s="7">
        <v>9</v>
      </c>
      <c r="H911" s="3">
        <v>34576.589999999997</v>
      </c>
      <c r="I911" s="3">
        <v>311189.31</v>
      </c>
    </row>
    <row r="912" spans="1:9" x14ac:dyDescent="0.3">
      <c r="A912" s="5" t="s">
        <v>156</v>
      </c>
      <c r="B912" t="s">
        <v>256</v>
      </c>
      <c r="C912" t="s">
        <v>265</v>
      </c>
      <c r="D912" t="s">
        <v>267</v>
      </c>
      <c r="E912" t="s">
        <v>273</v>
      </c>
      <c r="F912" t="s">
        <v>288</v>
      </c>
      <c r="G912" s="7">
        <v>9</v>
      </c>
      <c r="H912" s="3">
        <v>43468.65</v>
      </c>
      <c r="I912" s="3">
        <v>391217.85</v>
      </c>
    </row>
    <row r="913" spans="1:9" x14ac:dyDescent="0.3">
      <c r="A913" s="5" t="s">
        <v>156</v>
      </c>
      <c r="B913" t="s">
        <v>255</v>
      </c>
      <c r="C913" t="s">
        <v>265</v>
      </c>
      <c r="D913" t="s">
        <v>268</v>
      </c>
      <c r="E913" t="s">
        <v>273</v>
      </c>
      <c r="F913" t="s">
        <v>283</v>
      </c>
      <c r="G913" s="7">
        <v>8</v>
      </c>
      <c r="H913" s="3">
        <v>53603</v>
      </c>
      <c r="I913" s="3">
        <v>428824</v>
      </c>
    </row>
    <row r="914" spans="1:9" x14ac:dyDescent="0.3">
      <c r="A914" s="5" t="s">
        <v>156</v>
      </c>
      <c r="B914" t="s">
        <v>255</v>
      </c>
      <c r="C914" t="s">
        <v>264</v>
      </c>
      <c r="D914" t="s">
        <v>267</v>
      </c>
      <c r="E914" t="s">
        <v>272</v>
      </c>
      <c r="F914" t="s">
        <v>286</v>
      </c>
      <c r="G914" s="7">
        <v>3</v>
      </c>
      <c r="H914" s="3">
        <v>28141.4</v>
      </c>
      <c r="I914" s="3">
        <v>84424.2</v>
      </c>
    </row>
    <row r="915" spans="1:9" x14ac:dyDescent="0.3">
      <c r="A915" s="5" t="s">
        <v>157</v>
      </c>
      <c r="B915" t="s">
        <v>258</v>
      </c>
      <c r="C915" t="s">
        <v>265</v>
      </c>
      <c r="D915" t="s">
        <v>268</v>
      </c>
      <c r="E915" t="s">
        <v>272</v>
      </c>
      <c r="F915" t="s">
        <v>286</v>
      </c>
      <c r="G915" s="7">
        <v>3</v>
      </c>
      <c r="H915" s="3">
        <v>27419.78</v>
      </c>
      <c r="I915" s="3">
        <v>82259.34</v>
      </c>
    </row>
    <row r="916" spans="1:9" x14ac:dyDescent="0.3">
      <c r="A916" s="5" t="s">
        <v>157</v>
      </c>
      <c r="B916" t="s">
        <v>254</v>
      </c>
      <c r="C916" t="s">
        <v>264</v>
      </c>
      <c r="D916" t="s">
        <v>269</v>
      </c>
      <c r="E916" t="s">
        <v>272</v>
      </c>
      <c r="F916" t="s">
        <v>290</v>
      </c>
      <c r="G916" s="7">
        <v>2</v>
      </c>
      <c r="H916" s="3">
        <v>34273.78</v>
      </c>
      <c r="I916" s="3">
        <v>68547.56</v>
      </c>
    </row>
    <row r="917" spans="1:9" x14ac:dyDescent="0.3">
      <c r="A917" s="5" t="s">
        <v>157</v>
      </c>
      <c r="B917" t="s">
        <v>259</v>
      </c>
      <c r="C917" t="s">
        <v>264</v>
      </c>
      <c r="D917" t="s">
        <v>270</v>
      </c>
      <c r="E917" t="s">
        <v>274</v>
      </c>
      <c r="F917" t="s">
        <v>287</v>
      </c>
      <c r="G917" s="7">
        <v>5</v>
      </c>
      <c r="H917" s="3">
        <v>31850.53</v>
      </c>
      <c r="I917" s="3">
        <v>159252.65</v>
      </c>
    </row>
    <row r="918" spans="1:9" x14ac:dyDescent="0.3">
      <c r="A918" s="5" t="s">
        <v>157</v>
      </c>
      <c r="B918" t="s">
        <v>258</v>
      </c>
      <c r="C918" t="s">
        <v>265</v>
      </c>
      <c r="D918" t="s">
        <v>269</v>
      </c>
      <c r="E918" t="s">
        <v>273</v>
      </c>
      <c r="F918" t="s">
        <v>279</v>
      </c>
      <c r="G918" s="7">
        <v>4</v>
      </c>
      <c r="H918" s="3">
        <v>45275.18</v>
      </c>
      <c r="I918" s="3">
        <v>181100.72</v>
      </c>
    </row>
    <row r="919" spans="1:9" x14ac:dyDescent="0.3">
      <c r="A919" s="5" t="s">
        <v>157</v>
      </c>
      <c r="B919" t="s">
        <v>254</v>
      </c>
      <c r="C919" t="s">
        <v>261</v>
      </c>
      <c r="D919" t="s">
        <v>269</v>
      </c>
      <c r="E919" t="s">
        <v>272</v>
      </c>
      <c r="F919" t="s">
        <v>290</v>
      </c>
      <c r="G919" s="7">
        <v>7</v>
      </c>
      <c r="H919" s="3">
        <v>24988.23</v>
      </c>
      <c r="I919" s="3">
        <v>174917.61</v>
      </c>
    </row>
    <row r="920" spans="1:9" x14ac:dyDescent="0.3">
      <c r="A920" s="5" t="s">
        <v>157</v>
      </c>
      <c r="B920" t="s">
        <v>254</v>
      </c>
      <c r="C920" t="s">
        <v>263</v>
      </c>
      <c r="D920" t="s">
        <v>267</v>
      </c>
      <c r="E920" t="s">
        <v>274</v>
      </c>
      <c r="F920" t="s">
        <v>284</v>
      </c>
      <c r="G920" s="7">
        <v>4</v>
      </c>
      <c r="H920" s="3">
        <v>35781.72</v>
      </c>
      <c r="I920" s="3">
        <v>143126.88</v>
      </c>
    </row>
    <row r="921" spans="1:9" x14ac:dyDescent="0.3">
      <c r="A921" s="5" t="s">
        <v>157</v>
      </c>
      <c r="B921" t="s">
        <v>257</v>
      </c>
      <c r="C921" t="s">
        <v>262</v>
      </c>
      <c r="D921" t="s">
        <v>270</v>
      </c>
      <c r="E921" t="s">
        <v>273</v>
      </c>
      <c r="F921" t="s">
        <v>279</v>
      </c>
      <c r="G921" s="7">
        <v>9</v>
      </c>
      <c r="H921" s="3">
        <v>43449.11</v>
      </c>
      <c r="I921" s="3">
        <v>391041.99</v>
      </c>
    </row>
    <row r="922" spans="1:9" x14ac:dyDescent="0.3">
      <c r="A922" s="5" t="s">
        <v>158</v>
      </c>
      <c r="B922" t="s">
        <v>255</v>
      </c>
      <c r="C922" t="s">
        <v>264</v>
      </c>
      <c r="D922" t="s">
        <v>268</v>
      </c>
      <c r="E922" t="s">
        <v>271</v>
      </c>
      <c r="F922" t="s">
        <v>282</v>
      </c>
      <c r="G922" s="7">
        <v>2</v>
      </c>
      <c r="H922" s="3">
        <v>9216.0499999999993</v>
      </c>
      <c r="I922" s="3">
        <v>18432.099999999999</v>
      </c>
    </row>
    <row r="923" spans="1:9" x14ac:dyDescent="0.3">
      <c r="A923" s="5" t="s">
        <v>158</v>
      </c>
      <c r="B923" t="s">
        <v>253</v>
      </c>
      <c r="C923" t="s">
        <v>263</v>
      </c>
      <c r="D923" t="s">
        <v>268</v>
      </c>
      <c r="E923" t="s">
        <v>274</v>
      </c>
      <c r="F923" t="s">
        <v>289</v>
      </c>
      <c r="G923" s="7">
        <v>6</v>
      </c>
      <c r="H923" s="3">
        <v>34769.300000000003</v>
      </c>
      <c r="I923" s="3">
        <v>208615.8</v>
      </c>
    </row>
    <row r="924" spans="1:9" x14ac:dyDescent="0.3">
      <c r="A924" s="5" t="s">
        <v>158</v>
      </c>
      <c r="B924" t="s">
        <v>260</v>
      </c>
      <c r="C924" t="s">
        <v>261</v>
      </c>
      <c r="D924" t="s">
        <v>266</v>
      </c>
      <c r="E924" t="s">
        <v>273</v>
      </c>
      <c r="F924" t="s">
        <v>279</v>
      </c>
      <c r="G924" s="7">
        <v>7</v>
      </c>
      <c r="H924" s="3">
        <v>51195.59</v>
      </c>
      <c r="I924" s="3">
        <v>358369.13</v>
      </c>
    </row>
    <row r="925" spans="1:9" x14ac:dyDescent="0.3">
      <c r="A925" s="5" t="s">
        <v>158</v>
      </c>
      <c r="B925" t="s">
        <v>253</v>
      </c>
      <c r="C925" t="s">
        <v>262</v>
      </c>
      <c r="D925" t="s">
        <v>268</v>
      </c>
      <c r="E925" t="s">
        <v>274</v>
      </c>
      <c r="F925" t="s">
        <v>289</v>
      </c>
      <c r="G925" s="7">
        <v>4</v>
      </c>
      <c r="H925" s="3">
        <v>36739.089999999997</v>
      </c>
      <c r="I925" s="3">
        <v>146956.35999999999</v>
      </c>
    </row>
    <row r="926" spans="1:9" x14ac:dyDescent="0.3">
      <c r="A926" s="5" t="s">
        <v>158</v>
      </c>
      <c r="B926" t="s">
        <v>260</v>
      </c>
      <c r="C926" t="s">
        <v>262</v>
      </c>
      <c r="D926" t="s">
        <v>267</v>
      </c>
      <c r="E926" t="s">
        <v>273</v>
      </c>
      <c r="F926" t="s">
        <v>278</v>
      </c>
      <c r="G926" s="7">
        <v>6</v>
      </c>
      <c r="H926" s="3">
        <v>47510.14</v>
      </c>
      <c r="I926" s="3">
        <v>285060.84000000003</v>
      </c>
    </row>
    <row r="927" spans="1:9" x14ac:dyDescent="0.3">
      <c r="A927" s="5" t="s">
        <v>158</v>
      </c>
      <c r="B927" t="s">
        <v>256</v>
      </c>
      <c r="C927" t="s">
        <v>264</v>
      </c>
      <c r="D927" t="s">
        <v>269</v>
      </c>
      <c r="E927" t="s">
        <v>273</v>
      </c>
      <c r="F927" t="s">
        <v>288</v>
      </c>
      <c r="G927" s="7">
        <v>7</v>
      </c>
      <c r="H927" s="3">
        <v>44207.86</v>
      </c>
      <c r="I927" s="3">
        <v>309455.02</v>
      </c>
    </row>
    <row r="928" spans="1:9" x14ac:dyDescent="0.3">
      <c r="A928" s="5" t="s">
        <v>159</v>
      </c>
      <c r="B928" t="s">
        <v>255</v>
      </c>
      <c r="C928" t="s">
        <v>265</v>
      </c>
      <c r="D928" t="s">
        <v>269</v>
      </c>
      <c r="E928" t="s">
        <v>271</v>
      </c>
      <c r="F928" t="s">
        <v>282</v>
      </c>
      <c r="G928" s="7">
        <v>4</v>
      </c>
      <c r="H928" s="3">
        <v>10072.33</v>
      </c>
      <c r="I928" s="3">
        <v>40289.32</v>
      </c>
    </row>
    <row r="929" spans="1:9" x14ac:dyDescent="0.3">
      <c r="A929" s="5" t="s">
        <v>159</v>
      </c>
      <c r="B929" t="s">
        <v>254</v>
      </c>
      <c r="C929" t="s">
        <v>261</v>
      </c>
      <c r="D929" t="s">
        <v>269</v>
      </c>
      <c r="E929" t="s">
        <v>274</v>
      </c>
      <c r="F929" t="s">
        <v>280</v>
      </c>
      <c r="G929" s="7">
        <v>8</v>
      </c>
      <c r="H929" s="3">
        <v>31166.28</v>
      </c>
      <c r="I929" s="3">
        <v>249330.24</v>
      </c>
    </row>
    <row r="930" spans="1:9" x14ac:dyDescent="0.3">
      <c r="A930" s="5" t="s">
        <v>159</v>
      </c>
      <c r="B930" t="s">
        <v>259</v>
      </c>
      <c r="C930" t="s">
        <v>264</v>
      </c>
      <c r="D930" t="s">
        <v>270</v>
      </c>
      <c r="E930" t="s">
        <v>272</v>
      </c>
      <c r="F930" t="s">
        <v>277</v>
      </c>
      <c r="G930" s="7">
        <v>9</v>
      </c>
      <c r="H930" s="3">
        <v>29484.1</v>
      </c>
      <c r="I930" s="3">
        <v>265356.90000000002</v>
      </c>
    </row>
    <row r="931" spans="1:9" x14ac:dyDescent="0.3">
      <c r="A931" s="5" t="s">
        <v>159</v>
      </c>
      <c r="B931" t="s">
        <v>260</v>
      </c>
      <c r="C931" t="s">
        <v>261</v>
      </c>
      <c r="D931" t="s">
        <v>268</v>
      </c>
      <c r="E931" t="s">
        <v>271</v>
      </c>
      <c r="F931" t="s">
        <v>281</v>
      </c>
      <c r="G931" s="7">
        <v>1</v>
      </c>
      <c r="H931" s="3">
        <v>8589.26</v>
      </c>
      <c r="I931" s="3">
        <v>8589.26</v>
      </c>
    </row>
    <row r="932" spans="1:9" x14ac:dyDescent="0.3">
      <c r="A932" s="5" t="s">
        <v>159</v>
      </c>
      <c r="B932" t="s">
        <v>253</v>
      </c>
      <c r="C932" t="s">
        <v>265</v>
      </c>
      <c r="D932" t="s">
        <v>267</v>
      </c>
      <c r="E932" t="s">
        <v>271</v>
      </c>
      <c r="F932" t="s">
        <v>282</v>
      </c>
      <c r="G932" s="7">
        <v>7</v>
      </c>
      <c r="H932" s="3">
        <v>10132.27</v>
      </c>
      <c r="I932" s="3">
        <v>70925.89</v>
      </c>
    </row>
    <row r="933" spans="1:9" x14ac:dyDescent="0.3">
      <c r="A933" s="5" t="s">
        <v>159</v>
      </c>
      <c r="B933" t="s">
        <v>254</v>
      </c>
      <c r="C933" t="s">
        <v>265</v>
      </c>
      <c r="D933" t="s">
        <v>270</v>
      </c>
      <c r="E933" t="s">
        <v>273</v>
      </c>
      <c r="F933" t="s">
        <v>279</v>
      </c>
      <c r="G933" s="7">
        <v>9</v>
      </c>
      <c r="H933" s="3">
        <v>46024.53</v>
      </c>
      <c r="I933" s="3">
        <v>414220.77</v>
      </c>
    </row>
    <row r="934" spans="1:9" x14ac:dyDescent="0.3">
      <c r="A934" s="5" t="s">
        <v>160</v>
      </c>
      <c r="B934" t="s">
        <v>260</v>
      </c>
      <c r="C934" t="s">
        <v>264</v>
      </c>
      <c r="D934" t="s">
        <v>266</v>
      </c>
      <c r="E934" t="s">
        <v>272</v>
      </c>
      <c r="F934" t="s">
        <v>290</v>
      </c>
      <c r="G934" s="7">
        <v>5</v>
      </c>
      <c r="H934" s="3">
        <v>28124.31</v>
      </c>
      <c r="I934" s="3">
        <v>140621.54999999999</v>
      </c>
    </row>
    <row r="935" spans="1:9" x14ac:dyDescent="0.3">
      <c r="A935" s="5" t="s">
        <v>160</v>
      </c>
      <c r="B935" t="s">
        <v>260</v>
      </c>
      <c r="C935" t="s">
        <v>265</v>
      </c>
      <c r="D935" t="s">
        <v>267</v>
      </c>
      <c r="E935" t="s">
        <v>274</v>
      </c>
      <c r="F935" t="s">
        <v>289</v>
      </c>
      <c r="G935" s="7">
        <v>2</v>
      </c>
      <c r="H935" s="3">
        <v>36029.74</v>
      </c>
      <c r="I935" s="3">
        <v>72059.48</v>
      </c>
    </row>
    <row r="936" spans="1:9" x14ac:dyDescent="0.3">
      <c r="A936" s="5" t="s">
        <v>160</v>
      </c>
      <c r="B936" t="s">
        <v>257</v>
      </c>
      <c r="C936" t="s">
        <v>263</v>
      </c>
      <c r="D936" t="s">
        <v>267</v>
      </c>
      <c r="E936" t="s">
        <v>272</v>
      </c>
      <c r="F936" t="s">
        <v>276</v>
      </c>
      <c r="G936" s="7">
        <v>6</v>
      </c>
      <c r="H936" s="3">
        <v>30547.34</v>
      </c>
      <c r="I936" s="3">
        <v>183284.04</v>
      </c>
    </row>
    <row r="937" spans="1:9" x14ac:dyDescent="0.3">
      <c r="A937" s="5" t="s">
        <v>160</v>
      </c>
      <c r="B937" t="s">
        <v>260</v>
      </c>
      <c r="C937" t="s">
        <v>262</v>
      </c>
      <c r="D937" t="s">
        <v>267</v>
      </c>
      <c r="E937" t="s">
        <v>272</v>
      </c>
      <c r="F937" t="s">
        <v>286</v>
      </c>
      <c r="G937" s="7">
        <v>7</v>
      </c>
      <c r="H937" s="3">
        <v>25001.16</v>
      </c>
      <c r="I937" s="3">
        <v>175008.12</v>
      </c>
    </row>
    <row r="938" spans="1:9" x14ac:dyDescent="0.3">
      <c r="A938" s="5" t="s">
        <v>160</v>
      </c>
      <c r="B938" t="s">
        <v>259</v>
      </c>
      <c r="C938" t="s">
        <v>264</v>
      </c>
      <c r="D938" t="s">
        <v>269</v>
      </c>
      <c r="E938" t="s">
        <v>272</v>
      </c>
      <c r="F938" t="s">
        <v>290</v>
      </c>
      <c r="G938" s="7">
        <v>2</v>
      </c>
      <c r="H938" s="3">
        <v>29491.49</v>
      </c>
      <c r="I938" s="3">
        <v>58982.98</v>
      </c>
    </row>
    <row r="939" spans="1:9" x14ac:dyDescent="0.3">
      <c r="A939" s="5" t="s">
        <v>160</v>
      </c>
      <c r="B939" t="s">
        <v>255</v>
      </c>
      <c r="C939" t="s">
        <v>261</v>
      </c>
      <c r="D939" t="s">
        <v>267</v>
      </c>
      <c r="E939" t="s">
        <v>272</v>
      </c>
      <c r="F939" t="s">
        <v>286</v>
      </c>
      <c r="G939" s="7">
        <v>2</v>
      </c>
      <c r="H939" s="3">
        <v>32037.360000000001</v>
      </c>
      <c r="I939" s="3">
        <v>64074.720000000001</v>
      </c>
    </row>
    <row r="940" spans="1:9" x14ac:dyDescent="0.3">
      <c r="A940" s="5" t="s">
        <v>161</v>
      </c>
      <c r="B940" t="s">
        <v>259</v>
      </c>
      <c r="C940" t="s">
        <v>263</v>
      </c>
      <c r="D940" t="s">
        <v>268</v>
      </c>
      <c r="E940" t="s">
        <v>272</v>
      </c>
      <c r="F940" t="s">
        <v>290</v>
      </c>
      <c r="G940" s="7">
        <v>1</v>
      </c>
      <c r="H940" s="3">
        <v>34911.24</v>
      </c>
      <c r="I940" s="3">
        <v>34911.24</v>
      </c>
    </row>
    <row r="941" spans="1:9" x14ac:dyDescent="0.3">
      <c r="A941" s="5" t="s">
        <v>161</v>
      </c>
      <c r="B941" t="s">
        <v>258</v>
      </c>
      <c r="C941" t="s">
        <v>264</v>
      </c>
      <c r="D941" t="s">
        <v>267</v>
      </c>
      <c r="E941" t="s">
        <v>273</v>
      </c>
      <c r="F941" t="s">
        <v>288</v>
      </c>
      <c r="G941" s="7">
        <v>4</v>
      </c>
      <c r="H941" s="3">
        <v>49574.64</v>
      </c>
      <c r="I941" s="3">
        <v>198298.56</v>
      </c>
    </row>
    <row r="942" spans="1:9" x14ac:dyDescent="0.3">
      <c r="A942" s="5" t="s">
        <v>161</v>
      </c>
      <c r="B942" t="s">
        <v>254</v>
      </c>
      <c r="C942" t="s">
        <v>265</v>
      </c>
      <c r="D942" t="s">
        <v>269</v>
      </c>
      <c r="E942" t="s">
        <v>273</v>
      </c>
      <c r="F942" t="s">
        <v>278</v>
      </c>
      <c r="G942" s="7">
        <v>7</v>
      </c>
      <c r="H942" s="3">
        <v>44915.28</v>
      </c>
      <c r="I942" s="3">
        <v>314406.96000000002</v>
      </c>
    </row>
    <row r="943" spans="1:9" x14ac:dyDescent="0.3">
      <c r="A943" s="5" t="s">
        <v>161</v>
      </c>
      <c r="B943" t="s">
        <v>255</v>
      </c>
      <c r="C943" t="s">
        <v>265</v>
      </c>
      <c r="D943" t="s">
        <v>267</v>
      </c>
      <c r="E943" t="s">
        <v>271</v>
      </c>
      <c r="F943" t="s">
        <v>282</v>
      </c>
      <c r="G943" s="7">
        <v>9</v>
      </c>
      <c r="H943" s="3">
        <v>7993.92</v>
      </c>
      <c r="I943" s="3">
        <v>71945.279999999999</v>
      </c>
    </row>
    <row r="944" spans="1:9" x14ac:dyDescent="0.3">
      <c r="A944" s="5" t="s">
        <v>161</v>
      </c>
      <c r="B944" t="s">
        <v>257</v>
      </c>
      <c r="C944" t="s">
        <v>265</v>
      </c>
      <c r="D944" t="s">
        <v>266</v>
      </c>
      <c r="E944" t="s">
        <v>273</v>
      </c>
      <c r="F944" t="s">
        <v>278</v>
      </c>
      <c r="G944" s="7">
        <v>3</v>
      </c>
      <c r="H944" s="3">
        <v>53960.94</v>
      </c>
      <c r="I944" s="3">
        <v>161882.82</v>
      </c>
    </row>
    <row r="945" spans="1:9" x14ac:dyDescent="0.3">
      <c r="A945" s="5" t="s">
        <v>161</v>
      </c>
      <c r="B945" t="s">
        <v>255</v>
      </c>
      <c r="C945" t="s">
        <v>265</v>
      </c>
      <c r="D945" t="s">
        <v>266</v>
      </c>
      <c r="E945" t="s">
        <v>271</v>
      </c>
      <c r="F945" t="s">
        <v>281</v>
      </c>
      <c r="G945" s="7">
        <v>7</v>
      </c>
      <c r="H945" s="3">
        <v>9994.52</v>
      </c>
      <c r="I945" s="3">
        <v>69961.64</v>
      </c>
    </row>
    <row r="946" spans="1:9" x14ac:dyDescent="0.3">
      <c r="A946" s="5" t="s">
        <v>162</v>
      </c>
      <c r="B946" t="s">
        <v>255</v>
      </c>
      <c r="C946" t="s">
        <v>261</v>
      </c>
      <c r="D946" t="s">
        <v>269</v>
      </c>
      <c r="E946" t="s">
        <v>271</v>
      </c>
      <c r="F946" t="s">
        <v>282</v>
      </c>
      <c r="G946" s="7">
        <v>7</v>
      </c>
      <c r="H946" s="3">
        <v>8020.34</v>
      </c>
      <c r="I946" s="3">
        <v>56142.38</v>
      </c>
    </row>
    <row r="947" spans="1:9" x14ac:dyDescent="0.3">
      <c r="A947" s="5" t="s">
        <v>162</v>
      </c>
      <c r="B947" t="s">
        <v>253</v>
      </c>
      <c r="C947" t="s">
        <v>263</v>
      </c>
      <c r="D947" t="s">
        <v>268</v>
      </c>
      <c r="E947" t="s">
        <v>274</v>
      </c>
      <c r="F947" t="s">
        <v>289</v>
      </c>
      <c r="G947" s="7">
        <v>7</v>
      </c>
      <c r="H947" s="3">
        <v>29768.09</v>
      </c>
      <c r="I947" s="3">
        <v>208376.63</v>
      </c>
    </row>
    <row r="948" spans="1:9" x14ac:dyDescent="0.3">
      <c r="A948" s="5" t="s">
        <v>162</v>
      </c>
      <c r="B948" t="s">
        <v>255</v>
      </c>
      <c r="C948" t="s">
        <v>262</v>
      </c>
      <c r="D948" t="s">
        <v>268</v>
      </c>
      <c r="E948" t="s">
        <v>272</v>
      </c>
      <c r="F948" t="s">
        <v>276</v>
      </c>
      <c r="G948" s="7">
        <v>2</v>
      </c>
      <c r="H948" s="3">
        <v>31809.53</v>
      </c>
      <c r="I948" s="3">
        <v>63619.06</v>
      </c>
    </row>
    <row r="949" spans="1:9" x14ac:dyDescent="0.3">
      <c r="A949" s="5" t="s">
        <v>162</v>
      </c>
      <c r="B949" t="s">
        <v>257</v>
      </c>
      <c r="C949" t="s">
        <v>261</v>
      </c>
      <c r="D949" t="s">
        <v>270</v>
      </c>
      <c r="E949" t="s">
        <v>273</v>
      </c>
      <c r="F949" t="s">
        <v>279</v>
      </c>
      <c r="G949" s="7">
        <v>6</v>
      </c>
      <c r="H949" s="3">
        <v>43919.14</v>
      </c>
      <c r="I949" s="3">
        <v>263514.84000000003</v>
      </c>
    </row>
    <row r="950" spans="1:9" x14ac:dyDescent="0.3">
      <c r="A950" s="5" t="s">
        <v>162</v>
      </c>
      <c r="B950" t="s">
        <v>259</v>
      </c>
      <c r="C950" t="s">
        <v>261</v>
      </c>
      <c r="D950" t="s">
        <v>269</v>
      </c>
      <c r="E950" t="s">
        <v>274</v>
      </c>
      <c r="F950" t="s">
        <v>284</v>
      </c>
      <c r="G950" s="7">
        <v>2</v>
      </c>
      <c r="H950" s="3">
        <v>31121.9</v>
      </c>
      <c r="I950" s="3">
        <v>62243.8</v>
      </c>
    </row>
    <row r="951" spans="1:9" x14ac:dyDescent="0.3">
      <c r="A951" s="5" t="s">
        <v>162</v>
      </c>
      <c r="B951" t="s">
        <v>255</v>
      </c>
      <c r="C951" t="s">
        <v>262</v>
      </c>
      <c r="D951" t="s">
        <v>267</v>
      </c>
      <c r="E951" t="s">
        <v>273</v>
      </c>
      <c r="F951" t="s">
        <v>288</v>
      </c>
      <c r="G951" s="7">
        <v>6</v>
      </c>
      <c r="H951" s="3">
        <v>40991.22</v>
      </c>
      <c r="I951" s="3">
        <v>245947.32</v>
      </c>
    </row>
    <row r="952" spans="1:9" x14ac:dyDescent="0.3">
      <c r="A952" s="5" t="s">
        <v>163</v>
      </c>
      <c r="B952" t="s">
        <v>256</v>
      </c>
      <c r="C952" t="s">
        <v>262</v>
      </c>
      <c r="D952" t="s">
        <v>269</v>
      </c>
      <c r="E952" t="s">
        <v>271</v>
      </c>
      <c r="F952" t="s">
        <v>285</v>
      </c>
      <c r="G952" s="7">
        <v>3</v>
      </c>
      <c r="H952" s="3">
        <v>8122.52</v>
      </c>
      <c r="I952" s="3">
        <v>24367.56</v>
      </c>
    </row>
    <row r="953" spans="1:9" x14ac:dyDescent="0.3">
      <c r="A953" s="5" t="s">
        <v>163</v>
      </c>
      <c r="B953" t="s">
        <v>254</v>
      </c>
      <c r="C953" t="s">
        <v>265</v>
      </c>
      <c r="D953" t="s">
        <v>270</v>
      </c>
      <c r="E953" t="s">
        <v>273</v>
      </c>
      <c r="F953" t="s">
        <v>283</v>
      </c>
      <c r="G953" s="7">
        <v>2</v>
      </c>
      <c r="H953" s="3">
        <v>45945.14</v>
      </c>
      <c r="I953" s="3">
        <v>91890.28</v>
      </c>
    </row>
    <row r="954" spans="1:9" x14ac:dyDescent="0.3">
      <c r="A954" s="5" t="s">
        <v>163</v>
      </c>
      <c r="B954" t="s">
        <v>255</v>
      </c>
      <c r="C954" t="s">
        <v>261</v>
      </c>
      <c r="D954" t="s">
        <v>269</v>
      </c>
      <c r="E954" t="s">
        <v>272</v>
      </c>
      <c r="F954" t="s">
        <v>276</v>
      </c>
      <c r="G954" s="7">
        <v>6</v>
      </c>
      <c r="H954" s="3">
        <v>32007.79</v>
      </c>
      <c r="I954" s="3">
        <v>192046.74</v>
      </c>
    </row>
    <row r="955" spans="1:9" x14ac:dyDescent="0.3">
      <c r="A955" s="5" t="s">
        <v>163</v>
      </c>
      <c r="B955" t="s">
        <v>254</v>
      </c>
      <c r="C955" t="s">
        <v>264</v>
      </c>
      <c r="D955" t="s">
        <v>269</v>
      </c>
      <c r="E955" t="s">
        <v>271</v>
      </c>
      <c r="F955" t="s">
        <v>285</v>
      </c>
      <c r="G955" s="7">
        <v>2</v>
      </c>
      <c r="H955" s="3">
        <v>8368.4500000000007</v>
      </c>
      <c r="I955" s="3">
        <v>16736.900000000001</v>
      </c>
    </row>
    <row r="956" spans="1:9" x14ac:dyDescent="0.3">
      <c r="A956" s="5" t="s">
        <v>163</v>
      </c>
      <c r="B956" t="s">
        <v>256</v>
      </c>
      <c r="C956" t="s">
        <v>262</v>
      </c>
      <c r="D956" t="s">
        <v>270</v>
      </c>
      <c r="E956" t="s">
        <v>271</v>
      </c>
      <c r="F956" t="s">
        <v>285</v>
      </c>
      <c r="G956" s="7">
        <v>5</v>
      </c>
      <c r="H956" s="3">
        <v>8342.25</v>
      </c>
      <c r="I956" s="3">
        <v>41711.25</v>
      </c>
    </row>
    <row r="957" spans="1:9" x14ac:dyDescent="0.3">
      <c r="A957" s="5" t="s">
        <v>163</v>
      </c>
      <c r="B957" t="s">
        <v>256</v>
      </c>
      <c r="C957" t="s">
        <v>262</v>
      </c>
      <c r="D957" t="s">
        <v>268</v>
      </c>
      <c r="E957" t="s">
        <v>274</v>
      </c>
      <c r="F957" t="s">
        <v>287</v>
      </c>
      <c r="G957" s="7">
        <v>2</v>
      </c>
      <c r="H957" s="3">
        <v>30846.89</v>
      </c>
      <c r="I957" s="3">
        <v>61693.78</v>
      </c>
    </row>
    <row r="958" spans="1:9" x14ac:dyDescent="0.3">
      <c r="A958" s="5" t="s">
        <v>163</v>
      </c>
      <c r="B958" t="s">
        <v>254</v>
      </c>
      <c r="C958" t="s">
        <v>263</v>
      </c>
      <c r="D958" t="s">
        <v>267</v>
      </c>
      <c r="E958" t="s">
        <v>272</v>
      </c>
      <c r="F958" t="s">
        <v>286</v>
      </c>
      <c r="G958" s="7">
        <v>3</v>
      </c>
      <c r="H958" s="3">
        <v>29156.78</v>
      </c>
      <c r="I958" s="3">
        <v>87470.34</v>
      </c>
    </row>
    <row r="959" spans="1:9" x14ac:dyDescent="0.3">
      <c r="A959" s="5" t="s">
        <v>164</v>
      </c>
      <c r="B959" t="s">
        <v>260</v>
      </c>
      <c r="C959" t="s">
        <v>264</v>
      </c>
      <c r="D959" t="s">
        <v>270</v>
      </c>
      <c r="E959" t="s">
        <v>271</v>
      </c>
      <c r="F959" t="s">
        <v>285</v>
      </c>
      <c r="G959" s="7">
        <v>3</v>
      </c>
      <c r="H959" s="3">
        <v>7839.16</v>
      </c>
      <c r="I959" s="3">
        <v>23517.48</v>
      </c>
    </row>
    <row r="960" spans="1:9" x14ac:dyDescent="0.3">
      <c r="A960" s="5" t="s">
        <v>164</v>
      </c>
      <c r="B960" t="s">
        <v>258</v>
      </c>
      <c r="C960" t="s">
        <v>264</v>
      </c>
      <c r="D960" t="s">
        <v>266</v>
      </c>
      <c r="E960" t="s">
        <v>272</v>
      </c>
      <c r="F960" t="s">
        <v>276</v>
      </c>
      <c r="G960" s="7">
        <v>6</v>
      </c>
      <c r="H960" s="3">
        <v>29239.06</v>
      </c>
      <c r="I960" s="3">
        <v>175434.36</v>
      </c>
    </row>
    <row r="961" spans="1:9" x14ac:dyDescent="0.3">
      <c r="A961" s="5" t="s">
        <v>164</v>
      </c>
      <c r="B961" t="s">
        <v>253</v>
      </c>
      <c r="C961" t="s">
        <v>262</v>
      </c>
      <c r="D961" t="s">
        <v>268</v>
      </c>
      <c r="E961" t="s">
        <v>273</v>
      </c>
      <c r="F961" t="s">
        <v>288</v>
      </c>
      <c r="G961" s="7">
        <v>6</v>
      </c>
      <c r="H961" s="3">
        <v>50925.16</v>
      </c>
      <c r="I961" s="3">
        <v>305550.96000000002</v>
      </c>
    </row>
    <row r="962" spans="1:9" x14ac:dyDescent="0.3">
      <c r="A962" s="5" t="s">
        <v>164</v>
      </c>
      <c r="B962" t="s">
        <v>260</v>
      </c>
      <c r="C962" t="s">
        <v>265</v>
      </c>
      <c r="D962" t="s">
        <v>266</v>
      </c>
      <c r="E962" t="s">
        <v>272</v>
      </c>
      <c r="F962" t="s">
        <v>277</v>
      </c>
      <c r="G962" s="7">
        <v>3</v>
      </c>
      <c r="H962" s="3">
        <v>24133.65</v>
      </c>
      <c r="I962" s="3">
        <v>72400.95</v>
      </c>
    </row>
    <row r="963" spans="1:9" x14ac:dyDescent="0.3">
      <c r="A963" s="5" t="s">
        <v>164</v>
      </c>
      <c r="B963" t="s">
        <v>260</v>
      </c>
      <c r="C963" t="s">
        <v>263</v>
      </c>
      <c r="D963" t="s">
        <v>268</v>
      </c>
      <c r="E963" t="s">
        <v>271</v>
      </c>
      <c r="F963" t="s">
        <v>275</v>
      </c>
      <c r="G963" s="7">
        <v>3</v>
      </c>
      <c r="H963" s="3">
        <v>7258.25</v>
      </c>
      <c r="I963" s="3">
        <v>21774.75</v>
      </c>
    </row>
    <row r="964" spans="1:9" x14ac:dyDescent="0.3">
      <c r="A964" s="5" t="s">
        <v>164</v>
      </c>
      <c r="B964" t="s">
        <v>259</v>
      </c>
      <c r="C964" t="s">
        <v>264</v>
      </c>
      <c r="D964" t="s">
        <v>267</v>
      </c>
      <c r="E964" t="s">
        <v>274</v>
      </c>
      <c r="F964" t="s">
        <v>284</v>
      </c>
      <c r="G964" s="7">
        <v>1</v>
      </c>
      <c r="H964" s="3">
        <v>28161.57</v>
      </c>
      <c r="I964" s="3">
        <v>28161.57</v>
      </c>
    </row>
    <row r="965" spans="1:9" x14ac:dyDescent="0.3">
      <c r="A965" s="5" t="s">
        <v>165</v>
      </c>
      <c r="B965" t="s">
        <v>253</v>
      </c>
      <c r="C965" t="s">
        <v>262</v>
      </c>
      <c r="D965" t="s">
        <v>267</v>
      </c>
      <c r="E965" t="s">
        <v>271</v>
      </c>
      <c r="F965" t="s">
        <v>281</v>
      </c>
      <c r="G965" s="7">
        <v>7</v>
      </c>
      <c r="H965" s="3">
        <v>9046.24</v>
      </c>
      <c r="I965" s="3">
        <v>63323.68</v>
      </c>
    </row>
    <row r="966" spans="1:9" x14ac:dyDescent="0.3">
      <c r="A966" s="5" t="s">
        <v>165</v>
      </c>
      <c r="B966" t="s">
        <v>253</v>
      </c>
      <c r="C966" t="s">
        <v>264</v>
      </c>
      <c r="D966" t="s">
        <v>269</v>
      </c>
      <c r="E966" t="s">
        <v>272</v>
      </c>
      <c r="F966" t="s">
        <v>286</v>
      </c>
      <c r="G966" s="7">
        <v>8</v>
      </c>
      <c r="H966" s="3">
        <v>33369.9</v>
      </c>
      <c r="I966" s="3">
        <v>266959.2</v>
      </c>
    </row>
    <row r="967" spans="1:9" x14ac:dyDescent="0.3">
      <c r="A967" s="5" t="s">
        <v>165</v>
      </c>
      <c r="B967" t="s">
        <v>260</v>
      </c>
      <c r="C967" t="s">
        <v>263</v>
      </c>
      <c r="D967" t="s">
        <v>266</v>
      </c>
      <c r="E967" t="s">
        <v>272</v>
      </c>
      <c r="F967" t="s">
        <v>286</v>
      </c>
      <c r="G967" s="7">
        <v>2</v>
      </c>
      <c r="H967" s="3">
        <v>23854.71</v>
      </c>
      <c r="I967" s="3">
        <v>47709.42</v>
      </c>
    </row>
    <row r="968" spans="1:9" x14ac:dyDescent="0.3">
      <c r="A968" s="5" t="s">
        <v>165</v>
      </c>
      <c r="B968" t="s">
        <v>255</v>
      </c>
      <c r="C968" t="s">
        <v>263</v>
      </c>
      <c r="D968" t="s">
        <v>268</v>
      </c>
      <c r="E968" t="s">
        <v>271</v>
      </c>
      <c r="F968" t="s">
        <v>275</v>
      </c>
      <c r="G968" s="7">
        <v>4</v>
      </c>
      <c r="H968" s="3">
        <v>10409.65</v>
      </c>
      <c r="I968" s="3">
        <v>41638.6</v>
      </c>
    </row>
    <row r="969" spans="1:9" x14ac:dyDescent="0.3">
      <c r="A969" s="5" t="s">
        <v>165</v>
      </c>
      <c r="B969" t="s">
        <v>259</v>
      </c>
      <c r="C969" t="s">
        <v>261</v>
      </c>
      <c r="D969" t="s">
        <v>267</v>
      </c>
      <c r="E969" t="s">
        <v>272</v>
      </c>
      <c r="F969" t="s">
        <v>276</v>
      </c>
      <c r="G969" s="7">
        <v>7</v>
      </c>
      <c r="H969" s="3">
        <v>24990.32</v>
      </c>
      <c r="I969" s="3">
        <v>174932.24</v>
      </c>
    </row>
    <row r="970" spans="1:9" x14ac:dyDescent="0.3">
      <c r="A970" s="5" t="s">
        <v>165</v>
      </c>
      <c r="B970" t="s">
        <v>259</v>
      </c>
      <c r="C970" t="s">
        <v>262</v>
      </c>
      <c r="D970" t="s">
        <v>270</v>
      </c>
      <c r="E970" t="s">
        <v>273</v>
      </c>
      <c r="F970" t="s">
        <v>279</v>
      </c>
      <c r="G970" s="7">
        <v>8</v>
      </c>
      <c r="H970" s="3">
        <v>53405.7</v>
      </c>
      <c r="I970" s="3">
        <v>427245.6</v>
      </c>
    </row>
    <row r="971" spans="1:9" x14ac:dyDescent="0.3">
      <c r="A971" s="5" t="s">
        <v>166</v>
      </c>
      <c r="B971" t="s">
        <v>256</v>
      </c>
      <c r="C971" t="s">
        <v>263</v>
      </c>
      <c r="D971" t="s">
        <v>267</v>
      </c>
      <c r="E971" t="s">
        <v>271</v>
      </c>
      <c r="F971" t="s">
        <v>282</v>
      </c>
      <c r="G971" s="7">
        <v>1</v>
      </c>
      <c r="H971" s="3">
        <v>8866.7099999999991</v>
      </c>
      <c r="I971" s="3">
        <v>8866.7099999999991</v>
      </c>
    </row>
    <row r="972" spans="1:9" x14ac:dyDescent="0.3">
      <c r="A972" s="5" t="s">
        <v>166</v>
      </c>
      <c r="B972" t="s">
        <v>257</v>
      </c>
      <c r="C972" t="s">
        <v>261</v>
      </c>
      <c r="D972" t="s">
        <v>270</v>
      </c>
      <c r="E972" t="s">
        <v>274</v>
      </c>
      <c r="F972" t="s">
        <v>280</v>
      </c>
      <c r="G972" s="7">
        <v>4</v>
      </c>
      <c r="H972" s="3">
        <v>35639.769999999997</v>
      </c>
      <c r="I972" s="3">
        <v>142559.07999999999</v>
      </c>
    </row>
    <row r="973" spans="1:9" x14ac:dyDescent="0.3">
      <c r="A973" s="5" t="s">
        <v>166</v>
      </c>
      <c r="B973" t="s">
        <v>253</v>
      </c>
      <c r="C973" t="s">
        <v>261</v>
      </c>
      <c r="D973" t="s">
        <v>268</v>
      </c>
      <c r="E973" t="s">
        <v>271</v>
      </c>
      <c r="F973" t="s">
        <v>282</v>
      </c>
      <c r="G973" s="7">
        <v>6</v>
      </c>
      <c r="H973" s="3">
        <v>8961.32</v>
      </c>
      <c r="I973" s="3">
        <v>53767.92</v>
      </c>
    </row>
    <row r="974" spans="1:9" x14ac:dyDescent="0.3">
      <c r="A974" s="5" t="s">
        <v>166</v>
      </c>
      <c r="B974" t="s">
        <v>260</v>
      </c>
      <c r="C974" t="s">
        <v>264</v>
      </c>
      <c r="D974" t="s">
        <v>267</v>
      </c>
      <c r="E974" t="s">
        <v>273</v>
      </c>
      <c r="F974" t="s">
        <v>278</v>
      </c>
      <c r="G974" s="7">
        <v>3</v>
      </c>
      <c r="H974" s="3">
        <v>46836.87</v>
      </c>
      <c r="I974" s="3">
        <v>140510.60999999999</v>
      </c>
    </row>
    <row r="975" spans="1:9" x14ac:dyDescent="0.3">
      <c r="A975" s="5" t="s">
        <v>166</v>
      </c>
      <c r="B975" t="s">
        <v>256</v>
      </c>
      <c r="C975" t="s">
        <v>264</v>
      </c>
      <c r="D975" t="s">
        <v>267</v>
      </c>
      <c r="E975" t="s">
        <v>273</v>
      </c>
      <c r="F975" t="s">
        <v>288</v>
      </c>
      <c r="G975" s="7">
        <v>5</v>
      </c>
      <c r="H975" s="3">
        <v>53278.19</v>
      </c>
      <c r="I975" s="3">
        <v>266390.95</v>
      </c>
    </row>
    <row r="976" spans="1:9" x14ac:dyDescent="0.3">
      <c r="A976" s="5" t="s">
        <v>166</v>
      </c>
      <c r="B976" t="s">
        <v>254</v>
      </c>
      <c r="C976" t="s">
        <v>261</v>
      </c>
      <c r="D976" t="s">
        <v>268</v>
      </c>
      <c r="E976" t="s">
        <v>273</v>
      </c>
      <c r="F976" t="s">
        <v>278</v>
      </c>
      <c r="G976" s="7">
        <v>9</v>
      </c>
      <c r="H976" s="3">
        <v>51855.95</v>
      </c>
      <c r="I976" s="3">
        <v>466703.55</v>
      </c>
    </row>
    <row r="977" spans="1:9" x14ac:dyDescent="0.3">
      <c r="A977" s="5" t="s">
        <v>167</v>
      </c>
      <c r="B977" t="s">
        <v>258</v>
      </c>
      <c r="C977" t="s">
        <v>264</v>
      </c>
      <c r="D977" t="s">
        <v>267</v>
      </c>
      <c r="E977" t="s">
        <v>273</v>
      </c>
      <c r="F977" t="s">
        <v>283</v>
      </c>
      <c r="G977" s="7">
        <v>3</v>
      </c>
      <c r="H977" s="3">
        <v>46951.24</v>
      </c>
      <c r="I977" s="3">
        <v>140853.72</v>
      </c>
    </row>
    <row r="978" spans="1:9" x14ac:dyDescent="0.3">
      <c r="A978" s="5" t="s">
        <v>167</v>
      </c>
      <c r="B978" t="s">
        <v>257</v>
      </c>
      <c r="C978" t="s">
        <v>263</v>
      </c>
      <c r="D978" t="s">
        <v>270</v>
      </c>
      <c r="E978" t="s">
        <v>273</v>
      </c>
      <c r="F978" t="s">
        <v>279</v>
      </c>
      <c r="G978" s="7">
        <v>5</v>
      </c>
      <c r="H978" s="3">
        <v>40259.449999999997</v>
      </c>
      <c r="I978" s="3">
        <v>201297.25</v>
      </c>
    </row>
    <row r="979" spans="1:9" x14ac:dyDescent="0.3">
      <c r="A979" s="5" t="s">
        <v>167</v>
      </c>
      <c r="B979" t="s">
        <v>257</v>
      </c>
      <c r="C979" t="s">
        <v>265</v>
      </c>
      <c r="D979" t="s">
        <v>267</v>
      </c>
      <c r="E979" t="s">
        <v>274</v>
      </c>
      <c r="F979" t="s">
        <v>287</v>
      </c>
      <c r="G979" s="7">
        <v>8</v>
      </c>
      <c r="H979" s="3">
        <v>28677.16</v>
      </c>
      <c r="I979" s="3">
        <v>229417.28</v>
      </c>
    </row>
    <row r="980" spans="1:9" x14ac:dyDescent="0.3">
      <c r="A980" s="5" t="s">
        <v>167</v>
      </c>
      <c r="B980" t="s">
        <v>257</v>
      </c>
      <c r="C980" t="s">
        <v>263</v>
      </c>
      <c r="D980" t="s">
        <v>266</v>
      </c>
      <c r="E980" t="s">
        <v>272</v>
      </c>
      <c r="F980" t="s">
        <v>286</v>
      </c>
      <c r="G980" s="7">
        <v>6</v>
      </c>
      <c r="H980" s="3">
        <v>32777.24</v>
      </c>
      <c r="I980" s="3">
        <v>196663.44</v>
      </c>
    </row>
    <row r="981" spans="1:9" x14ac:dyDescent="0.3">
      <c r="A981" s="5" t="s">
        <v>167</v>
      </c>
      <c r="B981" t="s">
        <v>259</v>
      </c>
      <c r="C981" t="s">
        <v>261</v>
      </c>
      <c r="D981" t="s">
        <v>269</v>
      </c>
      <c r="E981" t="s">
        <v>273</v>
      </c>
      <c r="F981" t="s">
        <v>279</v>
      </c>
      <c r="G981" s="7">
        <v>4</v>
      </c>
      <c r="H981" s="3">
        <v>47779.03</v>
      </c>
      <c r="I981" s="3">
        <v>191116.12</v>
      </c>
    </row>
    <row r="982" spans="1:9" x14ac:dyDescent="0.3">
      <c r="A982" s="5" t="s">
        <v>167</v>
      </c>
      <c r="B982" t="s">
        <v>254</v>
      </c>
      <c r="C982" t="s">
        <v>261</v>
      </c>
      <c r="D982" t="s">
        <v>270</v>
      </c>
      <c r="E982" t="s">
        <v>273</v>
      </c>
      <c r="F982" t="s">
        <v>283</v>
      </c>
      <c r="G982" s="7">
        <v>8</v>
      </c>
      <c r="H982" s="3">
        <v>46918.6</v>
      </c>
      <c r="I982" s="3">
        <v>375348.8</v>
      </c>
    </row>
    <row r="983" spans="1:9" x14ac:dyDescent="0.3">
      <c r="A983" s="5" t="s">
        <v>168</v>
      </c>
      <c r="B983" t="s">
        <v>257</v>
      </c>
      <c r="C983" t="s">
        <v>263</v>
      </c>
      <c r="D983" t="s">
        <v>266</v>
      </c>
      <c r="E983" t="s">
        <v>271</v>
      </c>
      <c r="F983" t="s">
        <v>275</v>
      </c>
      <c r="G983" s="7">
        <v>3</v>
      </c>
      <c r="H983" s="3">
        <v>9538.93</v>
      </c>
      <c r="I983" s="3">
        <v>28616.79</v>
      </c>
    </row>
    <row r="984" spans="1:9" x14ac:dyDescent="0.3">
      <c r="A984" s="5" t="s">
        <v>168</v>
      </c>
      <c r="B984" t="s">
        <v>254</v>
      </c>
      <c r="C984" t="s">
        <v>264</v>
      </c>
      <c r="D984" t="s">
        <v>268</v>
      </c>
      <c r="E984" t="s">
        <v>274</v>
      </c>
      <c r="F984" t="s">
        <v>289</v>
      </c>
      <c r="G984" s="7">
        <v>3</v>
      </c>
      <c r="H984" s="3">
        <v>38193.17</v>
      </c>
      <c r="I984" s="3">
        <v>114579.51</v>
      </c>
    </row>
    <row r="985" spans="1:9" x14ac:dyDescent="0.3">
      <c r="A985" s="5" t="s">
        <v>168</v>
      </c>
      <c r="B985" t="s">
        <v>255</v>
      </c>
      <c r="C985" t="s">
        <v>264</v>
      </c>
      <c r="D985" t="s">
        <v>270</v>
      </c>
      <c r="E985" t="s">
        <v>274</v>
      </c>
      <c r="F985" t="s">
        <v>280</v>
      </c>
      <c r="G985" s="7">
        <v>4</v>
      </c>
      <c r="H985" s="3">
        <v>35249.58</v>
      </c>
      <c r="I985" s="3">
        <v>140998.32</v>
      </c>
    </row>
    <row r="986" spans="1:9" x14ac:dyDescent="0.3">
      <c r="A986" s="5" t="s">
        <v>168</v>
      </c>
      <c r="B986" t="s">
        <v>257</v>
      </c>
      <c r="C986" t="s">
        <v>261</v>
      </c>
      <c r="D986" t="s">
        <v>269</v>
      </c>
      <c r="E986" t="s">
        <v>272</v>
      </c>
      <c r="F986" t="s">
        <v>290</v>
      </c>
      <c r="G986" s="7">
        <v>9</v>
      </c>
      <c r="H986" s="3">
        <v>32343.9</v>
      </c>
      <c r="I986" s="3">
        <v>291095.09999999998</v>
      </c>
    </row>
    <row r="987" spans="1:9" x14ac:dyDescent="0.3">
      <c r="A987" s="5" t="s">
        <v>168</v>
      </c>
      <c r="B987" t="s">
        <v>258</v>
      </c>
      <c r="C987" t="s">
        <v>262</v>
      </c>
      <c r="D987" t="s">
        <v>269</v>
      </c>
      <c r="E987" t="s">
        <v>274</v>
      </c>
      <c r="F987" t="s">
        <v>289</v>
      </c>
      <c r="G987" s="7">
        <v>5</v>
      </c>
      <c r="H987" s="3">
        <v>36995.46</v>
      </c>
      <c r="I987" s="3">
        <v>184977.3</v>
      </c>
    </row>
    <row r="988" spans="1:9" x14ac:dyDescent="0.3">
      <c r="A988" s="5" t="s">
        <v>168</v>
      </c>
      <c r="B988" t="s">
        <v>254</v>
      </c>
      <c r="C988" t="s">
        <v>264</v>
      </c>
      <c r="D988" t="s">
        <v>268</v>
      </c>
      <c r="E988" t="s">
        <v>271</v>
      </c>
      <c r="F988" t="s">
        <v>285</v>
      </c>
      <c r="G988" s="7">
        <v>8</v>
      </c>
      <c r="H988" s="3">
        <v>8436.2900000000009</v>
      </c>
      <c r="I988" s="3">
        <v>67490.320000000007</v>
      </c>
    </row>
    <row r="989" spans="1:9" x14ac:dyDescent="0.3">
      <c r="A989" s="5" t="s">
        <v>169</v>
      </c>
      <c r="B989" t="s">
        <v>254</v>
      </c>
      <c r="C989" t="s">
        <v>263</v>
      </c>
      <c r="D989" t="s">
        <v>268</v>
      </c>
      <c r="E989" t="s">
        <v>271</v>
      </c>
      <c r="F989" t="s">
        <v>281</v>
      </c>
      <c r="G989" s="7">
        <v>6</v>
      </c>
      <c r="H989" s="3">
        <v>8156.88</v>
      </c>
      <c r="I989" s="3">
        <v>48941.279999999999</v>
      </c>
    </row>
    <row r="990" spans="1:9" x14ac:dyDescent="0.3">
      <c r="A990" s="5" t="s">
        <v>169</v>
      </c>
      <c r="B990" t="s">
        <v>258</v>
      </c>
      <c r="C990" t="s">
        <v>264</v>
      </c>
      <c r="D990" t="s">
        <v>270</v>
      </c>
      <c r="E990" t="s">
        <v>272</v>
      </c>
      <c r="F990" t="s">
        <v>286</v>
      </c>
      <c r="G990" s="7">
        <v>3</v>
      </c>
      <c r="H990" s="3">
        <v>32773.040000000001</v>
      </c>
      <c r="I990" s="3">
        <v>98319.12</v>
      </c>
    </row>
    <row r="991" spans="1:9" x14ac:dyDescent="0.3">
      <c r="A991" s="5" t="s">
        <v>169</v>
      </c>
      <c r="B991" t="s">
        <v>257</v>
      </c>
      <c r="C991" t="s">
        <v>263</v>
      </c>
      <c r="D991" t="s">
        <v>267</v>
      </c>
      <c r="E991" t="s">
        <v>271</v>
      </c>
      <c r="F991" t="s">
        <v>282</v>
      </c>
      <c r="G991" s="7">
        <v>8</v>
      </c>
      <c r="H991" s="3">
        <v>8507.41</v>
      </c>
      <c r="I991" s="3">
        <v>68059.28</v>
      </c>
    </row>
    <row r="992" spans="1:9" x14ac:dyDescent="0.3">
      <c r="A992" s="5" t="s">
        <v>169</v>
      </c>
      <c r="B992" t="s">
        <v>258</v>
      </c>
      <c r="C992" t="s">
        <v>261</v>
      </c>
      <c r="D992" t="s">
        <v>268</v>
      </c>
      <c r="E992" t="s">
        <v>273</v>
      </c>
      <c r="F992" t="s">
        <v>283</v>
      </c>
      <c r="G992" s="7">
        <v>9</v>
      </c>
      <c r="H992" s="3">
        <v>54510.05</v>
      </c>
      <c r="I992" s="3">
        <v>490590.45</v>
      </c>
    </row>
    <row r="993" spans="1:9" x14ac:dyDescent="0.3">
      <c r="A993" s="5" t="s">
        <v>169</v>
      </c>
      <c r="B993" t="s">
        <v>254</v>
      </c>
      <c r="C993" t="s">
        <v>264</v>
      </c>
      <c r="D993" t="s">
        <v>267</v>
      </c>
      <c r="E993" t="s">
        <v>273</v>
      </c>
      <c r="F993" t="s">
        <v>279</v>
      </c>
      <c r="G993" s="7">
        <v>8</v>
      </c>
      <c r="H993" s="3">
        <v>39504.43</v>
      </c>
      <c r="I993" s="3">
        <v>316035.44</v>
      </c>
    </row>
    <row r="994" spans="1:9" x14ac:dyDescent="0.3">
      <c r="A994" s="5" t="s">
        <v>169</v>
      </c>
      <c r="B994" t="s">
        <v>258</v>
      </c>
      <c r="C994" t="s">
        <v>263</v>
      </c>
      <c r="D994" t="s">
        <v>266</v>
      </c>
      <c r="E994" t="s">
        <v>271</v>
      </c>
      <c r="F994" t="s">
        <v>282</v>
      </c>
      <c r="G994" s="7">
        <v>4</v>
      </c>
      <c r="H994" s="3">
        <v>7422.94</v>
      </c>
      <c r="I994" s="3">
        <v>29691.759999999998</v>
      </c>
    </row>
    <row r="995" spans="1:9" x14ac:dyDescent="0.3">
      <c r="A995" s="5" t="s">
        <v>169</v>
      </c>
      <c r="B995" t="s">
        <v>254</v>
      </c>
      <c r="C995" t="s">
        <v>261</v>
      </c>
      <c r="D995" t="s">
        <v>269</v>
      </c>
      <c r="E995" t="s">
        <v>272</v>
      </c>
      <c r="F995" t="s">
        <v>286</v>
      </c>
      <c r="G995" s="7">
        <v>6</v>
      </c>
      <c r="H995" s="3">
        <v>34182.449999999997</v>
      </c>
      <c r="I995" s="3">
        <v>205094.7</v>
      </c>
    </row>
    <row r="996" spans="1:9" x14ac:dyDescent="0.3">
      <c r="A996" s="5" t="s">
        <v>170</v>
      </c>
      <c r="B996" t="s">
        <v>254</v>
      </c>
      <c r="C996" t="s">
        <v>262</v>
      </c>
      <c r="D996" t="s">
        <v>267</v>
      </c>
      <c r="E996" t="s">
        <v>274</v>
      </c>
      <c r="F996" t="s">
        <v>284</v>
      </c>
      <c r="G996" s="7">
        <v>1</v>
      </c>
      <c r="H996" s="3">
        <v>35500.22</v>
      </c>
      <c r="I996" s="3">
        <v>35500.22</v>
      </c>
    </row>
    <row r="997" spans="1:9" x14ac:dyDescent="0.3">
      <c r="A997" s="5" t="s">
        <v>170</v>
      </c>
      <c r="B997" t="s">
        <v>255</v>
      </c>
      <c r="C997" t="s">
        <v>263</v>
      </c>
      <c r="D997" t="s">
        <v>269</v>
      </c>
      <c r="E997" t="s">
        <v>272</v>
      </c>
      <c r="F997" t="s">
        <v>276</v>
      </c>
      <c r="G997" s="7">
        <v>4</v>
      </c>
      <c r="H997" s="3">
        <v>28051.51</v>
      </c>
      <c r="I997" s="3">
        <v>112206.04</v>
      </c>
    </row>
    <row r="998" spans="1:9" x14ac:dyDescent="0.3">
      <c r="A998" s="5" t="s">
        <v>170</v>
      </c>
      <c r="B998" t="s">
        <v>260</v>
      </c>
      <c r="C998" t="s">
        <v>262</v>
      </c>
      <c r="D998" t="s">
        <v>267</v>
      </c>
      <c r="E998" t="s">
        <v>274</v>
      </c>
      <c r="F998" t="s">
        <v>284</v>
      </c>
      <c r="G998" s="7">
        <v>8</v>
      </c>
      <c r="H998" s="3">
        <v>36864.769999999997</v>
      </c>
      <c r="I998" s="3">
        <v>294918.15999999997</v>
      </c>
    </row>
    <row r="999" spans="1:9" x14ac:dyDescent="0.3">
      <c r="A999" s="5" t="s">
        <v>170</v>
      </c>
      <c r="B999" t="s">
        <v>254</v>
      </c>
      <c r="C999" t="s">
        <v>262</v>
      </c>
      <c r="D999" t="s">
        <v>266</v>
      </c>
      <c r="E999" t="s">
        <v>271</v>
      </c>
      <c r="F999" t="s">
        <v>285</v>
      </c>
      <c r="G999" s="7">
        <v>1</v>
      </c>
      <c r="H999" s="3">
        <v>9510.91</v>
      </c>
      <c r="I999" s="3">
        <v>9510.91</v>
      </c>
    </row>
    <row r="1000" spans="1:9" x14ac:dyDescent="0.3">
      <c r="A1000" s="5" t="s">
        <v>170</v>
      </c>
      <c r="B1000" t="s">
        <v>257</v>
      </c>
      <c r="C1000" t="s">
        <v>265</v>
      </c>
      <c r="D1000" t="s">
        <v>268</v>
      </c>
      <c r="E1000" t="s">
        <v>271</v>
      </c>
      <c r="F1000" t="s">
        <v>275</v>
      </c>
      <c r="G1000" s="7">
        <v>3</v>
      </c>
      <c r="H1000" s="3">
        <v>9031.08</v>
      </c>
      <c r="I1000" s="3">
        <v>27093.24</v>
      </c>
    </row>
    <row r="1001" spans="1:9" x14ac:dyDescent="0.3">
      <c r="A1001" s="5" t="s">
        <v>170</v>
      </c>
      <c r="B1001" t="s">
        <v>256</v>
      </c>
      <c r="C1001" t="s">
        <v>264</v>
      </c>
      <c r="D1001" t="s">
        <v>266</v>
      </c>
      <c r="E1001" t="s">
        <v>273</v>
      </c>
      <c r="F1001" t="s">
        <v>279</v>
      </c>
      <c r="G1001" s="7">
        <v>1</v>
      </c>
      <c r="H1001" s="3">
        <v>40029.72</v>
      </c>
      <c r="I1001" s="3">
        <v>40029.72</v>
      </c>
    </row>
    <row r="1002" spans="1:9" x14ac:dyDescent="0.3">
      <c r="A1002" s="5" t="s">
        <v>171</v>
      </c>
      <c r="B1002" t="s">
        <v>259</v>
      </c>
      <c r="C1002" t="s">
        <v>263</v>
      </c>
      <c r="D1002" t="s">
        <v>268</v>
      </c>
      <c r="E1002" t="s">
        <v>274</v>
      </c>
      <c r="F1002" t="s">
        <v>280</v>
      </c>
      <c r="G1002" s="7">
        <v>9</v>
      </c>
      <c r="H1002" s="3">
        <v>37595.9</v>
      </c>
      <c r="I1002" s="3">
        <v>338363.1</v>
      </c>
    </row>
    <row r="1003" spans="1:9" x14ac:dyDescent="0.3">
      <c r="A1003" s="5" t="s">
        <v>171</v>
      </c>
      <c r="B1003" t="s">
        <v>253</v>
      </c>
      <c r="C1003" t="s">
        <v>262</v>
      </c>
      <c r="D1003" t="s">
        <v>268</v>
      </c>
      <c r="E1003" t="s">
        <v>272</v>
      </c>
      <c r="F1003" t="s">
        <v>276</v>
      </c>
      <c r="G1003" s="7">
        <v>2</v>
      </c>
      <c r="H1003" s="3">
        <v>33499.46</v>
      </c>
      <c r="I1003" s="3">
        <v>66998.92</v>
      </c>
    </row>
    <row r="1004" spans="1:9" x14ac:dyDescent="0.3">
      <c r="A1004" s="5" t="s">
        <v>171</v>
      </c>
      <c r="B1004" t="s">
        <v>260</v>
      </c>
      <c r="C1004" t="s">
        <v>265</v>
      </c>
      <c r="D1004" t="s">
        <v>269</v>
      </c>
      <c r="E1004" t="s">
        <v>271</v>
      </c>
      <c r="F1004" t="s">
        <v>282</v>
      </c>
      <c r="G1004" s="7">
        <v>9</v>
      </c>
      <c r="H1004" s="3">
        <v>7810.37</v>
      </c>
      <c r="I1004" s="3">
        <v>70293.33</v>
      </c>
    </row>
    <row r="1005" spans="1:9" x14ac:dyDescent="0.3">
      <c r="A1005" s="5" t="s">
        <v>171</v>
      </c>
      <c r="B1005" t="s">
        <v>260</v>
      </c>
      <c r="C1005" t="s">
        <v>261</v>
      </c>
      <c r="D1005" t="s">
        <v>266</v>
      </c>
      <c r="E1005" t="s">
        <v>272</v>
      </c>
      <c r="F1005" t="s">
        <v>276</v>
      </c>
      <c r="G1005" s="7">
        <v>4</v>
      </c>
      <c r="H1005" s="3">
        <v>33325.730000000003</v>
      </c>
      <c r="I1005" s="3">
        <v>133302.92000000001</v>
      </c>
    </row>
    <row r="1006" spans="1:9" x14ac:dyDescent="0.3">
      <c r="A1006" s="5" t="s">
        <v>171</v>
      </c>
      <c r="B1006" t="s">
        <v>260</v>
      </c>
      <c r="C1006" t="s">
        <v>263</v>
      </c>
      <c r="D1006" t="s">
        <v>267</v>
      </c>
      <c r="E1006" t="s">
        <v>273</v>
      </c>
      <c r="F1006" t="s">
        <v>283</v>
      </c>
      <c r="G1006" s="7">
        <v>2</v>
      </c>
      <c r="H1006" s="3">
        <v>54051.25</v>
      </c>
      <c r="I1006" s="3">
        <v>108102.5</v>
      </c>
    </row>
    <row r="1007" spans="1:9" x14ac:dyDescent="0.3">
      <c r="A1007" s="5" t="s">
        <v>171</v>
      </c>
      <c r="B1007" t="s">
        <v>255</v>
      </c>
      <c r="C1007" t="s">
        <v>262</v>
      </c>
      <c r="D1007" t="s">
        <v>266</v>
      </c>
      <c r="E1007" t="s">
        <v>274</v>
      </c>
      <c r="F1007" t="s">
        <v>280</v>
      </c>
      <c r="G1007" s="7">
        <v>4</v>
      </c>
      <c r="H1007" s="3">
        <v>34232.69</v>
      </c>
      <c r="I1007" s="3">
        <v>136930.76</v>
      </c>
    </row>
    <row r="1008" spans="1:9" x14ac:dyDescent="0.3">
      <c r="A1008" s="5" t="s">
        <v>172</v>
      </c>
      <c r="B1008" t="s">
        <v>254</v>
      </c>
      <c r="C1008" t="s">
        <v>264</v>
      </c>
      <c r="D1008" t="s">
        <v>269</v>
      </c>
      <c r="E1008" t="s">
        <v>274</v>
      </c>
      <c r="F1008" t="s">
        <v>280</v>
      </c>
      <c r="G1008" s="7">
        <v>6</v>
      </c>
      <c r="H1008" s="3">
        <v>35599.089999999997</v>
      </c>
      <c r="I1008" s="3">
        <v>213594.54</v>
      </c>
    </row>
    <row r="1009" spans="1:9" x14ac:dyDescent="0.3">
      <c r="A1009" s="5" t="s">
        <v>172</v>
      </c>
      <c r="B1009" t="s">
        <v>255</v>
      </c>
      <c r="C1009" t="s">
        <v>265</v>
      </c>
      <c r="D1009" t="s">
        <v>268</v>
      </c>
      <c r="E1009" t="s">
        <v>271</v>
      </c>
      <c r="F1009" t="s">
        <v>275</v>
      </c>
      <c r="G1009" s="7">
        <v>7</v>
      </c>
      <c r="H1009" s="3">
        <v>8524.61</v>
      </c>
      <c r="I1009" s="3">
        <v>59672.27</v>
      </c>
    </row>
    <row r="1010" spans="1:9" x14ac:dyDescent="0.3">
      <c r="A1010" s="5" t="s">
        <v>172</v>
      </c>
      <c r="B1010" t="s">
        <v>254</v>
      </c>
      <c r="C1010" t="s">
        <v>262</v>
      </c>
      <c r="D1010" t="s">
        <v>269</v>
      </c>
      <c r="E1010" t="s">
        <v>274</v>
      </c>
      <c r="F1010" t="s">
        <v>287</v>
      </c>
      <c r="G1010" s="7">
        <v>3</v>
      </c>
      <c r="H1010" s="3">
        <v>30806.93</v>
      </c>
      <c r="I1010" s="3">
        <v>92420.79</v>
      </c>
    </row>
    <row r="1011" spans="1:9" x14ac:dyDescent="0.3">
      <c r="A1011" s="5" t="s">
        <v>172</v>
      </c>
      <c r="B1011" t="s">
        <v>257</v>
      </c>
      <c r="C1011" t="s">
        <v>264</v>
      </c>
      <c r="D1011" t="s">
        <v>270</v>
      </c>
      <c r="E1011" t="s">
        <v>271</v>
      </c>
      <c r="F1011" t="s">
        <v>285</v>
      </c>
      <c r="G1011" s="7">
        <v>3</v>
      </c>
      <c r="H1011" s="3">
        <v>9679.74</v>
      </c>
      <c r="I1011" s="3">
        <v>29039.22</v>
      </c>
    </row>
    <row r="1012" spans="1:9" x14ac:dyDescent="0.3">
      <c r="A1012" s="5" t="s">
        <v>172</v>
      </c>
      <c r="B1012" t="s">
        <v>255</v>
      </c>
      <c r="C1012" t="s">
        <v>262</v>
      </c>
      <c r="D1012" t="s">
        <v>270</v>
      </c>
      <c r="E1012" t="s">
        <v>273</v>
      </c>
      <c r="F1012" t="s">
        <v>278</v>
      </c>
      <c r="G1012" s="7">
        <v>8</v>
      </c>
      <c r="H1012" s="3">
        <v>53763.75</v>
      </c>
      <c r="I1012" s="3">
        <v>430110</v>
      </c>
    </row>
    <row r="1013" spans="1:9" x14ac:dyDescent="0.3">
      <c r="A1013" s="5" t="s">
        <v>172</v>
      </c>
      <c r="B1013" t="s">
        <v>255</v>
      </c>
      <c r="C1013" t="s">
        <v>263</v>
      </c>
      <c r="D1013" t="s">
        <v>267</v>
      </c>
      <c r="E1013" t="s">
        <v>274</v>
      </c>
      <c r="F1013" t="s">
        <v>289</v>
      </c>
      <c r="G1013" s="7">
        <v>5</v>
      </c>
      <c r="H1013" s="3">
        <v>35572.19</v>
      </c>
      <c r="I1013" s="3">
        <v>177860.95</v>
      </c>
    </row>
    <row r="1014" spans="1:9" x14ac:dyDescent="0.3">
      <c r="A1014" s="5" t="s">
        <v>173</v>
      </c>
      <c r="B1014" t="s">
        <v>259</v>
      </c>
      <c r="C1014" t="s">
        <v>263</v>
      </c>
      <c r="D1014" t="s">
        <v>269</v>
      </c>
      <c r="E1014" t="s">
        <v>271</v>
      </c>
      <c r="F1014" t="s">
        <v>285</v>
      </c>
      <c r="G1014" s="7">
        <v>4</v>
      </c>
      <c r="H1014" s="3">
        <v>8964.41</v>
      </c>
      <c r="I1014" s="3">
        <v>35857.64</v>
      </c>
    </row>
    <row r="1015" spans="1:9" x14ac:dyDescent="0.3">
      <c r="A1015" s="5" t="s">
        <v>173</v>
      </c>
      <c r="B1015" t="s">
        <v>256</v>
      </c>
      <c r="C1015" t="s">
        <v>263</v>
      </c>
      <c r="D1015" t="s">
        <v>267</v>
      </c>
      <c r="E1015" t="s">
        <v>272</v>
      </c>
      <c r="F1015" t="s">
        <v>286</v>
      </c>
      <c r="G1015" s="7">
        <v>7</v>
      </c>
      <c r="H1015" s="3">
        <v>25579.96</v>
      </c>
      <c r="I1015" s="3">
        <v>179059.72</v>
      </c>
    </row>
    <row r="1016" spans="1:9" x14ac:dyDescent="0.3">
      <c r="A1016" s="5" t="s">
        <v>173</v>
      </c>
      <c r="B1016" t="s">
        <v>255</v>
      </c>
      <c r="C1016" t="s">
        <v>265</v>
      </c>
      <c r="D1016" t="s">
        <v>267</v>
      </c>
      <c r="E1016" t="s">
        <v>271</v>
      </c>
      <c r="F1016" t="s">
        <v>281</v>
      </c>
      <c r="G1016" s="7">
        <v>7</v>
      </c>
      <c r="H1016" s="3">
        <v>7406.76</v>
      </c>
      <c r="I1016" s="3">
        <v>51847.32</v>
      </c>
    </row>
    <row r="1017" spans="1:9" x14ac:dyDescent="0.3">
      <c r="A1017" s="5" t="s">
        <v>173</v>
      </c>
      <c r="B1017" t="s">
        <v>259</v>
      </c>
      <c r="C1017" t="s">
        <v>263</v>
      </c>
      <c r="D1017" t="s">
        <v>270</v>
      </c>
      <c r="E1017" t="s">
        <v>274</v>
      </c>
      <c r="F1017" t="s">
        <v>284</v>
      </c>
      <c r="G1017" s="7">
        <v>9</v>
      </c>
      <c r="H1017" s="3">
        <v>32904.85</v>
      </c>
      <c r="I1017" s="3">
        <v>296143.65000000002</v>
      </c>
    </row>
    <row r="1018" spans="1:9" x14ac:dyDescent="0.3">
      <c r="A1018" s="5" t="s">
        <v>173</v>
      </c>
      <c r="B1018" t="s">
        <v>258</v>
      </c>
      <c r="C1018" t="s">
        <v>264</v>
      </c>
      <c r="D1018" t="s">
        <v>267</v>
      </c>
      <c r="E1018" t="s">
        <v>273</v>
      </c>
      <c r="F1018" t="s">
        <v>279</v>
      </c>
      <c r="G1018" s="7">
        <v>9</v>
      </c>
      <c r="H1018" s="3">
        <v>39138.29</v>
      </c>
      <c r="I1018" s="3">
        <v>352244.61</v>
      </c>
    </row>
    <row r="1019" spans="1:9" x14ac:dyDescent="0.3">
      <c r="A1019" s="5" t="s">
        <v>173</v>
      </c>
      <c r="B1019" t="s">
        <v>256</v>
      </c>
      <c r="C1019" t="s">
        <v>262</v>
      </c>
      <c r="D1019" t="s">
        <v>270</v>
      </c>
      <c r="E1019" t="s">
        <v>274</v>
      </c>
      <c r="F1019" t="s">
        <v>284</v>
      </c>
      <c r="G1019" s="7">
        <v>5</v>
      </c>
      <c r="H1019" s="3">
        <v>34487.480000000003</v>
      </c>
      <c r="I1019" s="3">
        <v>172437.4</v>
      </c>
    </row>
    <row r="1020" spans="1:9" x14ac:dyDescent="0.3">
      <c r="A1020" s="5" t="s">
        <v>174</v>
      </c>
      <c r="B1020" t="s">
        <v>257</v>
      </c>
      <c r="C1020" t="s">
        <v>261</v>
      </c>
      <c r="D1020" t="s">
        <v>268</v>
      </c>
      <c r="E1020" t="s">
        <v>274</v>
      </c>
      <c r="F1020" t="s">
        <v>289</v>
      </c>
      <c r="G1020" s="7">
        <v>8</v>
      </c>
      <c r="H1020" s="3">
        <v>32098.93</v>
      </c>
      <c r="I1020" s="3">
        <v>256791.44</v>
      </c>
    </row>
    <row r="1021" spans="1:9" x14ac:dyDescent="0.3">
      <c r="A1021" s="5" t="s">
        <v>174</v>
      </c>
      <c r="B1021" t="s">
        <v>255</v>
      </c>
      <c r="C1021" t="s">
        <v>264</v>
      </c>
      <c r="D1021" t="s">
        <v>269</v>
      </c>
      <c r="E1021" t="s">
        <v>271</v>
      </c>
      <c r="F1021" t="s">
        <v>285</v>
      </c>
      <c r="G1021" s="7">
        <v>1</v>
      </c>
      <c r="H1021" s="3">
        <v>9799.44</v>
      </c>
      <c r="I1021" s="3">
        <v>9799.44</v>
      </c>
    </row>
    <row r="1022" spans="1:9" x14ac:dyDescent="0.3">
      <c r="A1022" s="5" t="s">
        <v>174</v>
      </c>
      <c r="B1022" t="s">
        <v>253</v>
      </c>
      <c r="C1022" t="s">
        <v>264</v>
      </c>
      <c r="D1022" t="s">
        <v>267</v>
      </c>
      <c r="E1022" t="s">
        <v>272</v>
      </c>
      <c r="F1022" t="s">
        <v>277</v>
      </c>
      <c r="G1022" s="7">
        <v>9</v>
      </c>
      <c r="H1022" s="3">
        <v>27223.26</v>
      </c>
      <c r="I1022" s="3">
        <v>245009.34</v>
      </c>
    </row>
    <row r="1023" spans="1:9" x14ac:dyDescent="0.3">
      <c r="A1023" s="5" t="s">
        <v>174</v>
      </c>
      <c r="B1023" t="s">
        <v>260</v>
      </c>
      <c r="C1023" t="s">
        <v>263</v>
      </c>
      <c r="D1023" t="s">
        <v>270</v>
      </c>
      <c r="E1023" t="s">
        <v>274</v>
      </c>
      <c r="F1023" t="s">
        <v>287</v>
      </c>
      <c r="G1023" s="7">
        <v>8</v>
      </c>
      <c r="H1023" s="3">
        <v>34790.18</v>
      </c>
      <c r="I1023" s="3">
        <v>278321.44</v>
      </c>
    </row>
    <row r="1024" spans="1:9" x14ac:dyDescent="0.3">
      <c r="A1024" s="5" t="s">
        <v>174</v>
      </c>
      <c r="B1024" t="s">
        <v>258</v>
      </c>
      <c r="C1024" t="s">
        <v>265</v>
      </c>
      <c r="D1024" t="s">
        <v>266</v>
      </c>
      <c r="E1024" t="s">
        <v>272</v>
      </c>
      <c r="F1024" t="s">
        <v>286</v>
      </c>
      <c r="G1024" s="7">
        <v>6</v>
      </c>
      <c r="H1024" s="3">
        <v>29822.06</v>
      </c>
      <c r="I1024" s="3">
        <v>178932.36</v>
      </c>
    </row>
    <row r="1025" spans="1:9" x14ac:dyDescent="0.3">
      <c r="A1025" s="5" t="s">
        <v>174</v>
      </c>
      <c r="B1025" t="s">
        <v>258</v>
      </c>
      <c r="C1025" t="s">
        <v>262</v>
      </c>
      <c r="D1025" t="s">
        <v>267</v>
      </c>
      <c r="E1025" t="s">
        <v>271</v>
      </c>
      <c r="F1025" t="s">
        <v>275</v>
      </c>
      <c r="G1025" s="7">
        <v>3</v>
      </c>
      <c r="H1025" s="3">
        <v>7241.02</v>
      </c>
      <c r="I1025" s="3">
        <v>21723.06</v>
      </c>
    </row>
    <row r="1026" spans="1:9" x14ac:dyDescent="0.3">
      <c r="A1026" s="5" t="s">
        <v>174</v>
      </c>
      <c r="B1026" t="s">
        <v>257</v>
      </c>
      <c r="C1026" t="s">
        <v>265</v>
      </c>
      <c r="D1026" t="s">
        <v>268</v>
      </c>
      <c r="E1026" t="s">
        <v>272</v>
      </c>
      <c r="F1026" t="s">
        <v>276</v>
      </c>
      <c r="G1026" s="7">
        <v>3</v>
      </c>
      <c r="H1026" s="3">
        <v>24610.76</v>
      </c>
      <c r="I1026" s="3">
        <v>73832.28</v>
      </c>
    </row>
    <row r="1027" spans="1:9" x14ac:dyDescent="0.3">
      <c r="A1027" s="5" t="s">
        <v>175</v>
      </c>
      <c r="B1027" t="s">
        <v>259</v>
      </c>
      <c r="C1027" t="s">
        <v>262</v>
      </c>
      <c r="D1027" t="s">
        <v>268</v>
      </c>
      <c r="E1027" t="s">
        <v>271</v>
      </c>
      <c r="F1027" t="s">
        <v>282</v>
      </c>
      <c r="G1027" s="7">
        <v>8</v>
      </c>
      <c r="H1027" s="3">
        <v>8212.25</v>
      </c>
      <c r="I1027" s="3">
        <v>65698</v>
      </c>
    </row>
    <row r="1028" spans="1:9" x14ac:dyDescent="0.3">
      <c r="A1028" s="5" t="s">
        <v>175</v>
      </c>
      <c r="B1028" t="s">
        <v>258</v>
      </c>
      <c r="C1028" t="s">
        <v>262</v>
      </c>
      <c r="D1028" t="s">
        <v>266</v>
      </c>
      <c r="E1028" t="s">
        <v>273</v>
      </c>
      <c r="F1028" t="s">
        <v>279</v>
      </c>
      <c r="G1028" s="7">
        <v>5</v>
      </c>
      <c r="H1028" s="3">
        <v>54130.23</v>
      </c>
      <c r="I1028" s="3">
        <v>270651.15000000002</v>
      </c>
    </row>
    <row r="1029" spans="1:9" x14ac:dyDescent="0.3">
      <c r="A1029" s="5" t="s">
        <v>175</v>
      </c>
      <c r="B1029" t="s">
        <v>256</v>
      </c>
      <c r="C1029" t="s">
        <v>265</v>
      </c>
      <c r="D1029" t="s">
        <v>270</v>
      </c>
      <c r="E1029" t="s">
        <v>272</v>
      </c>
      <c r="F1029" t="s">
        <v>276</v>
      </c>
      <c r="G1029" s="7">
        <v>7</v>
      </c>
      <c r="H1029" s="3">
        <v>25446.57</v>
      </c>
      <c r="I1029" s="3">
        <v>178125.99</v>
      </c>
    </row>
    <row r="1030" spans="1:9" x14ac:dyDescent="0.3">
      <c r="A1030" s="5" t="s">
        <v>175</v>
      </c>
      <c r="B1030" t="s">
        <v>255</v>
      </c>
      <c r="C1030" t="s">
        <v>264</v>
      </c>
      <c r="D1030" t="s">
        <v>267</v>
      </c>
      <c r="E1030" t="s">
        <v>272</v>
      </c>
      <c r="F1030" t="s">
        <v>290</v>
      </c>
      <c r="G1030" s="7">
        <v>5</v>
      </c>
      <c r="H1030" s="3">
        <v>31762.02</v>
      </c>
      <c r="I1030" s="3">
        <v>158810.1</v>
      </c>
    </row>
    <row r="1031" spans="1:9" x14ac:dyDescent="0.3">
      <c r="A1031" s="5" t="s">
        <v>175</v>
      </c>
      <c r="B1031" t="s">
        <v>255</v>
      </c>
      <c r="C1031" t="s">
        <v>262</v>
      </c>
      <c r="D1031" t="s">
        <v>270</v>
      </c>
      <c r="E1031" t="s">
        <v>273</v>
      </c>
      <c r="F1031" t="s">
        <v>279</v>
      </c>
      <c r="G1031" s="7">
        <v>8</v>
      </c>
      <c r="H1031" s="3">
        <v>55770.6</v>
      </c>
      <c r="I1031" s="3">
        <v>446164.8</v>
      </c>
    </row>
    <row r="1032" spans="1:9" x14ac:dyDescent="0.3">
      <c r="A1032" s="5" t="s">
        <v>175</v>
      </c>
      <c r="B1032" t="s">
        <v>253</v>
      </c>
      <c r="C1032" t="s">
        <v>265</v>
      </c>
      <c r="D1032" t="s">
        <v>268</v>
      </c>
      <c r="E1032" t="s">
        <v>272</v>
      </c>
      <c r="F1032" t="s">
        <v>276</v>
      </c>
      <c r="G1032" s="7">
        <v>4</v>
      </c>
      <c r="H1032" s="3">
        <v>32654.36</v>
      </c>
      <c r="I1032" s="3">
        <v>130617.44</v>
      </c>
    </row>
    <row r="1033" spans="1:9" x14ac:dyDescent="0.3">
      <c r="A1033" s="5" t="s">
        <v>176</v>
      </c>
      <c r="B1033" t="s">
        <v>257</v>
      </c>
      <c r="C1033" t="s">
        <v>262</v>
      </c>
      <c r="D1033" t="s">
        <v>270</v>
      </c>
      <c r="E1033" t="s">
        <v>273</v>
      </c>
      <c r="F1033" t="s">
        <v>279</v>
      </c>
      <c r="G1033" s="7">
        <v>2</v>
      </c>
      <c r="H1033" s="3">
        <v>42623.02</v>
      </c>
      <c r="I1033" s="3">
        <v>85246.04</v>
      </c>
    </row>
    <row r="1034" spans="1:9" x14ac:dyDescent="0.3">
      <c r="A1034" s="5" t="s">
        <v>176</v>
      </c>
      <c r="B1034" t="s">
        <v>260</v>
      </c>
      <c r="C1034" t="s">
        <v>261</v>
      </c>
      <c r="D1034" t="s">
        <v>268</v>
      </c>
      <c r="E1034" t="s">
        <v>274</v>
      </c>
      <c r="F1034" t="s">
        <v>287</v>
      </c>
      <c r="G1034" s="7">
        <v>3</v>
      </c>
      <c r="H1034" s="3">
        <v>38827.08</v>
      </c>
      <c r="I1034" s="3">
        <v>116481.24</v>
      </c>
    </row>
    <row r="1035" spans="1:9" x14ac:dyDescent="0.3">
      <c r="A1035" s="5" t="s">
        <v>176</v>
      </c>
      <c r="B1035" t="s">
        <v>259</v>
      </c>
      <c r="C1035" t="s">
        <v>264</v>
      </c>
      <c r="D1035" t="s">
        <v>270</v>
      </c>
      <c r="E1035" t="s">
        <v>271</v>
      </c>
      <c r="F1035" t="s">
        <v>282</v>
      </c>
      <c r="G1035" s="7">
        <v>8</v>
      </c>
      <c r="H1035" s="3">
        <v>7541.56</v>
      </c>
      <c r="I1035" s="3">
        <v>60332.480000000003</v>
      </c>
    </row>
    <row r="1036" spans="1:9" x14ac:dyDescent="0.3">
      <c r="A1036" s="5" t="s">
        <v>176</v>
      </c>
      <c r="B1036" t="s">
        <v>260</v>
      </c>
      <c r="C1036" t="s">
        <v>263</v>
      </c>
      <c r="D1036" t="s">
        <v>266</v>
      </c>
      <c r="E1036" t="s">
        <v>273</v>
      </c>
      <c r="F1036" t="s">
        <v>283</v>
      </c>
      <c r="G1036" s="7">
        <v>7</v>
      </c>
      <c r="H1036" s="3">
        <v>46676.55</v>
      </c>
      <c r="I1036" s="3">
        <v>326735.84999999998</v>
      </c>
    </row>
    <row r="1037" spans="1:9" x14ac:dyDescent="0.3">
      <c r="A1037" s="5" t="s">
        <v>176</v>
      </c>
      <c r="B1037" t="s">
        <v>258</v>
      </c>
      <c r="C1037" t="s">
        <v>262</v>
      </c>
      <c r="D1037" t="s">
        <v>269</v>
      </c>
      <c r="E1037" t="s">
        <v>272</v>
      </c>
      <c r="F1037" t="s">
        <v>290</v>
      </c>
      <c r="G1037" s="7">
        <v>2</v>
      </c>
      <c r="H1037" s="3">
        <v>33740.47</v>
      </c>
      <c r="I1037" s="3">
        <v>67480.94</v>
      </c>
    </row>
    <row r="1038" spans="1:9" x14ac:dyDescent="0.3">
      <c r="A1038" s="5" t="s">
        <v>176</v>
      </c>
      <c r="B1038" t="s">
        <v>257</v>
      </c>
      <c r="C1038" t="s">
        <v>261</v>
      </c>
      <c r="D1038" t="s">
        <v>266</v>
      </c>
      <c r="E1038" t="s">
        <v>273</v>
      </c>
      <c r="F1038" t="s">
        <v>279</v>
      </c>
      <c r="G1038" s="7">
        <v>6</v>
      </c>
      <c r="H1038" s="3">
        <v>49792.78</v>
      </c>
      <c r="I1038" s="3">
        <v>298756.68</v>
      </c>
    </row>
    <row r="1039" spans="1:9" x14ac:dyDescent="0.3">
      <c r="A1039" s="5" t="s">
        <v>177</v>
      </c>
      <c r="B1039" t="s">
        <v>253</v>
      </c>
      <c r="C1039" t="s">
        <v>263</v>
      </c>
      <c r="D1039" t="s">
        <v>266</v>
      </c>
      <c r="E1039" t="s">
        <v>272</v>
      </c>
      <c r="F1039" t="s">
        <v>276</v>
      </c>
      <c r="G1039" s="7">
        <v>9</v>
      </c>
      <c r="H1039" s="3">
        <v>28432.82</v>
      </c>
      <c r="I1039" s="3">
        <v>255895.38</v>
      </c>
    </row>
    <row r="1040" spans="1:9" x14ac:dyDescent="0.3">
      <c r="A1040" s="5" t="s">
        <v>177</v>
      </c>
      <c r="B1040" t="s">
        <v>260</v>
      </c>
      <c r="C1040" t="s">
        <v>263</v>
      </c>
      <c r="D1040" t="s">
        <v>269</v>
      </c>
      <c r="E1040" t="s">
        <v>274</v>
      </c>
      <c r="F1040" t="s">
        <v>289</v>
      </c>
      <c r="G1040" s="7">
        <v>4</v>
      </c>
      <c r="H1040" s="3">
        <v>30948</v>
      </c>
      <c r="I1040" s="3">
        <v>123792</v>
      </c>
    </row>
    <row r="1041" spans="1:9" x14ac:dyDescent="0.3">
      <c r="A1041" s="5" t="s">
        <v>177</v>
      </c>
      <c r="B1041" t="s">
        <v>256</v>
      </c>
      <c r="C1041" t="s">
        <v>262</v>
      </c>
      <c r="D1041" t="s">
        <v>269</v>
      </c>
      <c r="E1041" t="s">
        <v>273</v>
      </c>
      <c r="F1041" t="s">
        <v>283</v>
      </c>
      <c r="G1041" s="7">
        <v>9</v>
      </c>
      <c r="H1041" s="3">
        <v>45001.79</v>
      </c>
      <c r="I1041" s="3">
        <v>405016.11</v>
      </c>
    </row>
    <row r="1042" spans="1:9" x14ac:dyDescent="0.3">
      <c r="A1042" s="5" t="s">
        <v>177</v>
      </c>
      <c r="B1042" t="s">
        <v>255</v>
      </c>
      <c r="C1042" t="s">
        <v>265</v>
      </c>
      <c r="D1042" t="s">
        <v>267</v>
      </c>
      <c r="E1042" t="s">
        <v>274</v>
      </c>
      <c r="F1042" t="s">
        <v>287</v>
      </c>
      <c r="G1042" s="7">
        <v>2</v>
      </c>
      <c r="H1042" s="3">
        <v>33714.449999999997</v>
      </c>
      <c r="I1042" s="3">
        <v>67428.899999999994</v>
      </c>
    </row>
    <row r="1043" spans="1:9" x14ac:dyDescent="0.3">
      <c r="A1043" s="5" t="s">
        <v>177</v>
      </c>
      <c r="B1043" t="s">
        <v>258</v>
      </c>
      <c r="C1043" t="s">
        <v>262</v>
      </c>
      <c r="D1043" t="s">
        <v>267</v>
      </c>
      <c r="E1043" t="s">
        <v>271</v>
      </c>
      <c r="F1043" t="s">
        <v>282</v>
      </c>
      <c r="G1043" s="7">
        <v>2</v>
      </c>
      <c r="H1043" s="3">
        <v>8309.75</v>
      </c>
      <c r="I1043" s="3">
        <v>16619.5</v>
      </c>
    </row>
    <row r="1044" spans="1:9" x14ac:dyDescent="0.3">
      <c r="A1044" s="5" t="s">
        <v>177</v>
      </c>
      <c r="B1044" t="s">
        <v>253</v>
      </c>
      <c r="C1044" t="s">
        <v>261</v>
      </c>
      <c r="D1044" t="s">
        <v>266</v>
      </c>
      <c r="E1044" t="s">
        <v>272</v>
      </c>
      <c r="F1044" t="s">
        <v>290</v>
      </c>
      <c r="G1044" s="7">
        <v>9</v>
      </c>
      <c r="H1044" s="3">
        <v>34652.44</v>
      </c>
      <c r="I1044" s="3">
        <v>311871.96000000002</v>
      </c>
    </row>
    <row r="1045" spans="1:9" x14ac:dyDescent="0.3">
      <c r="A1045" s="5" t="s">
        <v>178</v>
      </c>
      <c r="B1045" t="s">
        <v>260</v>
      </c>
      <c r="C1045" t="s">
        <v>263</v>
      </c>
      <c r="D1045" t="s">
        <v>266</v>
      </c>
      <c r="E1045" t="s">
        <v>272</v>
      </c>
      <c r="F1045" t="s">
        <v>290</v>
      </c>
      <c r="G1045" s="7">
        <v>7</v>
      </c>
      <c r="H1045" s="3">
        <v>34250.47</v>
      </c>
      <c r="I1045" s="3">
        <v>239753.29</v>
      </c>
    </row>
    <row r="1046" spans="1:9" x14ac:dyDescent="0.3">
      <c r="A1046" s="5" t="s">
        <v>178</v>
      </c>
      <c r="B1046" t="s">
        <v>259</v>
      </c>
      <c r="C1046" t="s">
        <v>262</v>
      </c>
      <c r="D1046" t="s">
        <v>268</v>
      </c>
      <c r="E1046" t="s">
        <v>274</v>
      </c>
      <c r="F1046" t="s">
        <v>287</v>
      </c>
      <c r="G1046" s="7">
        <v>7</v>
      </c>
      <c r="H1046" s="3">
        <v>38344.589999999997</v>
      </c>
      <c r="I1046" s="3">
        <v>268412.13</v>
      </c>
    </row>
    <row r="1047" spans="1:9" x14ac:dyDescent="0.3">
      <c r="A1047" s="5" t="s">
        <v>178</v>
      </c>
      <c r="B1047" t="s">
        <v>256</v>
      </c>
      <c r="C1047" t="s">
        <v>265</v>
      </c>
      <c r="D1047" t="s">
        <v>268</v>
      </c>
      <c r="E1047" t="s">
        <v>271</v>
      </c>
      <c r="F1047" t="s">
        <v>275</v>
      </c>
      <c r="G1047" s="7">
        <v>1</v>
      </c>
      <c r="H1047" s="3">
        <v>8659.2199999999993</v>
      </c>
      <c r="I1047" s="3">
        <v>8659.2199999999993</v>
      </c>
    </row>
    <row r="1048" spans="1:9" x14ac:dyDescent="0.3">
      <c r="A1048" s="5" t="s">
        <v>178</v>
      </c>
      <c r="B1048" t="s">
        <v>256</v>
      </c>
      <c r="C1048" t="s">
        <v>262</v>
      </c>
      <c r="D1048" t="s">
        <v>267</v>
      </c>
      <c r="E1048" t="s">
        <v>273</v>
      </c>
      <c r="F1048" t="s">
        <v>283</v>
      </c>
      <c r="G1048" s="7">
        <v>6</v>
      </c>
      <c r="H1048" s="3">
        <v>50693.43</v>
      </c>
      <c r="I1048" s="3">
        <v>304160.58</v>
      </c>
    </row>
    <row r="1049" spans="1:9" x14ac:dyDescent="0.3">
      <c r="A1049" s="5" t="s">
        <v>178</v>
      </c>
      <c r="B1049" t="s">
        <v>260</v>
      </c>
      <c r="C1049" t="s">
        <v>264</v>
      </c>
      <c r="D1049" t="s">
        <v>267</v>
      </c>
      <c r="E1049" t="s">
        <v>273</v>
      </c>
      <c r="F1049" t="s">
        <v>283</v>
      </c>
      <c r="G1049" s="7">
        <v>7</v>
      </c>
      <c r="H1049" s="3">
        <v>54500.93</v>
      </c>
      <c r="I1049" s="3">
        <v>381506.51</v>
      </c>
    </row>
    <row r="1050" spans="1:9" x14ac:dyDescent="0.3">
      <c r="A1050" s="5" t="s">
        <v>178</v>
      </c>
      <c r="B1050" t="s">
        <v>255</v>
      </c>
      <c r="C1050" t="s">
        <v>265</v>
      </c>
      <c r="D1050" t="s">
        <v>268</v>
      </c>
      <c r="E1050" t="s">
        <v>272</v>
      </c>
      <c r="F1050" t="s">
        <v>276</v>
      </c>
      <c r="G1050" s="7">
        <v>6</v>
      </c>
      <c r="H1050" s="3">
        <v>33324.81</v>
      </c>
      <c r="I1050" s="3">
        <v>199948.86</v>
      </c>
    </row>
    <row r="1051" spans="1:9" x14ac:dyDescent="0.3">
      <c r="A1051" s="5" t="s">
        <v>179</v>
      </c>
      <c r="B1051" t="s">
        <v>260</v>
      </c>
      <c r="C1051" t="s">
        <v>261</v>
      </c>
      <c r="D1051" t="s">
        <v>268</v>
      </c>
      <c r="E1051" t="s">
        <v>274</v>
      </c>
      <c r="F1051" t="s">
        <v>289</v>
      </c>
      <c r="G1051" s="7">
        <v>6</v>
      </c>
      <c r="H1051" s="3">
        <v>32503.39</v>
      </c>
      <c r="I1051" s="3">
        <v>195020.34</v>
      </c>
    </row>
    <row r="1052" spans="1:9" x14ac:dyDescent="0.3">
      <c r="A1052" s="5" t="s">
        <v>179</v>
      </c>
      <c r="B1052" t="s">
        <v>258</v>
      </c>
      <c r="C1052" t="s">
        <v>263</v>
      </c>
      <c r="D1052" t="s">
        <v>270</v>
      </c>
      <c r="E1052" t="s">
        <v>274</v>
      </c>
      <c r="F1052" t="s">
        <v>280</v>
      </c>
      <c r="G1052" s="7">
        <v>2</v>
      </c>
      <c r="H1052" s="3">
        <v>28638.54</v>
      </c>
      <c r="I1052" s="3">
        <v>57277.08</v>
      </c>
    </row>
    <row r="1053" spans="1:9" x14ac:dyDescent="0.3">
      <c r="A1053" s="5" t="s">
        <v>179</v>
      </c>
      <c r="B1053" t="s">
        <v>260</v>
      </c>
      <c r="C1053" t="s">
        <v>262</v>
      </c>
      <c r="D1053" t="s">
        <v>270</v>
      </c>
      <c r="E1053" t="s">
        <v>273</v>
      </c>
      <c r="F1053" t="s">
        <v>279</v>
      </c>
      <c r="G1053" s="7">
        <v>6</v>
      </c>
      <c r="H1053" s="3">
        <v>39611.35</v>
      </c>
      <c r="I1053" s="3">
        <v>237668.1</v>
      </c>
    </row>
    <row r="1054" spans="1:9" x14ac:dyDescent="0.3">
      <c r="A1054" s="5" t="s">
        <v>179</v>
      </c>
      <c r="B1054" t="s">
        <v>256</v>
      </c>
      <c r="C1054" t="s">
        <v>265</v>
      </c>
      <c r="D1054" t="s">
        <v>268</v>
      </c>
      <c r="E1054" t="s">
        <v>271</v>
      </c>
      <c r="F1054" t="s">
        <v>281</v>
      </c>
      <c r="G1054" s="7">
        <v>4</v>
      </c>
      <c r="H1054" s="3">
        <v>9187.02</v>
      </c>
      <c r="I1054" s="3">
        <v>36748.080000000002</v>
      </c>
    </row>
    <row r="1055" spans="1:9" x14ac:dyDescent="0.3">
      <c r="A1055" s="5" t="s">
        <v>179</v>
      </c>
      <c r="B1055" t="s">
        <v>253</v>
      </c>
      <c r="C1055" t="s">
        <v>264</v>
      </c>
      <c r="D1055" t="s">
        <v>270</v>
      </c>
      <c r="E1055" t="s">
        <v>271</v>
      </c>
      <c r="F1055" t="s">
        <v>275</v>
      </c>
      <c r="G1055" s="7">
        <v>9</v>
      </c>
      <c r="H1055" s="3">
        <v>9409.93</v>
      </c>
      <c r="I1055" s="3">
        <v>84689.37</v>
      </c>
    </row>
    <row r="1056" spans="1:9" x14ac:dyDescent="0.3">
      <c r="A1056" s="5" t="s">
        <v>179</v>
      </c>
      <c r="B1056" t="s">
        <v>260</v>
      </c>
      <c r="C1056" t="s">
        <v>265</v>
      </c>
      <c r="D1056" t="s">
        <v>269</v>
      </c>
      <c r="E1056" t="s">
        <v>273</v>
      </c>
      <c r="F1056" t="s">
        <v>278</v>
      </c>
      <c r="G1056" s="7">
        <v>1</v>
      </c>
      <c r="H1056" s="3">
        <v>53547.17</v>
      </c>
      <c r="I1056" s="3">
        <v>53547.17</v>
      </c>
    </row>
    <row r="1057" spans="1:9" x14ac:dyDescent="0.3">
      <c r="A1057" s="5" t="s">
        <v>180</v>
      </c>
      <c r="B1057" t="s">
        <v>255</v>
      </c>
      <c r="C1057" t="s">
        <v>264</v>
      </c>
      <c r="D1057" t="s">
        <v>267</v>
      </c>
      <c r="E1057" t="s">
        <v>273</v>
      </c>
      <c r="F1057" t="s">
        <v>279</v>
      </c>
      <c r="G1057" s="7">
        <v>8</v>
      </c>
      <c r="H1057" s="3">
        <v>43515.27</v>
      </c>
      <c r="I1057" s="3">
        <v>348122.16</v>
      </c>
    </row>
    <row r="1058" spans="1:9" x14ac:dyDescent="0.3">
      <c r="A1058" s="5" t="s">
        <v>180</v>
      </c>
      <c r="B1058" t="s">
        <v>257</v>
      </c>
      <c r="C1058" t="s">
        <v>261</v>
      </c>
      <c r="D1058" t="s">
        <v>267</v>
      </c>
      <c r="E1058" t="s">
        <v>274</v>
      </c>
      <c r="F1058" t="s">
        <v>284</v>
      </c>
      <c r="G1058" s="7">
        <v>5</v>
      </c>
      <c r="H1058" s="3">
        <v>29343.62</v>
      </c>
      <c r="I1058" s="3">
        <v>146718.1</v>
      </c>
    </row>
    <row r="1059" spans="1:9" x14ac:dyDescent="0.3">
      <c r="A1059" s="5" t="s">
        <v>180</v>
      </c>
      <c r="B1059" t="s">
        <v>253</v>
      </c>
      <c r="C1059" t="s">
        <v>263</v>
      </c>
      <c r="D1059" t="s">
        <v>268</v>
      </c>
      <c r="E1059" t="s">
        <v>271</v>
      </c>
      <c r="F1059" t="s">
        <v>281</v>
      </c>
      <c r="G1059" s="7">
        <v>1</v>
      </c>
      <c r="H1059" s="3">
        <v>8513.6200000000008</v>
      </c>
      <c r="I1059" s="3">
        <v>8513.6200000000008</v>
      </c>
    </row>
    <row r="1060" spans="1:9" x14ac:dyDescent="0.3">
      <c r="A1060" s="5" t="s">
        <v>180</v>
      </c>
      <c r="B1060" t="s">
        <v>259</v>
      </c>
      <c r="C1060" t="s">
        <v>261</v>
      </c>
      <c r="D1060" t="s">
        <v>266</v>
      </c>
      <c r="E1060" t="s">
        <v>273</v>
      </c>
      <c r="F1060" t="s">
        <v>279</v>
      </c>
      <c r="G1060" s="7">
        <v>4</v>
      </c>
      <c r="H1060" s="3">
        <v>44614.35</v>
      </c>
      <c r="I1060" s="3">
        <v>178457.4</v>
      </c>
    </row>
    <row r="1061" spans="1:9" x14ac:dyDescent="0.3">
      <c r="A1061" s="5" t="s">
        <v>180</v>
      </c>
      <c r="B1061" t="s">
        <v>254</v>
      </c>
      <c r="C1061" t="s">
        <v>262</v>
      </c>
      <c r="D1061" t="s">
        <v>268</v>
      </c>
      <c r="E1061" t="s">
        <v>273</v>
      </c>
      <c r="F1061" t="s">
        <v>283</v>
      </c>
      <c r="G1061" s="7">
        <v>1</v>
      </c>
      <c r="H1061" s="3">
        <v>40634.44</v>
      </c>
      <c r="I1061" s="3">
        <v>40634.44</v>
      </c>
    </row>
    <row r="1062" spans="1:9" x14ac:dyDescent="0.3">
      <c r="A1062" s="5" t="s">
        <v>180</v>
      </c>
      <c r="B1062" t="s">
        <v>260</v>
      </c>
      <c r="C1062" t="s">
        <v>265</v>
      </c>
      <c r="D1062" t="s">
        <v>270</v>
      </c>
      <c r="E1062" t="s">
        <v>272</v>
      </c>
      <c r="F1062" t="s">
        <v>290</v>
      </c>
      <c r="G1062" s="7">
        <v>6</v>
      </c>
      <c r="H1062" s="3">
        <v>31329.57</v>
      </c>
      <c r="I1062" s="3">
        <v>187977.42</v>
      </c>
    </row>
    <row r="1063" spans="1:9" x14ac:dyDescent="0.3">
      <c r="A1063" s="5" t="s">
        <v>180</v>
      </c>
      <c r="B1063" t="s">
        <v>255</v>
      </c>
      <c r="C1063" t="s">
        <v>264</v>
      </c>
      <c r="D1063" t="s">
        <v>266</v>
      </c>
      <c r="E1063" t="s">
        <v>273</v>
      </c>
      <c r="F1063" t="s">
        <v>279</v>
      </c>
      <c r="G1063" s="7">
        <v>2</v>
      </c>
      <c r="H1063" s="3">
        <v>47406.45</v>
      </c>
      <c r="I1063" s="3">
        <v>94812.9</v>
      </c>
    </row>
    <row r="1064" spans="1:9" x14ac:dyDescent="0.3">
      <c r="A1064" s="5" t="s">
        <v>181</v>
      </c>
      <c r="B1064" t="s">
        <v>253</v>
      </c>
      <c r="C1064" t="s">
        <v>264</v>
      </c>
      <c r="D1064" t="s">
        <v>270</v>
      </c>
      <c r="E1064" t="s">
        <v>273</v>
      </c>
      <c r="F1064" t="s">
        <v>283</v>
      </c>
      <c r="G1064" s="7">
        <v>5</v>
      </c>
      <c r="H1064" s="3">
        <v>51230.21</v>
      </c>
      <c r="I1064" s="3">
        <v>256151.05</v>
      </c>
    </row>
    <row r="1065" spans="1:9" x14ac:dyDescent="0.3">
      <c r="A1065" s="5" t="s">
        <v>181</v>
      </c>
      <c r="B1065" t="s">
        <v>255</v>
      </c>
      <c r="C1065" t="s">
        <v>265</v>
      </c>
      <c r="D1065" t="s">
        <v>269</v>
      </c>
      <c r="E1065" t="s">
        <v>271</v>
      </c>
      <c r="F1065" t="s">
        <v>285</v>
      </c>
      <c r="G1065" s="7">
        <v>7</v>
      </c>
      <c r="H1065" s="3">
        <v>8424.15</v>
      </c>
      <c r="I1065" s="3">
        <v>58969.05</v>
      </c>
    </row>
    <row r="1066" spans="1:9" x14ac:dyDescent="0.3">
      <c r="A1066" s="5" t="s">
        <v>181</v>
      </c>
      <c r="B1066" t="s">
        <v>259</v>
      </c>
      <c r="C1066" t="s">
        <v>265</v>
      </c>
      <c r="D1066" t="s">
        <v>270</v>
      </c>
      <c r="E1066" t="s">
        <v>274</v>
      </c>
      <c r="F1066" t="s">
        <v>280</v>
      </c>
      <c r="G1066" s="7">
        <v>2</v>
      </c>
      <c r="H1066" s="3">
        <v>31368.99</v>
      </c>
      <c r="I1066" s="3">
        <v>62737.98</v>
      </c>
    </row>
    <row r="1067" spans="1:9" x14ac:dyDescent="0.3">
      <c r="A1067" s="5" t="s">
        <v>181</v>
      </c>
      <c r="B1067" t="s">
        <v>256</v>
      </c>
      <c r="C1067" t="s">
        <v>262</v>
      </c>
      <c r="D1067" t="s">
        <v>269</v>
      </c>
      <c r="E1067" t="s">
        <v>271</v>
      </c>
      <c r="F1067" t="s">
        <v>282</v>
      </c>
      <c r="G1067" s="7">
        <v>6</v>
      </c>
      <c r="H1067" s="3">
        <v>8831.76</v>
      </c>
      <c r="I1067" s="3">
        <v>52990.559999999998</v>
      </c>
    </row>
    <row r="1068" spans="1:9" x14ac:dyDescent="0.3">
      <c r="A1068" s="5" t="s">
        <v>181</v>
      </c>
      <c r="B1068" t="s">
        <v>255</v>
      </c>
      <c r="C1068" t="s">
        <v>261</v>
      </c>
      <c r="D1068" t="s">
        <v>269</v>
      </c>
      <c r="E1068" t="s">
        <v>274</v>
      </c>
      <c r="F1068" t="s">
        <v>284</v>
      </c>
      <c r="G1068" s="7">
        <v>6</v>
      </c>
      <c r="H1068" s="3">
        <v>38430.81</v>
      </c>
      <c r="I1068" s="3">
        <v>230584.86</v>
      </c>
    </row>
    <row r="1069" spans="1:9" x14ac:dyDescent="0.3">
      <c r="A1069" s="5" t="s">
        <v>181</v>
      </c>
      <c r="B1069" t="s">
        <v>253</v>
      </c>
      <c r="C1069" t="s">
        <v>264</v>
      </c>
      <c r="D1069" t="s">
        <v>270</v>
      </c>
      <c r="E1069" t="s">
        <v>272</v>
      </c>
      <c r="F1069" t="s">
        <v>290</v>
      </c>
      <c r="G1069" s="7">
        <v>5</v>
      </c>
      <c r="H1069" s="3">
        <v>24251.15</v>
      </c>
      <c r="I1069" s="3">
        <v>121255.75</v>
      </c>
    </row>
    <row r="1070" spans="1:9" x14ac:dyDescent="0.3">
      <c r="A1070" s="5" t="s">
        <v>182</v>
      </c>
      <c r="B1070" t="s">
        <v>255</v>
      </c>
      <c r="C1070" t="s">
        <v>262</v>
      </c>
      <c r="D1070" t="s">
        <v>270</v>
      </c>
      <c r="E1070" t="s">
        <v>273</v>
      </c>
      <c r="F1070" t="s">
        <v>278</v>
      </c>
      <c r="G1070" s="7">
        <v>5</v>
      </c>
      <c r="H1070" s="3">
        <v>52736.99</v>
      </c>
      <c r="I1070" s="3">
        <v>263684.95</v>
      </c>
    </row>
    <row r="1071" spans="1:9" x14ac:dyDescent="0.3">
      <c r="A1071" s="5" t="s">
        <v>182</v>
      </c>
      <c r="B1071" t="s">
        <v>255</v>
      </c>
      <c r="C1071" t="s">
        <v>261</v>
      </c>
      <c r="D1071" t="s">
        <v>269</v>
      </c>
      <c r="E1071" t="s">
        <v>272</v>
      </c>
      <c r="F1071" t="s">
        <v>276</v>
      </c>
      <c r="G1071" s="7">
        <v>3</v>
      </c>
      <c r="H1071" s="3">
        <v>27932.66</v>
      </c>
      <c r="I1071" s="3">
        <v>83797.98</v>
      </c>
    </row>
    <row r="1072" spans="1:9" x14ac:dyDescent="0.3">
      <c r="A1072" s="5" t="s">
        <v>182</v>
      </c>
      <c r="B1072" t="s">
        <v>255</v>
      </c>
      <c r="C1072" t="s">
        <v>262</v>
      </c>
      <c r="D1072" t="s">
        <v>266</v>
      </c>
      <c r="E1072" t="s">
        <v>274</v>
      </c>
      <c r="F1072" t="s">
        <v>287</v>
      </c>
      <c r="G1072" s="7">
        <v>2</v>
      </c>
      <c r="H1072" s="3">
        <v>38139.120000000003</v>
      </c>
      <c r="I1072" s="3">
        <v>76278.240000000005</v>
      </c>
    </row>
    <row r="1073" spans="1:9" x14ac:dyDescent="0.3">
      <c r="A1073" s="5" t="s">
        <v>182</v>
      </c>
      <c r="B1073" t="s">
        <v>258</v>
      </c>
      <c r="C1073" t="s">
        <v>264</v>
      </c>
      <c r="D1073" t="s">
        <v>269</v>
      </c>
      <c r="E1073" t="s">
        <v>271</v>
      </c>
      <c r="F1073" t="s">
        <v>275</v>
      </c>
      <c r="G1073" s="7">
        <v>7</v>
      </c>
      <c r="H1073" s="3">
        <v>9952.49</v>
      </c>
      <c r="I1073" s="3">
        <v>69667.429999999993</v>
      </c>
    </row>
    <row r="1074" spans="1:9" x14ac:dyDescent="0.3">
      <c r="A1074" s="5" t="s">
        <v>182</v>
      </c>
      <c r="B1074" t="s">
        <v>258</v>
      </c>
      <c r="C1074" t="s">
        <v>265</v>
      </c>
      <c r="D1074" t="s">
        <v>267</v>
      </c>
      <c r="E1074" t="s">
        <v>271</v>
      </c>
      <c r="F1074" t="s">
        <v>282</v>
      </c>
      <c r="G1074" s="7">
        <v>1</v>
      </c>
      <c r="H1074" s="3">
        <v>8410.7900000000009</v>
      </c>
      <c r="I1074" s="3">
        <v>8410.7900000000009</v>
      </c>
    </row>
    <row r="1075" spans="1:9" x14ac:dyDescent="0.3">
      <c r="A1075" s="5" t="s">
        <v>182</v>
      </c>
      <c r="B1075" t="s">
        <v>256</v>
      </c>
      <c r="C1075" t="s">
        <v>265</v>
      </c>
      <c r="D1075" t="s">
        <v>269</v>
      </c>
      <c r="E1075" t="s">
        <v>272</v>
      </c>
      <c r="F1075" t="s">
        <v>286</v>
      </c>
      <c r="G1075" s="7">
        <v>6</v>
      </c>
      <c r="H1075" s="3">
        <v>31571.42</v>
      </c>
      <c r="I1075" s="3">
        <v>189428.52</v>
      </c>
    </row>
    <row r="1076" spans="1:9" x14ac:dyDescent="0.3">
      <c r="A1076" s="5" t="s">
        <v>183</v>
      </c>
      <c r="B1076" t="s">
        <v>260</v>
      </c>
      <c r="C1076" t="s">
        <v>261</v>
      </c>
      <c r="D1076" t="s">
        <v>266</v>
      </c>
      <c r="E1076" t="s">
        <v>274</v>
      </c>
      <c r="F1076" t="s">
        <v>284</v>
      </c>
      <c r="G1076" s="7">
        <v>6</v>
      </c>
      <c r="H1076" s="3">
        <v>29243.3</v>
      </c>
      <c r="I1076" s="3">
        <v>175459.8</v>
      </c>
    </row>
    <row r="1077" spans="1:9" x14ac:dyDescent="0.3">
      <c r="A1077" s="5" t="s">
        <v>183</v>
      </c>
      <c r="B1077" t="s">
        <v>255</v>
      </c>
      <c r="C1077" t="s">
        <v>263</v>
      </c>
      <c r="D1077" t="s">
        <v>267</v>
      </c>
      <c r="E1077" t="s">
        <v>272</v>
      </c>
      <c r="F1077" t="s">
        <v>286</v>
      </c>
      <c r="G1077" s="7">
        <v>3</v>
      </c>
      <c r="H1077" s="3">
        <v>33838.35</v>
      </c>
      <c r="I1077" s="3">
        <v>101515.05</v>
      </c>
    </row>
    <row r="1078" spans="1:9" x14ac:dyDescent="0.3">
      <c r="A1078" s="5" t="s">
        <v>183</v>
      </c>
      <c r="B1078" t="s">
        <v>259</v>
      </c>
      <c r="C1078" t="s">
        <v>261</v>
      </c>
      <c r="D1078" t="s">
        <v>268</v>
      </c>
      <c r="E1078" t="s">
        <v>272</v>
      </c>
      <c r="F1078" t="s">
        <v>277</v>
      </c>
      <c r="G1078" s="7">
        <v>2</v>
      </c>
      <c r="H1078" s="3">
        <v>28330.3</v>
      </c>
      <c r="I1078" s="3">
        <v>56660.6</v>
      </c>
    </row>
    <row r="1079" spans="1:9" x14ac:dyDescent="0.3">
      <c r="A1079" s="5" t="s">
        <v>183</v>
      </c>
      <c r="B1079" t="s">
        <v>260</v>
      </c>
      <c r="C1079" t="s">
        <v>263</v>
      </c>
      <c r="D1079" t="s">
        <v>268</v>
      </c>
      <c r="E1079" t="s">
        <v>273</v>
      </c>
      <c r="F1079" t="s">
        <v>278</v>
      </c>
      <c r="G1079" s="7">
        <v>2</v>
      </c>
      <c r="H1079" s="3">
        <v>46451.26</v>
      </c>
      <c r="I1079" s="3">
        <v>92902.52</v>
      </c>
    </row>
    <row r="1080" spans="1:9" x14ac:dyDescent="0.3">
      <c r="A1080" s="5" t="s">
        <v>183</v>
      </c>
      <c r="B1080" t="s">
        <v>259</v>
      </c>
      <c r="C1080" t="s">
        <v>262</v>
      </c>
      <c r="D1080" t="s">
        <v>266</v>
      </c>
      <c r="E1080" t="s">
        <v>272</v>
      </c>
      <c r="F1080" t="s">
        <v>290</v>
      </c>
      <c r="G1080" s="7">
        <v>9</v>
      </c>
      <c r="H1080" s="3">
        <v>31704.5</v>
      </c>
      <c r="I1080" s="3">
        <v>285340.5</v>
      </c>
    </row>
    <row r="1081" spans="1:9" x14ac:dyDescent="0.3">
      <c r="A1081" s="5" t="s">
        <v>183</v>
      </c>
      <c r="B1081" t="s">
        <v>260</v>
      </c>
      <c r="C1081" t="s">
        <v>262</v>
      </c>
      <c r="D1081" t="s">
        <v>269</v>
      </c>
      <c r="E1081" t="s">
        <v>273</v>
      </c>
      <c r="F1081" t="s">
        <v>283</v>
      </c>
      <c r="G1081" s="7">
        <v>5</v>
      </c>
      <c r="H1081" s="3">
        <v>53025.120000000003</v>
      </c>
      <c r="I1081" s="3">
        <v>265125.59999999998</v>
      </c>
    </row>
    <row r="1082" spans="1:9" x14ac:dyDescent="0.3">
      <c r="A1082" s="5" t="s">
        <v>184</v>
      </c>
      <c r="B1082" t="s">
        <v>256</v>
      </c>
      <c r="C1082" t="s">
        <v>264</v>
      </c>
      <c r="D1082" t="s">
        <v>270</v>
      </c>
      <c r="E1082" t="s">
        <v>273</v>
      </c>
      <c r="F1082" t="s">
        <v>278</v>
      </c>
      <c r="G1082" s="7">
        <v>7</v>
      </c>
      <c r="H1082" s="3">
        <v>42504.17</v>
      </c>
      <c r="I1082" s="3">
        <v>297529.19</v>
      </c>
    </row>
    <row r="1083" spans="1:9" x14ac:dyDescent="0.3">
      <c r="A1083" s="5" t="s">
        <v>184</v>
      </c>
      <c r="B1083" t="s">
        <v>255</v>
      </c>
      <c r="C1083" t="s">
        <v>263</v>
      </c>
      <c r="D1083" t="s">
        <v>266</v>
      </c>
      <c r="E1083" t="s">
        <v>271</v>
      </c>
      <c r="F1083" t="s">
        <v>282</v>
      </c>
      <c r="G1083" s="7">
        <v>5</v>
      </c>
      <c r="H1083" s="3">
        <v>9473.59</v>
      </c>
      <c r="I1083" s="3">
        <v>47367.95</v>
      </c>
    </row>
    <row r="1084" spans="1:9" x14ac:dyDescent="0.3">
      <c r="A1084" s="5" t="s">
        <v>184</v>
      </c>
      <c r="B1084" t="s">
        <v>255</v>
      </c>
      <c r="C1084" t="s">
        <v>264</v>
      </c>
      <c r="D1084" t="s">
        <v>267</v>
      </c>
      <c r="E1084" t="s">
        <v>273</v>
      </c>
      <c r="F1084" t="s">
        <v>279</v>
      </c>
      <c r="G1084" s="7">
        <v>7</v>
      </c>
      <c r="H1084" s="3">
        <v>45305.96</v>
      </c>
      <c r="I1084" s="3">
        <v>317141.71999999997</v>
      </c>
    </row>
    <row r="1085" spans="1:9" x14ac:dyDescent="0.3">
      <c r="A1085" s="5" t="s">
        <v>184</v>
      </c>
      <c r="B1085" t="s">
        <v>254</v>
      </c>
      <c r="C1085" t="s">
        <v>265</v>
      </c>
      <c r="D1085" t="s">
        <v>267</v>
      </c>
      <c r="E1085" t="s">
        <v>273</v>
      </c>
      <c r="F1085" t="s">
        <v>283</v>
      </c>
      <c r="G1085" s="7">
        <v>4</v>
      </c>
      <c r="H1085" s="3">
        <v>44886.65</v>
      </c>
      <c r="I1085" s="3">
        <v>179546.6</v>
      </c>
    </row>
    <row r="1086" spans="1:9" x14ac:dyDescent="0.3">
      <c r="A1086" s="5" t="s">
        <v>184</v>
      </c>
      <c r="B1086" t="s">
        <v>259</v>
      </c>
      <c r="C1086" t="s">
        <v>263</v>
      </c>
      <c r="D1086" t="s">
        <v>268</v>
      </c>
      <c r="E1086" t="s">
        <v>271</v>
      </c>
      <c r="F1086" t="s">
        <v>282</v>
      </c>
      <c r="G1086" s="7">
        <v>8</v>
      </c>
      <c r="H1086" s="3">
        <v>9571.09</v>
      </c>
      <c r="I1086" s="3">
        <v>76568.72</v>
      </c>
    </row>
    <row r="1087" spans="1:9" x14ac:dyDescent="0.3">
      <c r="A1087" s="5" t="s">
        <v>184</v>
      </c>
      <c r="B1087" t="s">
        <v>260</v>
      </c>
      <c r="C1087" t="s">
        <v>261</v>
      </c>
      <c r="D1087" t="s">
        <v>267</v>
      </c>
      <c r="E1087" t="s">
        <v>272</v>
      </c>
      <c r="F1087" t="s">
        <v>277</v>
      </c>
      <c r="G1087" s="7">
        <v>7</v>
      </c>
      <c r="H1087" s="3">
        <v>28136.45</v>
      </c>
      <c r="I1087" s="3">
        <v>196955.15</v>
      </c>
    </row>
    <row r="1088" spans="1:9" x14ac:dyDescent="0.3">
      <c r="A1088" s="5" t="s">
        <v>185</v>
      </c>
      <c r="B1088" t="s">
        <v>260</v>
      </c>
      <c r="C1088" t="s">
        <v>265</v>
      </c>
      <c r="D1088" t="s">
        <v>266</v>
      </c>
      <c r="E1088" t="s">
        <v>274</v>
      </c>
      <c r="F1088" t="s">
        <v>280</v>
      </c>
      <c r="G1088" s="7">
        <v>5</v>
      </c>
      <c r="H1088" s="3">
        <v>31630.19</v>
      </c>
      <c r="I1088" s="3">
        <v>158150.95000000001</v>
      </c>
    </row>
    <row r="1089" spans="1:9" x14ac:dyDescent="0.3">
      <c r="A1089" s="5" t="s">
        <v>185</v>
      </c>
      <c r="B1089" t="s">
        <v>257</v>
      </c>
      <c r="C1089" t="s">
        <v>265</v>
      </c>
      <c r="D1089" t="s">
        <v>267</v>
      </c>
      <c r="E1089" t="s">
        <v>274</v>
      </c>
      <c r="F1089" t="s">
        <v>284</v>
      </c>
      <c r="G1089" s="7">
        <v>6</v>
      </c>
      <c r="H1089" s="3">
        <v>37899.370000000003</v>
      </c>
      <c r="I1089" s="3">
        <v>227396.22</v>
      </c>
    </row>
    <row r="1090" spans="1:9" x14ac:dyDescent="0.3">
      <c r="A1090" s="5" t="s">
        <v>185</v>
      </c>
      <c r="B1090" t="s">
        <v>257</v>
      </c>
      <c r="C1090" t="s">
        <v>261</v>
      </c>
      <c r="D1090" t="s">
        <v>266</v>
      </c>
      <c r="E1090" t="s">
        <v>274</v>
      </c>
      <c r="F1090" t="s">
        <v>284</v>
      </c>
      <c r="G1090" s="7">
        <v>5</v>
      </c>
      <c r="H1090" s="3">
        <v>28496.33</v>
      </c>
      <c r="I1090" s="3">
        <v>142481.65</v>
      </c>
    </row>
    <row r="1091" spans="1:9" x14ac:dyDescent="0.3">
      <c r="A1091" s="5" t="s">
        <v>185</v>
      </c>
      <c r="B1091" t="s">
        <v>258</v>
      </c>
      <c r="C1091" t="s">
        <v>265</v>
      </c>
      <c r="D1091" t="s">
        <v>270</v>
      </c>
      <c r="E1091" t="s">
        <v>272</v>
      </c>
      <c r="F1091" t="s">
        <v>286</v>
      </c>
      <c r="G1091" s="7">
        <v>7</v>
      </c>
      <c r="H1091" s="3">
        <v>31370</v>
      </c>
      <c r="I1091" s="3">
        <v>219590</v>
      </c>
    </row>
    <row r="1092" spans="1:9" x14ac:dyDescent="0.3">
      <c r="A1092" s="5" t="s">
        <v>185</v>
      </c>
      <c r="B1092" t="s">
        <v>254</v>
      </c>
      <c r="C1092" t="s">
        <v>263</v>
      </c>
      <c r="D1092" t="s">
        <v>268</v>
      </c>
      <c r="E1092" t="s">
        <v>273</v>
      </c>
      <c r="F1092" t="s">
        <v>283</v>
      </c>
      <c r="G1092" s="7">
        <v>2</v>
      </c>
      <c r="H1092" s="3">
        <v>42727.06</v>
      </c>
      <c r="I1092" s="3">
        <v>85454.12</v>
      </c>
    </row>
    <row r="1093" spans="1:9" x14ac:dyDescent="0.3">
      <c r="A1093" s="5" t="s">
        <v>185</v>
      </c>
      <c r="B1093" t="s">
        <v>253</v>
      </c>
      <c r="C1093" t="s">
        <v>264</v>
      </c>
      <c r="D1093" t="s">
        <v>267</v>
      </c>
      <c r="E1093" t="s">
        <v>274</v>
      </c>
      <c r="F1093" t="s">
        <v>284</v>
      </c>
      <c r="G1093" s="7">
        <v>5</v>
      </c>
      <c r="H1093" s="3">
        <v>27398.38</v>
      </c>
      <c r="I1093" s="3">
        <v>136991.9</v>
      </c>
    </row>
    <row r="1094" spans="1:9" x14ac:dyDescent="0.3">
      <c r="A1094" s="5" t="s">
        <v>186</v>
      </c>
      <c r="B1094" t="s">
        <v>257</v>
      </c>
      <c r="C1094" t="s">
        <v>265</v>
      </c>
      <c r="D1094" t="s">
        <v>266</v>
      </c>
      <c r="E1094" t="s">
        <v>272</v>
      </c>
      <c r="F1094" t="s">
        <v>290</v>
      </c>
      <c r="G1094" s="7">
        <v>3</v>
      </c>
      <c r="H1094" s="3">
        <v>25667.759999999998</v>
      </c>
      <c r="I1094" s="3">
        <v>77003.28</v>
      </c>
    </row>
    <row r="1095" spans="1:9" x14ac:dyDescent="0.3">
      <c r="A1095" s="5" t="s">
        <v>186</v>
      </c>
      <c r="B1095" t="s">
        <v>253</v>
      </c>
      <c r="C1095" t="s">
        <v>263</v>
      </c>
      <c r="D1095" t="s">
        <v>269</v>
      </c>
      <c r="E1095" t="s">
        <v>273</v>
      </c>
      <c r="F1095" t="s">
        <v>283</v>
      </c>
      <c r="G1095" s="7">
        <v>9</v>
      </c>
      <c r="H1095" s="3">
        <v>49169.91</v>
      </c>
      <c r="I1095" s="3">
        <v>442529.19</v>
      </c>
    </row>
    <row r="1096" spans="1:9" x14ac:dyDescent="0.3">
      <c r="A1096" s="5" t="s">
        <v>186</v>
      </c>
      <c r="B1096" t="s">
        <v>258</v>
      </c>
      <c r="C1096" t="s">
        <v>262</v>
      </c>
      <c r="D1096" t="s">
        <v>268</v>
      </c>
      <c r="E1096" t="s">
        <v>271</v>
      </c>
      <c r="F1096" t="s">
        <v>282</v>
      </c>
      <c r="G1096" s="7">
        <v>6</v>
      </c>
      <c r="H1096" s="3">
        <v>9636.0300000000007</v>
      </c>
      <c r="I1096" s="3">
        <v>57816.18</v>
      </c>
    </row>
    <row r="1097" spans="1:9" x14ac:dyDescent="0.3">
      <c r="A1097" s="5" t="s">
        <v>186</v>
      </c>
      <c r="B1097" t="s">
        <v>258</v>
      </c>
      <c r="C1097" t="s">
        <v>263</v>
      </c>
      <c r="D1097" t="s">
        <v>270</v>
      </c>
      <c r="E1097" t="s">
        <v>274</v>
      </c>
      <c r="F1097" t="s">
        <v>289</v>
      </c>
      <c r="G1097" s="7">
        <v>3</v>
      </c>
      <c r="H1097" s="3">
        <v>27469.54</v>
      </c>
      <c r="I1097" s="3">
        <v>82408.62</v>
      </c>
    </row>
    <row r="1098" spans="1:9" x14ac:dyDescent="0.3">
      <c r="A1098" s="5" t="s">
        <v>186</v>
      </c>
      <c r="B1098" t="s">
        <v>258</v>
      </c>
      <c r="C1098" t="s">
        <v>264</v>
      </c>
      <c r="D1098" t="s">
        <v>266</v>
      </c>
      <c r="E1098" t="s">
        <v>273</v>
      </c>
      <c r="F1098" t="s">
        <v>283</v>
      </c>
      <c r="G1098" s="7">
        <v>7</v>
      </c>
      <c r="H1098" s="3">
        <v>38905.660000000003</v>
      </c>
      <c r="I1098" s="3">
        <v>272339.62</v>
      </c>
    </row>
    <row r="1099" spans="1:9" x14ac:dyDescent="0.3">
      <c r="A1099" s="5" t="s">
        <v>186</v>
      </c>
      <c r="B1099" t="s">
        <v>259</v>
      </c>
      <c r="C1099" t="s">
        <v>263</v>
      </c>
      <c r="D1099" t="s">
        <v>270</v>
      </c>
      <c r="E1099" t="s">
        <v>274</v>
      </c>
      <c r="F1099" t="s">
        <v>289</v>
      </c>
      <c r="G1099" s="7">
        <v>4</v>
      </c>
      <c r="H1099" s="3">
        <v>38752.54</v>
      </c>
      <c r="I1099" s="3">
        <v>155010.16</v>
      </c>
    </row>
    <row r="1100" spans="1:9" x14ac:dyDescent="0.3">
      <c r="A1100" s="5" t="s">
        <v>186</v>
      </c>
      <c r="B1100" t="s">
        <v>259</v>
      </c>
      <c r="C1100" t="s">
        <v>261</v>
      </c>
      <c r="D1100" t="s">
        <v>270</v>
      </c>
      <c r="E1100" t="s">
        <v>274</v>
      </c>
      <c r="F1100" t="s">
        <v>284</v>
      </c>
      <c r="G1100" s="7">
        <v>3</v>
      </c>
      <c r="H1100" s="3">
        <v>28138.31</v>
      </c>
      <c r="I1100" s="3">
        <v>84414.93</v>
      </c>
    </row>
    <row r="1101" spans="1:9" x14ac:dyDescent="0.3">
      <c r="A1101" s="5" t="s">
        <v>187</v>
      </c>
      <c r="B1101" t="s">
        <v>256</v>
      </c>
      <c r="C1101" t="s">
        <v>264</v>
      </c>
      <c r="D1101" t="s">
        <v>267</v>
      </c>
      <c r="E1101" t="s">
        <v>274</v>
      </c>
      <c r="F1101" t="s">
        <v>280</v>
      </c>
      <c r="G1101" s="7">
        <v>8</v>
      </c>
      <c r="H1101" s="3">
        <v>38645.53</v>
      </c>
      <c r="I1101" s="3">
        <v>309164.24</v>
      </c>
    </row>
    <row r="1102" spans="1:9" x14ac:dyDescent="0.3">
      <c r="A1102" s="5" t="s">
        <v>187</v>
      </c>
      <c r="B1102" t="s">
        <v>256</v>
      </c>
      <c r="C1102" t="s">
        <v>262</v>
      </c>
      <c r="D1102" t="s">
        <v>267</v>
      </c>
      <c r="E1102" t="s">
        <v>273</v>
      </c>
      <c r="F1102" t="s">
        <v>278</v>
      </c>
      <c r="G1102" s="7">
        <v>4</v>
      </c>
      <c r="H1102" s="3">
        <v>42356.99</v>
      </c>
      <c r="I1102" s="3">
        <v>169427.96</v>
      </c>
    </row>
    <row r="1103" spans="1:9" x14ac:dyDescent="0.3">
      <c r="A1103" s="5" t="s">
        <v>187</v>
      </c>
      <c r="B1103" t="s">
        <v>258</v>
      </c>
      <c r="C1103" t="s">
        <v>261</v>
      </c>
      <c r="D1103" t="s">
        <v>266</v>
      </c>
      <c r="E1103" t="s">
        <v>272</v>
      </c>
      <c r="F1103" t="s">
        <v>276</v>
      </c>
      <c r="G1103" s="7">
        <v>1</v>
      </c>
      <c r="H1103" s="3">
        <v>32088.2</v>
      </c>
      <c r="I1103" s="3">
        <v>32088.2</v>
      </c>
    </row>
    <row r="1104" spans="1:9" x14ac:dyDescent="0.3">
      <c r="A1104" s="5" t="s">
        <v>187</v>
      </c>
      <c r="B1104" t="s">
        <v>254</v>
      </c>
      <c r="C1104" t="s">
        <v>263</v>
      </c>
      <c r="D1104" t="s">
        <v>269</v>
      </c>
      <c r="E1104" t="s">
        <v>273</v>
      </c>
      <c r="F1104" t="s">
        <v>279</v>
      </c>
      <c r="G1104" s="7">
        <v>6</v>
      </c>
      <c r="H1104" s="3">
        <v>43825.2</v>
      </c>
      <c r="I1104" s="3">
        <v>262951.2</v>
      </c>
    </row>
    <row r="1105" spans="1:9" x14ac:dyDescent="0.3">
      <c r="A1105" s="5" t="s">
        <v>187</v>
      </c>
      <c r="B1105" t="s">
        <v>260</v>
      </c>
      <c r="C1105" t="s">
        <v>264</v>
      </c>
      <c r="D1105" t="s">
        <v>266</v>
      </c>
      <c r="E1105" t="s">
        <v>274</v>
      </c>
      <c r="F1105" t="s">
        <v>289</v>
      </c>
      <c r="G1105" s="7">
        <v>1</v>
      </c>
      <c r="H1105" s="3">
        <v>38192.03</v>
      </c>
      <c r="I1105" s="3">
        <v>38192.03</v>
      </c>
    </row>
    <row r="1106" spans="1:9" x14ac:dyDescent="0.3">
      <c r="A1106" s="5" t="s">
        <v>187</v>
      </c>
      <c r="B1106" t="s">
        <v>259</v>
      </c>
      <c r="C1106" t="s">
        <v>262</v>
      </c>
      <c r="D1106" t="s">
        <v>269</v>
      </c>
      <c r="E1106" t="s">
        <v>273</v>
      </c>
      <c r="F1106" t="s">
        <v>279</v>
      </c>
      <c r="G1106" s="7">
        <v>5</v>
      </c>
      <c r="H1106" s="3">
        <v>50858.19</v>
      </c>
      <c r="I1106" s="3">
        <v>254290.95</v>
      </c>
    </row>
    <row r="1107" spans="1:9" x14ac:dyDescent="0.3">
      <c r="A1107" s="5" t="s">
        <v>188</v>
      </c>
      <c r="B1107" t="s">
        <v>254</v>
      </c>
      <c r="C1107" t="s">
        <v>261</v>
      </c>
      <c r="D1107" t="s">
        <v>270</v>
      </c>
      <c r="E1107" t="s">
        <v>271</v>
      </c>
      <c r="F1107" t="s">
        <v>285</v>
      </c>
      <c r="G1107" s="7">
        <v>7</v>
      </c>
      <c r="H1107" s="3">
        <v>8591.17</v>
      </c>
      <c r="I1107" s="3">
        <v>60138.19</v>
      </c>
    </row>
    <row r="1108" spans="1:9" x14ac:dyDescent="0.3">
      <c r="A1108" s="5" t="s">
        <v>188</v>
      </c>
      <c r="B1108" t="s">
        <v>255</v>
      </c>
      <c r="C1108" t="s">
        <v>262</v>
      </c>
      <c r="D1108" t="s">
        <v>268</v>
      </c>
      <c r="E1108" t="s">
        <v>272</v>
      </c>
      <c r="F1108" t="s">
        <v>276</v>
      </c>
      <c r="G1108" s="7">
        <v>6</v>
      </c>
      <c r="H1108" s="3">
        <v>24654.59</v>
      </c>
      <c r="I1108" s="3">
        <v>147927.54</v>
      </c>
    </row>
    <row r="1109" spans="1:9" x14ac:dyDescent="0.3">
      <c r="A1109" s="5" t="s">
        <v>188</v>
      </c>
      <c r="B1109" t="s">
        <v>259</v>
      </c>
      <c r="C1109" t="s">
        <v>263</v>
      </c>
      <c r="D1109" t="s">
        <v>266</v>
      </c>
      <c r="E1109" t="s">
        <v>273</v>
      </c>
      <c r="F1109" t="s">
        <v>278</v>
      </c>
      <c r="G1109" s="7">
        <v>2</v>
      </c>
      <c r="H1109" s="3">
        <v>51438.6</v>
      </c>
      <c r="I1109" s="3">
        <v>102877.2</v>
      </c>
    </row>
    <row r="1110" spans="1:9" x14ac:dyDescent="0.3">
      <c r="A1110" s="5" t="s">
        <v>188</v>
      </c>
      <c r="B1110" t="s">
        <v>259</v>
      </c>
      <c r="C1110" t="s">
        <v>262</v>
      </c>
      <c r="D1110" t="s">
        <v>266</v>
      </c>
      <c r="E1110" t="s">
        <v>271</v>
      </c>
      <c r="F1110" t="s">
        <v>282</v>
      </c>
      <c r="G1110" s="7">
        <v>4</v>
      </c>
      <c r="H1110" s="3">
        <v>9322.41</v>
      </c>
      <c r="I1110" s="3">
        <v>37289.64</v>
      </c>
    </row>
    <row r="1111" spans="1:9" x14ac:dyDescent="0.3">
      <c r="A1111" s="5" t="s">
        <v>188</v>
      </c>
      <c r="B1111" t="s">
        <v>256</v>
      </c>
      <c r="C1111" t="s">
        <v>265</v>
      </c>
      <c r="D1111" t="s">
        <v>269</v>
      </c>
      <c r="E1111" t="s">
        <v>272</v>
      </c>
      <c r="F1111" t="s">
        <v>286</v>
      </c>
      <c r="G1111" s="7">
        <v>2</v>
      </c>
      <c r="H1111" s="3">
        <v>23832.61</v>
      </c>
      <c r="I1111" s="3">
        <v>47665.22</v>
      </c>
    </row>
    <row r="1112" spans="1:9" x14ac:dyDescent="0.3">
      <c r="A1112" s="5" t="s">
        <v>188</v>
      </c>
      <c r="B1112" t="s">
        <v>260</v>
      </c>
      <c r="C1112" t="s">
        <v>261</v>
      </c>
      <c r="D1112" t="s">
        <v>270</v>
      </c>
      <c r="E1112" t="s">
        <v>271</v>
      </c>
      <c r="F1112" t="s">
        <v>285</v>
      </c>
      <c r="G1112" s="7">
        <v>1</v>
      </c>
      <c r="H1112" s="3">
        <v>7257.03</v>
      </c>
      <c r="I1112" s="3">
        <v>7257.03</v>
      </c>
    </row>
    <row r="1113" spans="1:9" x14ac:dyDescent="0.3">
      <c r="A1113" s="5" t="s">
        <v>189</v>
      </c>
      <c r="B1113" t="s">
        <v>260</v>
      </c>
      <c r="C1113" t="s">
        <v>262</v>
      </c>
      <c r="D1113" t="s">
        <v>270</v>
      </c>
      <c r="E1113" t="s">
        <v>272</v>
      </c>
      <c r="F1113" t="s">
        <v>276</v>
      </c>
      <c r="G1113" s="7">
        <v>3</v>
      </c>
      <c r="H1113" s="3">
        <v>32858.480000000003</v>
      </c>
      <c r="I1113" s="3">
        <v>98575.44</v>
      </c>
    </row>
    <row r="1114" spans="1:9" x14ac:dyDescent="0.3">
      <c r="A1114" s="5" t="s">
        <v>189</v>
      </c>
      <c r="B1114" t="s">
        <v>257</v>
      </c>
      <c r="C1114" t="s">
        <v>263</v>
      </c>
      <c r="D1114" t="s">
        <v>269</v>
      </c>
      <c r="E1114" t="s">
        <v>273</v>
      </c>
      <c r="F1114" t="s">
        <v>288</v>
      </c>
      <c r="G1114" s="7">
        <v>3</v>
      </c>
      <c r="H1114" s="3">
        <v>42919.199999999997</v>
      </c>
      <c r="I1114" s="3">
        <v>128757.6</v>
      </c>
    </row>
    <row r="1115" spans="1:9" x14ac:dyDescent="0.3">
      <c r="A1115" s="5" t="s">
        <v>189</v>
      </c>
      <c r="B1115" t="s">
        <v>253</v>
      </c>
      <c r="C1115" t="s">
        <v>263</v>
      </c>
      <c r="D1115" t="s">
        <v>270</v>
      </c>
      <c r="E1115" t="s">
        <v>271</v>
      </c>
      <c r="F1115" t="s">
        <v>281</v>
      </c>
      <c r="G1115" s="7">
        <v>7</v>
      </c>
      <c r="H1115" s="3">
        <v>9387.85</v>
      </c>
      <c r="I1115" s="3">
        <v>65714.95</v>
      </c>
    </row>
    <row r="1116" spans="1:9" x14ac:dyDescent="0.3">
      <c r="A1116" s="5" t="s">
        <v>189</v>
      </c>
      <c r="B1116" t="s">
        <v>253</v>
      </c>
      <c r="C1116" t="s">
        <v>262</v>
      </c>
      <c r="D1116" t="s">
        <v>267</v>
      </c>
      <c r="E1116" t="s">
        <v>274</v>
      </c>
      <c r="F1116" t="s">
        <v>289</v>
      </c>
      <c r="G1116" s="7">
        <v>1</v>
      </c>
      <c r="H1116" s="3">
        <v>33013.94</v>
      </c>
      <c r="I1116" s="3">
        <v>33013.94</v>
      </c>
    </row>
    <row r="1117" spans="1:9" x14ac:dyDescent="0.3">
      <c r="A1117" s="5" t="s">
        <v>189</v>
      </c>
      <c r="B1117" t="s">
        <v>253</v>
      </c>
      <c r="C1117" t="s">
        <v>263</v>
      </c>
      <c r="D1117" t="s">
        <v>268</v>
      </c>
      <c r="E1117" t="s">
        <v>271</v>
      </c>
      <c r="F1117" t="s">
        <v>275</v>
      </c>
      <c r="G1117" s="7">
        <v>9</v>
      </c>
      <c r="H1117" s="3">
        <v>10160.66</v>
      </c>
      <c r="I1117" s="3">
        <v>91445.94</v>
      </c>
    </row>
    <row r="1118" spans="1:9" x14ac:dyDescent="0.3">
      <c r="A1118" s="5" t="s">
        <v>189</v>
      </c>
      <c r="B1118" t="s">
        <v>253</v>
      </c>
      <c r="C1118" t="s">
        <v>264</v>
      </c>
      <c r="D1118" t="s">
        <v>266</v>
      </c>
      <c r="E1118" t="s">
        <v>272</v>
      </c>
      <c r="F1118" t="s">
        <v>277</v>
      </c>
      <c r="G1118" s="7">
        <v>6</v>
      </c>
      <c r="H1118" s="3">
        <v>34069.96</v>
      </c>
      <c r="I1118" s="3">
        <v>204419.76</v>
      </c>
    </row>
    <row r="1119" spans="1:9" x14ac:dyDescent="0.3">
      <c r="A1119" s="5" t="s">
        <v>190</v>
      </c>
      <c r="B1119" t="s">
        <v>255</v>
      </c>
      <c r="C1119" t="s">
        <v>264</v>
      </c>
      <c r="D1119" t="s">
        <v>268</v>
      </c>
      <c r="E1119" t="s">
        <v>273</v>
      </c>
      <c r="F1119" t="s">
        <v>279</v>
      </c>
      <c r="G1119" s="7">
        <v>4</v>
      </c>
      <c r="H1119" s="3">
        <v>56192.54</v>
      </c>
      <c r="I1119" s="3">
        <v>224770.16</v>
      </c>
    </row>
    <row r="1120" spans="1:9" x14ac:dyDescent="0.3">
      <c r="A1120" s="5" t="s">
        <v>190</v>
      </c>
      <c r="B1120" t="s">
        <v>255</v>
      </c>
      <c r="C1120" t="s">
        <v>264</v>
      </c>
      <c r="D1120" t="s">
        <v>266</v>
      </c>
      <c r="E1120" t="s">
        <v>272</v>
      </c>
      <c r="F1120" t="s">
        <v>290</v>
      </c>
      <c r="G1120" s="7">
        <v>3</v>
      </c>
      <c r="H1120" s="3">
        <v>25521.26</v>
      </c>
      <c r="I1120" s="3">
        <v>76563.78</v>
      </c>
    </row>
    <row r="1121" spans="1:9" x14ac:dyDescent="0.3">
      <c r="A1121" s="5" t="s">
        <v>190</v>
      </c>
      <c r="B1121" t="s">
        <v>259</v>
      </c>
      <c r="C1121" t="s">
        <v>265</v>
      </c>
      <c r="D1121" t="s">
        <v>267</v>
      </c>
      <c r="E1121" t="s">
        <v>271</v>
      </c>
      <c r="F1121" t="s">
        <v>281</v>
      </c>
      <c r="G1121" s="7">
        <v>3</v>
      </c>
      <c r="H1121" s="3">
        <v>10159.08</v>
      </c>
      <c r="I1121" s="3">
        <v>30477.24</v>
      </c>
    </row>
    <row r="1122" spans="1:9" x14ac:dyDescent="0.3">
      <c r="A1122" s="5" t="s">
        <v>190</v>
      </c>
      <c r="B1122" t="s">
        <v>258</v>
      </c>
      <c r="C1122" t="s">
        <v>262</v>
      </c>
      <c r="D1122" t="s">
        <v>270</v>
      </c>
      <c r="E1122" t="s">
        <v>271</v>
      </c>
      <c r="F1122" t="s">
        <v>275</v>
      </c>
      <c r="G1122" s="7">
        <v>2</v>
      </c>
      <c r="H1122" s="3">
        <v>8129.47</v>
      </c>
      <c r="I1122" s="3">
        <v>16258.94</v>
      </c>
    </row>
    <row r="1123" spans="1:9" x14ac:dyDescent="0.3">
      <c r="A1123" s="5" t="s">
        <v>190</v>
      </c>
      <c r="B1123" t="s">
        <v>256</v>
      </c>
      <c r="C1123" t="s">
        <v>265</v>
      </c>
      <c r="D1123" t="s">
        <v>269</v>
      </c>
      <c r="E1123" t="s">
        <v>274</v>
      </c>
      <c r="F1123" t="s">
        <v>280</v>
      </c>
      <c r="G1123" s="7">
        <v>2</v>
      </c>
      <c r="H1123" s="3">
        <v>34762.44</v>
      </c>
      <c r="I1123" s="3">
        <v>69524.88</v>
      </c>
    </row>
    <row r="1124" spans="1:9" x14ac:dyDescent="0.3">
      <c r="A1124" s="5" t="s">
        <v>190</v>
      </c>
      <c r="B1124" t="s">
        <v>256</v>
      </c>
      <c r="C1124" t="s">
        <v>263</v>
      </c>
      <c r="D1124" t="s">
        <v>267</v>
      </c>
      <c r="E1124" t="s">
        <v>273</v>
      </c>
      <c r="F1124" t="s">
        <v>279</v>
      </c>
      <c r="G1124" s="7">
        <v>5</v>
      </c>
      <c r="H1124" s="3">
        <v>47353.91</v>
      </c>
      <c r="I1124" s="3">
        <v>236769.55</v>
      </c>
    </row>
    <row r="1125" spans="1:9" x14ac:dyDescent="0.3">
      <c r="A1125" s="5" t="s">
        <v>191</v>
      </c>
      <c r="B1125" t="s">
        <v>253</v>
      </c>
      <c r="C1125" t="s">
        <v>265</v>
      </c>
      <c r="D1125" t="s">
        <v>268</v>
      </c>
      <c r="E1125" t="s">
        <v>273</v>
      </c>
      <c r="F1125" t="s">
        <v>283</v>
      </c>
      <c r="G1125" s="7">
        <v>9</v>
      </c>
      <c r="H1125" s="3">
        <v>38573.79</v>
      </c>
      <c r="I1125" s="3">
        <v>347164.11</v>
      </c>
    </row>
    <row r="1126" spans="1:9" x14ac:dyDescent="0.3">
      <c r="A1126" s="5" t="s">
        <v>191</v>
      </c>
      <c r="B1126" t="s">
        <v>259</v>
      </c>
      <c r="C1126" t="s">
        <v>263</v>
      </c>
      <c r="D1126" t="s">
        <v>269</v>
      </c>
      <c r="E1126" t="s">
        <v>271</v>
      </c>
      <c r="F1126" t="s">
        <v>275</v>
      </c>
      <c r="G1126" s="7">
        <v>2</v>
      </c>
      <c r="H1126" s="3">
        <v>10396.42</v>
      </c>
      <c r="I1126" s="3">
        <v>20792.84</v>
      </c>
    </row>
    <row r="1127" spans="1:9" x14ac:dyDescent="0.3">
      <c r="A1127" s="5" t="s">
        <v>191</v>
      </c>
      <c r="B1127" t="s">
        <v>257</v>
      </c>
      <c r="C1127" t="s">
        <v>263</v>
      </c>
      <c r="D1127" t="s">
        <v>270</v>
      </c>
      <c r="E1127" t="s">
        <v>273</v>
      </c>
      <c r="F1127" t="s">
        <v>278</v>
      </c>
      <c r="G1127" s="7">
        <v>2</v>
      </c>
      <c r="H1127" s="3">
        <v>39659.89</v>
      </c>
      <c r="I1127" s="3">
        <v>79319.78</v>
      </c>
    </row>
    <row r="1128" spans="1:9" x14ac:dyDescent="0.3">
      <c r="A1128" s="5" t="s">
        <v>191</v>
      </c>
      <c r="B1128" t="s">
        <v>254</v>
      </c>
      <c r="C1128" t="s">
        <v>261</v>
      </c>
      <c r="D1128" t="s">
        <v>267</v>
      </c>
      <c r="E1128" t="s">
        <v>274</v>
      </c>
      <c r="F1128" t="s">
        <v>280</v>
      </c>
      <c r="G1128" s="7">
        <v>6</v>
      </c>
      <c r="H1128" s="3">
        <v>36009.199999999997</v>
      </c>
      <c r="I1128" s="3">
        <v>216055.2</v>
      </c>
    </row>
    <row r="1129" spans="1:9" x14ac:dyDescent="0.3">
      <c r="A1129" s="5" t="s">
        <v>191</v>
      </c>
      <c r="B1129" t="s">
        <v>258</v>
      </c>
      <c r="C1129" t="s">
        <v>264</v>
      </c>
      <c r="D1129" t="s">
        <v>269</v>
      </c>
      <c r="E1129" t="s">
        <v>272</v>
      </c>
      <c r="F1129" t="s">
        <v>277</v>
      </c>
      <c r="G1129" s="7">
        <v>2</v>
      </c>
      <c r="H1129" s="3">
        <v>32592.080000000002</v>
      </c>
      <c r="I1129" s="3">
        <v>65184.160000000003</v>
      </c>
    </row>
    <row r="1130" spans="1:9" x14ac:dyDescent="0.3">
      <c r="A1130" s="5" t="s">
        <v>191</v>
      </c>
      <c r="B1130" t="s">
        <v>259</v>
      </c>
      <c r="C1130" t="s">
        <v>263</v>
      </c>
      <c r="D1130" t="s">
        <v>267</v>
      </c>
      <c r="E1130" t="s">
        <v>273</v>
      </c>
      <c r="F1130" t="s">
        <v>283</v>
      </c>
      <c r="G1130" s="7">
        <v>4</v>
      </c>
      <c r="H1130" s="3">
        <v>52565.18</v>
      </c>
      <c r="I1130" s="3">
        <v>210260.72</v>
      </c>
    </row>
    <row r="1131" spans="1:9" x14ac:dyDescent="0.3">
      <c r="A1131" s="5" t="s">
        <v>192</v>
      </c>
      <c r="B1131" t="s">
        <v>258</v>
      </c>
      <c r="C1131" t="s">
        <v>261</v>
      </c>
      <c r="D1131" t="s">
        <v>267</v>
      </c>
      <c r="E1131" t="s">
        <v>271</v>
      </c>
      <c r="F1131" t="s">
        <v>281</v>
      </c>
      <c r="G1131" s="7">
        <v>6</v>
      </c>
      <c r="H1131" s="3">
        <v>7685.68</v>
      </c>
      <c r="I1131" s="3">
        <v>46114.080000000002</v>
      </c>
    </row>
    <row r="1132" spans="1:9" x14ac:dyDescent="0.3">
      <c r="A1132" s="5" t="s">
        <v>192</v>
      </c>
      <c r="B1132" t="s">
        <v>258</v>
      </c>
      <c r="C1132" t="s">
        <v>264</v>
      </c>
      <c r="D1132" t="s">
        <v>270</v>
      </c>
      <c r="E1132" t="s">
        <v>272</v>
      </c>
      <c r="F1132" t="s">
        <v>290</v>
      </c>
      <c r="G1132" s="7">
        <v>5</v>
      </c>
      <c r="H1132" s="3">
        <v>28812.78</v>
      </c>
      <c r="I1132" s="3">
        <v>144063.9</v>
      </c>
    </row>
    <row r="1133" spans="1:9" x14ac:dyDescent="0.3">
      <c r="A1133" s="5" t="s">
        <v>192</v>
      </c>
      <c r="B1133" t="s">
        <v>258</v>
      </c>
      <c r="C1133" t="s">
        <v>263</v>
      </c>
      <c r="D1133" t="s">
        <v>266</v>
      </c>
      <c r="E1133" t="s">
        <v>272</v>
      </c>
      <c r="F1133" t="s">
        <v>277</v>
      </c>
      <c r="G1133" s="7">
        <v>1</v>
      </c>
      <c r="H1133" s="3">
        <v>33089.599999999999</v>
      </c>
      <c r="I1133" s="3">
        <v>33089.599999999999</v>
      </c>
    </row>
    <row r="1134" spans="1:9" x14ac:dyDescent="0.3">
      <c r="A1134" s="5" t="s">
        <v>192</v>
      </c>
      <c r="B1134" t="s">
        <v>259</v>
      </c>
      <c r="C1134" t="s">
        <v>263</v>
      </c>
      <c r="D1134" t="s">
        <v>269</v>
      </c>
      <c r="E1134" t="s">
        <v>274</v>
      </c>
      <c r="F1134" t="s">
        <v>289</v>
      </c>
      <c r="G1134" s="7">
        <v>6</v>
      </c>
      <c r="H1134" s="3">
        <v>31074.29</v>
      </c>
      <c r="I1134" s="3">
        <v>186445.74</v>
      </c>
    </row>
    <row r="1135" spans="1:9" x14ac:dyDescent="0.3">
      <c r="A1135" s="5" t="s">
        <v>192</v>
      </c>
      <c r="B1135" t="s">
        <v>253</v>
      </c>
      <c r="C1135" t="s">
        <v>265</v>
      </c>
      <c r="D1135" t="s">
        <v>270</v>
      </c>
      <c r="E1135" t="s">
        <v>271</v>
      </c>
      <c r="F1135" t="s">
        <v>285</v>
      </c>
      <c r="G1135" s="7">
        <v>1</v>
      </c>
      <c r="H1135" s="3">
        <v>8815.35</v>
      </c>
      <c r="I1135" s="3">
        <v>8815.35</v>
      </c>
    </row>
    <row r="1136" spans="1:9" x14ac:dyDescent="0.3">
      <c r="A1136" s="5" t="s">
        <v>192</v>
      </c>
      <c r="B1136" t="s">
        <v>256</v>
      </c>
      <c r="C1136" t="s">
        <v>265</v>
      </c>
      <c r="D1136" t="s">
        <v>267</v>
      </c>
      <c r="E1136" t="s">
        <v>273</v>
      </c>
      <c r="F1136" t="s">
        <v>288</v>
      </c>
      <c r="G1136" s="7">
        <v>3</v>
      </c>
      <c r="H1136" s="3">
        <v>43160.29</v>
      </c>
      <c r="I1136" s="3">
        <v>129480.87</v>
      </c>
    </row>
    <row r="1137" spans="1:9" x14ac:dyDescent="0.3">
      <c r="A1137" s="5" t="s">
        <v>192</v>
      </c>
      <c r="B1137" t="s">
        <v>256</v>
      </c>
      <c r="C1137" t="s">
        <v>264</v>
      </c>
      <c r="D1137" t="s">
        <v>270</v>
      </c>
      <c r="E1137" t="s">
        <v>271</v>
      </c>
      <c r="F1137" t="s">
        <v>281</v>
      </c>
      <c r="G1137" s="7">
        <v>5</v>
      </c>
      <c r="H1137" s="3">
        <v>8801.07</v>
      </c>
      <c r="I1137" s="3">
        <v>44005.35</v>
      </c>
    </row>
    <row r="1138" spans="1:9" x14ac:dyDescent="0.3">
      <c r="A1138" s="5" t="s">
        <v>193</v>
      </c>
      <c r="B1138" t="s">
        <v>253</v>
      </c>
      <c r="C1138" t="s">
        <v>263</v>
      </c>
      <c r="D1138" t="s">
        <v>266</v>
      </c>
      <c r="E1138" t="s">
        <v>272</v>
      </c>
      <c r="F1138" t="s">
        <v>276</v>
      </c>
      <c r="G1138" s="7">
        <v>5</v>
      </c>
      <c r="H1138" s="3">
        <v>33743.78</v>
      </c>
      <c r="I1138" s="3">
        <v>168718.9</v>
      </c>
    </row>
    <row r="1139" spans="1:9" x14ac:dyDescent="0.3">
      <c r="A1139" s="5" t="s">
        <v>193</v>
      </c>
      <c r="B1139" t="s">
        <v>258</v>
      </c>
      <c r="C1139" t="s">
        <v>262</v>
      </c>
      <c r="D1139" t="s">
        <v>269</v>
      </c>
      <c r="E1139" t="s">
        <v>271</v>
      </c>
      <c r="F1139" t="s">
        <v>282</v>
      </c>
      <c r="G1139" s="7">
        <v>6</v>
      </c>
      <c r="H1139" s="3">
        <v>8772.42</v>
      </c>
      <c r="I1139" s="3">
        <v>52634.52</v>
      </c>
    </row>
    <row r="1140" spans="1:9" x14ac:dyDescent="0.3">
      <c r="A1140" s="5" t="s">
        <v>193</v>
      </c>
      <c r="B1140" t="s">
        <v>254</v>
      </c>
      <c r="C1140" t="s">
        <v>265</v>
      </c>
      <c r="D1140" t="s">
        <v>266</v>
      </c>
      <c r="E1140" t="s">
        <v>273</v>
      </c>
      <c r="F1140" t="s">
        <v>283</v>
      </c>
      <c r="G1140" s="7">
        <v>8</v>
      </c>
      <c r="H1140" s="3">
        <v>48256.42</v>
      </c>
      <c r="I1140" s="3">
        <v>386051.36</v>
      </c>
    </row>
    <row r="1141" spans="1:9" x14ac:dyDescent="0.3">
      <c r="A1141" s="5" t="s">
        <v>193</v>
      </c>
      <c r="B1141" t="s">
        <v>260</v>
      </c>
      <c r="C1141" t="s">
        <v>264</v>
      </c>
      <c r="D1141" t="s">
        <v>268</v>
      </c>
      <c r="E1141" t="s">
        <v>273</v>
      </c>
      <c r="F1141" t="s">
        <v>288</v>
      </c>
      <c r="G1141" s="7">
        <v>5</v>
      </c>
      <c r="H1141" s="3">
        <v>45521.57</v>
      </c>
      <c r="I1141" s="3">
        <v>227607.85</v>
      </c>
    </row>
    <row r="1142" spans="1:9" x14ac:dyDescent="0.3">
      <c r="A1142" s="5" t="s">
        <v>193</v>
      </c>
      <c r="B1142" t="s">
        <v>259</v>
      </c>
      <c r="C1142" t="s">
        <v>263</v>
      </c>
      <c r="D1142" t="s">
        <v>269</v>
      </c>
      <c r="E1142" t="s">
        <v>274</v>
      </c>
      <c r="F1142" t="s">
        <v>280</v>
      </c>
      <c r="G1142" s="7">
        <v>1</v>
      </c>
      <c r="H1142" s="3">
        <v>33089.5</v>
      </c>
      <c r="I1142" s="3">
        <v>33089.5</v>
      </c>
    </row>
    <row r="1143" spans="1:9" x14ac:dyDescent="0.3">
      <c r="A1143" s="5" t="s">
        <v>193</v>
      </c>
      <c r="B1143" t="s">
        <v>260</v>
      </c>
      <c r="C1143" t="s">
        <v>263</v>
      </c>
      <c r="D1143" t="s">
        <v>266</v>
      </c>
      <c r="E1143" t="s">
        <v>273</v>
      </c>
      <c r="F1143" t="s">
        <v>283</v>
      </c>
      <c r="G1143" s="7">
        <v>5</v>
      </c>
      <c r="H1143" s="3">
        <v>38523.14</v>
      </c>
      <c r="I1143" s="3">
        <v>192615.7</v>
      </c>
    </row>
    <row r="1144" spans="1:9" x14ac:dyDescent="0.3">
      <c r="A1144" s="5" t="s">
        <v>194</v>
      </c>
      <c r="B1144" t="s">
        <v>257</v>
      </c>
      <c r="C1144" t="s">
        <v>262</v>
      </c>
      <c r="D1144" t="s">
        <v>267</v>
      </c>
      <c r="E1144" t="s">
        <v>273</v>
      </c>
      <c r="F1144" t="s">
        <v>283</v>
      </c>
      <c r="G1144" s="7">
        <v>3</v>
      </c>
      <c r="H1144" s="3">
        <v>43357.42</v>
      </c>
      <c r="I1144" s="3">
        <v>130072.26</v>
      </c>
    </row>
    <row r="1145" spans="1:9" x14ac:dyDescent="0.3">
      <c r="A1145" s="5" t="s">
        <v>194</v>
      </c>
      <c r="B1145" t="s">
        <v>253</v>
      </c>
      <c r="C1145" t="s">
        <v>264</v>
      </c>
      <c r="D1145" t="s">
        <v>269</v>
      </c>
      <c r="E1145" t="s">
        <v>271</v>
      </c>
      <c r="F1145" t="s">
        <v>275</v>
      </c>
      <c r="G1145" s="7">
        <v>4</v>
      </c>
      <c r="H1145" s="3">
        <v>8709.3799999999992</v>
      </c>
      <c r="I1145" s="3">
        <v>34837.519999999997</v>
      </c>
    </row>
    <row r="1146" spans="1:9" x14ac:dyDescent="0.3">
      <c r="A1146" s="5" t="s">
        <v>194</v>
      </c>
      <c r="B1146" t="s">
        <v>254</v>
      </c>
      <c r="C1146" t="s">
        <v>263</v>
      </c>
      <c r="D1146" t="s">
        <v>269</v>
      </c>
      <c r="E1146" t="s">
        <v>271</v>
      </c>
      <c r="F1146" t="s">
        <v>282</v>
      </c>
      <c r="G1146" s="7">
        <v>8</v>
      </c>
      <c r="H1146" s="3">
        <v>9379.91</v>
      </c>
      <c r="I1146" s="3">
        <v>75039.28</v>
      </c>
    </row>
    <row r="1147" spans="1:9" x14ac:dyDescent="0.3">
      <c r="A1147" s="5" t="s">
        <v>194</v>
      </c>
      <c r="B1147" t="s">
        <v>259</v>
      </c>
      <c r="C1147" t="s">
        <v>265</v>
      </c>
      <c r="D1147" t="s">
        <v>270</v>
      </c>
      <c r="E1147" t="s">
        <v>272</v>
      </c>
      <c r="F1147" t="s">
        <v>290</v>
      </c>
      <c r="G1147" s="7">
        <v>7</v>
      </c>
      <c r="H1147" s="3">
        <v>28840.58</v>
      </c>
      <c r="I1147" s="3">
        <v>201884.06</v>
      </c>
    </row>
    <row r="1148" spans="1:9" x14ac:dyDescent="0.3">
      <c r="A1148" s="5" t="s">
        <v>194</v>
      </c>
      <c r="B1148" t="s">
        <v>253</v>
      </c>
      <c r="C1148" t="s">
        <v>262</v>
      </c>
      <c r="D1148" t="s">
        <v>267</v>
      </c>
      <c r="E1148" t="s">
        <v>274</v>
      </c>
      <c r="F1148" t="s">
        <v>284</v>
      </c>
      <c r="G1148" s="7">
        <v>5</v>
      </c>
      <c r="H1148" s="3">
        <v>31524.06</v>
      </c>
      <c r="I1148" s="3">
        <v>157620.29999999999</v>
      </c>
    </row>
    <row r="1149" spans="1:9" x14ac:dyDescent="0.3">
      <c r="A1149" s="5" t="s">
        <v>194</v>
      </c>
      <c r="B1149" t="s">
        <v>258</v>
      </c>
      <c r="C1149" t="s">
        <v>264</v>
      </c>
      <c r="D1149" t="s">
        <v>268</v>
      </c>
      <c r="E1149" t="s">
        <v>271</v>
      </c>
      <c r="F1149" t="s">
        <v>285</v>
      </c>
      <c r="G1149" s="7">
        <v>2</v>
      </c>
      <c r="H1149" s="3">
        <v>8544.5400000000009</v>
      </c>
      <c r="I1149" s="3">
        <v>17089.080000000002</v>
      </c>
    </row>
    <row r="1150" spans="1:9" x14ac:dyDescent="0.3">
      <c r="A1150" s="5" t="s">
        <v>195</v>
      </c>
      <c r="B1150" t="s">
        <v>256</v>
      </c>
      <c r="C1150" t="s">
        <v>262</v>
      </c>
      <c r="D1150" t="s">
        <v>266</v>
      </c>
      <c r="E1150" t="s">
        <v>273</v>
      </c>
      <c r="F1150" t="s">
        <v>278</v>
      </c>
      <c r="G1150" s="7">
        <v>6</v>
      </c>
      <c r="H1150" s="3">
        <v>42611.28</v>
      </c>
      <c r="I1150" s="3">
        <v>255667.68</v>
      </c>
    </row>
    <row r="1151" spans="1:9" x14ac:dyDescent="0.3">
      <c r="A1151" s="5" t="s">
        <v>195</v>
      </c>
      <c r="B1151" t="s">
        <v>260</v>
      </c>
      <c r="C1151" t="s">
        <v>265</v>
      </c>
      <c r="D1151" t="s">
        <v>270</v>
      </c>
      <c r="E1151" t="s">
        <v>272</v>
      </c>
      <c r="F1151" t="s">
        <v>277</v>
      </c>
      <c r="G1151" s="7">
        <v>6</v>
      </c>
      <c r="H1151" s="3">
        <v>34154.339999999997</v>
      </c>
      <c r="I1151" s="3">
        <v>204926.04</v>
      </c>
    </row>
    <row r="1152" spans="1:9" x14ac:dyDescent="0.3">
      <c r="A1152" s="5" t="s">
        <v>195</v>
      </c>
      <c r="B1152" t="s">
        <v>255</v>
      </c>
      <c r="C1152" t="s">
        <v>264</v>
      </c>
      <c r="D1152" t="s">
        <v>266</v>
      </c>
      <c r="E1152" t="s">
        <v>271</v>
      </c>
      <c r="F1152" t="s">
        <v>282</v>
      </c>
      <c r="G1152" s="7">
        <v>6</v>
      </c>
      <c r="H1152" s="3">
        <v>8998.93</v>
      </c>
      <c r="I1152" s="3">
        <v>53993.58</v>
      </c>
    </row>
    <row r="1153" spans="1:9" x14ac:dyDescent="0.3">
      <c r="A1153" s="5" t="s">
        <v>195</v>
      </c>
      <c r="B1153" t="s">
        <v>255</v>
      </c>
      <c r="C1153" t="s">
        <v>262</v>
      </c>
      <c r="D1153" t="s">
        <v>268</v>
      </c>
      <c r="E1153" t="s">
        <v>274</v>
      </c>
      <c r="F1153" t="s">
        <v>289</v>
      </c>
      <c r="G1153" s="7">
        <v>9</v>
      </c>
      <c r="H1153" s="3">
        <v>27371.64</v>
      </c>
      <c r="I1153" s="3">
        <v>246344.76</v>
      </c>
    </row>
    <row r="1154" spans="1:9" x14ac:dyDescent="0.3">
      <c r="A1154" s="5" t="s">
        <v>195</v>
      </c>
      <c r="B1154" t="s">
        <v>254</v>
      </c>
      <c r="C1154" t="s">
        <v>261</v>
      </c>
      <c r="D1154" t="s">
        <v>268</v>
      </c>
      <c r="E1154" t="s">
        <v>274</v>
      </c>
      <c r="F1154" t="s">
        <v>287</v>
      </c>
      <c r="G1154" s="7">
        <v>8</v>
      </c>
      <c r="H1154" s="3">
        <v>27448.91</v>
      </c>
      <c r="I1154" s="3">
        <v>219591.28</v>
      </c>
    </row>
    <row r="1155" spans="1:9" x14ac:dyDescent="0.3">
      <c r="A1155" s="5" t="s">
        <v>195</v>
      </c>
      <c r="B1155" t="s">
        <v>258</v>
      </c>
      <c r="C1155" t="s">
        <v>265</v>
      </c>
      <c r="D1155" t="s">
        <v>269</v>
      </c>
      <c r="E1155" t="s">
        <v>272</v>
      </c>
      <c r="F1155" t="s">
        <v>286</v>
      </c>
      <c r="G1155" s="7">
        <v>8</v>
      </c>
      <c r="H1155" s="3">
        <v>34697.17</v>
      </c>
      <c r="I1155" s="3">
        <v>277577.36</v>
      </c>
    </row>
    <row r="1156" spans="1:9" x14ac:dyDescent="0.3">
      <c r="A1156" s="5" t="s">
        <v>196</v>
      </c>
      <c r="B1156" t="s">
        <v>257</v>
      </c>
      <c r="C1156" t="s">
        <v>265</v>
      </c>
      <c r="D1156" t="s">
        <v>268</v>
      </c>
      <c r="E1156" t="s">
        <v>272</v>
      </c>
      <c r="F1156" t="s">
        <v>286</v>
      </c>
      <c r="G1156" s="7">
        <v>1</v>
      </c>
      <c r="H1156" s="3">
        <v>26280.25</v>
      </c>
      <c r="I1156" s="3">
        <v>26280.25</v>
      </c>
    </row>
    <row r="1157" spans="1:9" x14ac:dyDescent="0.3">
      <c r="A1157" s="5" t="s">
        <v>196</v>
      </c>
      <c r="B1157" t="s">
        <v>260</v>
      </c>
      <c r="C1157" t="s">
        <v>265</v>
      </c>
      <c r="D1157" t="s">
        <v>266</v>
      </c>
      <c r="E1157" t="s">
        <v>272</v>
      </c>
      <c r="F1157" t="s">
        <v>286</v>
      </c>
      <c r="G1157" s="7">
        <v>5</v>
      </c>
      <c r="H1157" s="3">
        <v>32822.81</v>
      </c>
      <c r="I1157" s="3">
        <v>164114.04999999999</v>
      </c>
    </row>
    <row r="1158" spans="1:9" x14ac:dyDescent="0.3">
      <c r="A1158" s="5" t="s">
        <v>196</v>
      </c>
      <c r="B1158" t="s">
        <v>258</v>
      </c>
      <c r="C1158" t="s">
        <v>261</v>
      </c>
      <c r="D1158" t="s">
        <v>267</v>
      </c>
      <c r="E1158" t="s">
        <v>272</v>
      </c>
      <c r="F1158" t="s">
        <v>276</v>
      </c>
      <c r="G1158" s="7">
        <v>7</v>
      </c>
      <c r="H1158" s="3">
        <v>24452.68</v>
      </c>
      <c r="I1158" s="3">
        <v>171168.76</v>
      </c>
    </row>
    <row r="1159" spans="1:9" x14ac:dyDescent="0.3">
      <c r="A1159" s="5" t="s">
        <v>196</v>
      </c>
      <c r="B1159" t="s">
        <v>260</v>
      </c>
      <c r="C1159" t="s">
        <v>261</v>
      </c>
      <c r="D1159" t="s">
        <v>267</v>
      </c>
      <c r="E1159" t="s">
        <v>272</v>
      </c>
      <c r="F1159" t="s">
        <v>290</v>
      </c>
      <c r="G1159" s="7">
        <v>6</v>
      </c>
      <c r="H1159" s="3">
        <v>34117.019999999997</v>
      </c>
      <c r="I1159" s="3">
        <v>204702.12</v>
      </c>
    </row>
    <row r="1160" spans="1:9" x14ac:dyDescent="0.3">
      <c r="A1160" s="5" t="s">
        <v>196</v>
      </c>
      <c r="B1160" t="s">
        <v>254</v>
      </c>
      <c r="C1160" t="s">
        <v>263</v>
      </c>
      <c r="D1160" t="s">
        <v>269</v>
      </c>
      <c r="E1160" t="s">
        <v>273</v>
      </c>
      <c r="F1160" t="s">
        <v>288</v>
      </c>
      <c r="G1160" s="7">
        <v>5</v>
      </c>
      <c r="H1160" s="3">
        <v>53989.51</v>
      </c>
      <c r="I1160" s="3">
        <v>269947.55</v>
      </c>
    </row>
    <row r="1161" spans="1:9" x14ac:dyDescent="0.3">
      <c r="A1161" s="5" t="s">
        <v>196</v>
      </c>
      <c r="B1161" t="s">
        <v>254</v>
      </c>
      <c r="C1161" t="s">
        <v>262</v>
      </c>
      <c r="D1161" t="s">
        <v>266</v>
      </c>
      <c r="E1161" t="s">
        <v>273</v>
      </c>
      <c r="F1161" t="s">
        <v>279</v>
      </c>
      <c r="G1161" s="7">
        <v>8</v>
      </c>
      <c r="H1161" s="3">
        <v>48529.68</v>
      </c>
      <c r="I1161" s="3">
        <v>388237.44</v>
      </c>
    </row>
    <row r="1162" spans="1:9" x14ac:dyDescent="0.3">
      <c r="A1162" s="5" t="s">
        <v>197</v>
      </c>
      <c r="B1162" t="s">
        <v>257</v>
      </c>
      <c r="C1162" t="s">
        <v>263</v>
      </c>
      <c r="D1162" t="s">
        <v>266</v>
      </c>
      <c r="E1162" t="s">
        <v>271</v>
      </c>
      <c r="F1162" t="s">
        <v>275</v>
      </c>
      <c r="G1162" s="7">
        <v>3</v>
      </c>
      <c r="H1162" s="3">
        <v>7255.6</v>
      </c>
      <c r="I1162" s="3">
        <v>21766.799999999999</v>
      </c>
    </row>
    <row r="1163" spans="1:9" x14ac:dyDescent="0.3">
      <c r="A1163" s="5" t="s">
        <v>197</v>
      </c>
      <c r="B1163" t="s">
        <v>255</v>
      </c>
      <c r="C1163" t="s">
        <v>262</v>
      </c>
      <c r="D1163" t="s">
        <v>268</v>
      </c>
      <c r="E1163" t="s">
        <v>274</v>
      </c>
      <c r="F1163" t="s">
        <v>280</v>
      </c>
      <c r="G1163" s="7">
        <v>6</v>
      </c>
      <c r="H1163" s="3">
        <v>30499.98</v>
      </c>
      <c r="I1163" s="3">
        <v>182999.88</v>
      </c>
    </row>
    <row r="1164" spans="1:9" x14ac:dyDescent="0.3">
      <c r="A1164" s="5" t="s">
        <v>197</v>
      </c>
      <c r="B1164" t="s">
        <v>258</v>
      </c>
      <c r="C1164" t="s">
        <v>261</v>
      </c>
      <c r="D1164" t="s">
        <v>266</v>
      </c>
      <c r="E1164" t="s">
        <v>273</v>
      </c>
      <c r="F1164" t="s">
        <v>279</v>
      </c>
      <c r="G1164" s="7">
        <v>5</v>
      </c>
      <c r="H1164" s="3">
        <v>45572.81</v>
      </c>
      <c r="I1164" s="3">
        <v>227864.05</v>
      </c>
    </row>
    <row r="1165" spans="1:9" x14ac:dyDescent="0.3">
      <c r="A1165" s="5" t="s">
        <v>197</v>
      </c>
      <c r="B1165" t="s">
        <v>259</v>
      </c>
      <c r="C1165" t="s">
        <v>261</v>
      </c>
      <c r="D1165" t="s">
        <v>270</v>
      </c>
      <c r="E1165" t="s">
        <v>273</v>
      </c>
      <c r="F1165" t="s">
        <v>278</v>
      </c>
      <c r="G1165" s="7">
        <v>8</v>
      </c>
      <c r="H1165" s="3">
        <v>46531.15</v>
      </c>
      <c r="I1165" s="3">
        <v>372249.2</v>
      </c>
    </row>
    <row r="1166" spans="1:9" x14ac:dyDescent="0.3">
      <c r="A1166" s="5" t="s">
        <v>197</v>
      </c>
      <c r="B1166" t="s">
        <v>255</v>
      </c>
      <c r="C1166" t="s">
        <v>263</v>
      </c>
      <c r="D1166" t="s">
        <v>268</v>
      </c>
      <c r="E1166" t="s">
        <v>273</v>
      </c>
      <c r="F1166" t="s">
        <v>288</v>
      </c>
      <c r="G1166" s="7">
        <v>4</v>
      </c>
      <c r="H1166" s="3">
        <v>43608.22</v>
      </c>
      <c r="I1166" s="3">
        <v>174432.88</v>
      </c>
    </row>
    <row r="1167" spans="1:9" x14ac:dyDescent="0.3">
      <c r="A1167" s="5" t="s">
        <v>197</v>
      </c>
      <c r="B1167" t="s">
        <v>258</v>
      </c>
      <c r="C1167" t="s">
        <v>264</v>
      </c>
      <c r="D1167" t="s">
        <v>270</v>
      </c>
      <c r="E1167" t="s">
        <v>271</v>
      </c>
      <c r="F1167" t="s">
        <v>275</v>
      </c>
      <c r="G1167" s="7">
        <v>8</v>
      </c>
      <c r="H1167" s="3">
        <v>7337.02</v>
      </c>
      <c r="I1167" s="3">
        <v>58696.160000000003</v>
      </c>
    </row>
    <row r="1168" spans="1:9" x14ac:dyDescent="0.3">
      <c r="A1168" s="5" t="s">
        <v>198</v>
      </c>
      <c r="B1168" t="s">
        <v>255</v>
      </c>
      <c r="C1168" t="s">
        <v>263</v>
      </c>
      <c r="D1168" t="s">
        <v>269</v>
      </c>
      <c r="E1168" t="s">
        <v>272</v>
      </c>
      <c r="F1168" t="s">
        <v>290</v>
      </c>
      <c r="G1168" s="7">
        <v>2</v>
      </c>
      <c r="H1168" s="3">
        <v>30409.43</v>
      </c>
      <c r="I1168" s="3">
        <v>60818.86</v>
      </c>
    </row>
    <row r="1169" spans="1:9" x14ac:dyDescent="0.3">
      <c r="A1169" s="5" t="s">
        <v>198</v>
      </c>
      <c r="B1169" t="s">
        <v>259</v>
      </c>
      <c r="C1169" t="s">
        <v>262</v>
      </c>
      <c r="D1169" t="s">
        <v>267</v>
      </c>
      <c r="E1169" t="s">
        <v>271</v>
      </c>
      <c r="F1169" t="s">
        <v>275</v>
      </c>
      <c r="G1169" s="7">
        <v>9</v>
      </c>
      <c r="H1169" s="3">
        <v>9007.1299999999992</v>
      </c>
      <c r="I1169" s="3">
        <v>81064.17</v>
      </c>
    </row>
    <row r="1170" spans="1:9" x14ac:dyDescent="0.3">
      <c r="A1170" s="5" t="s">
        <v>198</v>
      </c>
      <c r="B1170" t="s">
        <v>256</v>
      </c>
      <c r="C1170" t="s">
        <v>263</v>
      </c>
      <c r="D1170" t="s">
        <v>269</v>
      </c>
      <c r="E1170" t="s">
        <v>274</v>
      </c>
      <c r="F1170" t="s">
        <v>287</v>
      </c>
      <c r="G1170" s="7">
        <v>9</v>
      </c>
      <c r="H1170" s="3">
        <v>30822.41</v>
      </c>
      <c r="I1170" s="3">
        <v>277401.69</v>
      </c>
    </row>
    <row r="1171" spans="1:9" x14ac:dyDescent="0.3">
      <c r="A1171" s="5" t="s">
        <v>198</v>
      </c>
      <c r="B1171" t="s">
        <v>256</v>
      </c>
      <c r="C1171" t="s">
        <v>265</v>
      </c>
      <c r="D1171" t="s">
        <v>267</v>
      </c>
      <c r="E1171" t="s">
        <v>274</v>
      </c>
      <c r="F1171" t="s">
        <v>287</v>
      </c>
      <c r="G1171" s="7">
        <v>6</v>
      </c>
      <c r="H1171" s="3">
        <v>27686.09</v>
      </c>
      <c r="I1171" s="3">
        <v>166116.54</v>
      </c>
    </row>
    <row r="1172" spans="1:9" x14ac:dyDescent="0.3">
      <c r="A1172" s="5" t="s">
        <v>198</v>
      </c>
      <c r="B1172" t="s">
        <v>257</v>
      </c>
      <c r="C1172" t="s">
        <v>262</v>
      </c>
      <c r="D1172" t="s">
        <v>269</v>
      </c>
      <c r="E1172" t="s">
        <v>274</v>
      </c>
      <c r="F1172" t="s">
        <v>287</v>
      </c>
      <c r="G1172" s="7">
        <v>4</v>
      </c>
      <c r="H1172" s="3">
        <v>39930.81</v>
      </c>
      <c r="I1172" s="3">
        <v>159723.24</v>
      </c>
    </row>
    <row r="1173" spans="1:9" x14ac:dyDescent="0.3">
      <c r="A1173" s="5" t="s">
        <v>198</v>
      </c>
      <c r="B1173" t="s">
        <v>256</v>
      </c>
      <c r="C1173" t="s">
        <v>262</v>
      </c>
      <c r="D1173" t="s">
        <v>266</v>
      </c>
      <c r="E1173" t="s">
        <v>274</v>
      </c>
      <c r="F1173" t="s">
        <v>287</v>
      </c>
      <c r="G1173" s="7">
        <v>4</v>
      </c>
      <c r="H1173" s="3">
        <v>33369.42</v>
      </c>
      <c r="I1173" s="3">
        <v>133477.68</v>
      </c>
    </row>
    <row r="1174" spans="1:9" x14ac:dyDescent="0.3">
      <c r="A1174" s="5" t="s">
        <v>198</v>
      </c>
      <c r="B1174" t="s">
        <v>256</v>
      </c>
      <c r="C1174" t="s">
        <v>264</v>
      </c>
      <c r="D1174" t="s">
        <v>270</v>
      </c>
      <c r="E1174" t="s">
        <v>273</v>
      </c>
      <c r="F1174" t="s">
        <v>278</v>
      </c>
      <c r="G1174" s="7">
        <v>6</v>
      </c>
      <c r="H1174" s="3">
        <v>51858.080000000002</v>
      </c>
      <c r="I1174" s="3">
        <v>311148.48</v>
      </c>
    </row>
    <row r="1175" spans="1:9" x14ac:dyDescent="0.3">
      <c r="A1175" s="5" t="s">
        <v>199</v>
      </c>
      <c r="B1175" t="s">
        <v>253</v>
      </c>
      <c r="C1175" t="s">
        <v>261</v>
      </c>
      <c r="D1175" t="s">
        <v>267</v>
      </c>
      <c r="E1175" t="s">
        <v>273</v>
      </c>
      <c r="F1175" t="s">
        <v>288</v>
      </c>
      <c r="G1175" s="7">
        <v>5</v>
      </c>
      <c r="H1175" s="3">
        <v>46391.65</v>
      </c>
      <c r="I1175" s="3">
        <v>231958.25</v>
      </c>
    </row>
    <row r="1176" spans="1:9" x14ac:dyDescent="0.3">
      <c r="A1176" s="5" t="s">
        <v>199</v>
      </c>
      <c r="B1176" t="s">
        <v>260</v>
      </c>
      <c r="C1176" t="s">
        <v>262</v>
      </c>
      <c r="D1176" t="s">
        <v>268</v>
      </c>
      <c r="E1176" t="s">
        <v>271</v>
      </c>
      <c r="F1176" t="s">
        <v>282</v>
      </c>
      <c r="G1176" s="7">
        <v>6</v>
      </c>
      <c r="H1176" s="3">
        <v>7371.78</v>
      </c>
      <c r="I1176" s="3">
        <v>44230.68</v>
      </c>
    </row>
    <row r="1177" spans="1:9" x14ac:dyDescent="0.3">
      <c r="A1177" s="5" t="s">
        <v>199</v>
      </c>
      <c r="B1177" t="s">
        <v>253</v>
      </c>
      <c r="C1177" t="s">
        <v>261</v>
      </c>
      <c r="D1177" t="s">
        <v>270</v>
      </c>
      <c r="E1177" t="s">
        <v>272</v>
      </c>
      <c r="F1177" t="s">
        <v>286</v>
      </c>
      <c r="G1177" s="7">
        <v>7</v>
      </c>
      <c r="H1177" s="3">
        <v>27267.53</v>
      </c>
      <c r="I1177" s="3">
        <v>190872.71</v>
      </c>
    </row>
    <row r="1178" spans="1:9" x14ac:dyDescent="0.3">
      <c r="A1178" s="5" t="s">
        <v>199</v>
      </c>
      <c r="B1178" t="s">
        <v>253</v>
      </c>
      <c r="C1178" t="s">
        <v>263</v>
      </c>
      <c r="D1178" t="s">
        <v>268</v>
      </c>
      <c r="E1178" t="s">
        <v>274</v>
      </c>
      <c r="F1178" t="s">
        <v>289</v>
      </c>
      <c r="G1178" s="7">
        <v>7</v>
      </c>
      <c r="H1178" s="3">
        <v>31297.41</v>
      </c>
      <c r="I1178" s="3">
        <v>219081.87</v>
      </c>
    </row>
    <row r="1179" spans="1:9" x14ac:dyDescent="0.3">
      <c r="A1179" s="5" t="s">
        <v>199</v>
      </c>
      <c r="B1179" t="s">
        <v>257</v>
      </c>
      <c r="C1179" t="s">
        <v>265</v>
      </c>
      <c r="D1179" t="s">
        <v>270</v>
      </c>
      <c r="E1179" t="s">
        <v>271</v>
      </c>
      <c r="F1179" t="s">
        <v>285</v>
      </c>
      <c r="G1179" s="7">
        <v>9</v>
      </c>
      <c r="H1179" s="3">
        <v>10075.4</v>
      </c>
      <c r="I1179" s="3">
        <v>90678.6</v>
      </c>
    </row>
    <row r="1180" spans="1:9" x14ac:dyDescent="0.3">
      <c r="A1180" s="5" t="s">
        <v>199</v>
      </c>
      <c r="B1180" t="s">
        <v>253</v>
      </c>
      <c r="C1180" t="s">
        <v>264</v>
      </c>
      <c r="D1180" t="s">
        <v>270</v>
      </c>
      <c r="E1180" t="s">
        <v>273</v>
      </c>
      <c r="F1180" t="s">
        <v>283</v>
      </c>
      <c r="G1180" s="7">
        <v>8</v>
      </c>
      <c r="H1180" s="3">
        <v>50026.14</v>
      </c>
      <c r="I1180" s="3">
        <v>400209.12</v>
      </c>
    </row>
    <row r="1181" spans="1:9" x14ac:dyDescent="0.3">
      <c r="A1181" s="5" t="s">
        <v>200</v>
      </c>
      <c r="B1181" t="s">
        <v>256</v>
      </c>
      <c r="C1181" t="s">
        <v>261</v>
      </c>
      <c r="D1181" t="s">
        <v>269</v>
      </c>
      <c r="E1181" t="s">
        <v>273</v>
      </c>
      <c r="F1181" t="s">
        <v>283</v>
      </c>
      <c r="G1181" s="7">
        <v>6</v>
      </c>
      <c r="H1181" s="3">
        <v>43207.74</v>
      </c>
      <c r="I1181" s="3">
        <v>259246.44</v>
      </c>
    </row>
    <row r="1182" spans="1:9" x14ac:dyDescent="0.3">
      <c r="A1182" s="5" t="s">
        <v>200</v>
      </c>
      <c r="B1182" t="s">
        <v>259</v>
      </c>
      <c r="C1182" t="s">
        <v>262</v>
      </c>
      <c r="D1182" t="s">
        <v>267</v>
      </c>
      <c r="E1182" t="s">
        <v>272</v>
      </c>
      <c r="F1182" t="s">
        <v>290</v>
      </c>
      <c r="G1182" s="7">
        <v>6</v>
      </c>
      <c r="H1182" s="3">
        <v>34638.69</v>
      </c>
      <c r="I1182" s="3">
        <v>207832.14</v>
      </c>
    </row>
    <row r="1183" spans="1:9" x14ac:dyDescent="0.3">
      <c r="A1183" s="5" t="s">
        <v>200</v>
      </c>
      <c r="B1183" t="s">
        <v>257</v>
      </c>
      <c r="C1183" t="s">
        <v>261</v>
      </c>
      <c r="D1183" t="s">
        <v>267</v>
      </c>
      <c r="E1183" t="s">
        <v>272</v>
      </c>
      <c r="F1183" t="s">
        <v>290</v>
      </c>
      <c r="G1183" s="7">
        <v>5</v>
      </c>
      <c r="H1183" s="3">
        <v>27401.27</v>
      </c>
      <c r="I1183" s="3">
        <v>137006.35</v>
      </c>
    </row>
    <row r="1184" spans="1:9" x14ac:dyDescent="0.3">
      <c r="A1184" s="5" t="s">
        <v>200</v>
      </c>
      <c r="B1184" t="s">
        <v>257</v>
      </c>
      <c r="C1184" t="s">
        <v>262</v>
      </c>
      <c r="D1184" t="s">
        <v>270</v>
      </c>
      <c r="E1184" t="s">
        <v>272</v>
      </c>
      <c r="F1184" t="s">
        <v>276</v>
      </c>
      <c r="G1184" s="7">
        <v>1</v>
      </c>
      <c r="H1184" s="3">
        <v>34980.22</v>
      </c>
      <c r="I1184" s="3">
        <v>34980.22</v>
      </c>
    </row>
    <row r="1185" spans="1:9" x14ac:dyDescent="0.3">
      <c r="A1185" s="5" t="s">
        <v>200</v>
      </c>
      <c r="B1185" t="s">
        <v>254</v>
      </c>
      <c r="C1185" t="s">
        <v>261</v>
      </c>
      <c r="D1185" t="s">
        <v>266</v>
      </c>
      <c r="E1185" t="s">
        <v>271</v>
      </c>
      <c r="F1185" t="s">
        <v>275</v>
      </c>
      <c r="G1185" s="7">
        <v>9</v>
      </c>
      <c r="H1185" s="3">
        <v>10611.96</v>
      </c>
      <c r="I1185" s="3">
        <v>95507.64</v>
      </c>
    </row>
    <row r="1186" spans="1:9" x14ac:dyDescent="0.3">
      <c r="A1186" s="5" t="s">
        <v>200</v>
      </c>
      <c r="B1186" t="s">
        <v>257</v>
      </c>
      <c r="C1186" t="s">
        <v>262</v>
      </c>
      <c r="D1186" t="s">
        <v>266</v>
      </c>
      <c r="E1186" t="s">
        <v>273</v>
      </c>
      <c r="F1186" t="s">
        <v>279</v>
      </c>
      <c r="G1186" s="7">
        <v>9</v>
      </c>
      <c r="H1186" s="3">
        <v>41691.79</v>
      </c>
      <c r="I1186" s="3">
        <v>375226.11</v>
      </c>
    </row>
    <row r="1187" spans="1:9" x14ac:dyDescent="0.3">
      <c r="A1187" s="5" t="s">
        <v>201</v>
      </c>
      <c r="B1187" t="s">
        <v>254</v>
      </c>
      <c r="C1187" t="s">
        <v>263</v>
      </c>
      <c r="D1187" t="s">
        <v>268</v>
      </c>
      <c r="E1187" t="s">
        <v>273</v>
      </c>
      <c r="F1187" t="s">
        <v>288</v>
      </c>
      <c r="G1187" s="7">
        <v>9</v>
      </c>
      <c r="H1187" s="3">
        <v>43879.34</v>
      </c>
      <c r="I1187" s="3">
        <v>394914.06</v>
      </c>
    </row>
    <row r="1188" spans="1:9" x14ac:dyDescent="0.3">
      <c r="A1188" s="5" t="s">
        <v>201</v>
      </c>
      <c r="B1188" t="s">
        <v>257</v>
      </c>
      <c r="C1188" t="s">
        <v>262</v>
      </c>
      <c r="D1188" t="s">
        <v>268</v>
      </c>
      <c r="E1188" t="s">
        <v>272</v>
      </c>
      <c r="F1188" t="s">
        <v>276</v>
      </c>
      <c r="G1188" s="7">
        <v>8</v>
      </c>
      <c r="H1188" s="3">
        <v>29243.7</v>
      </c>
      <c r="I1188" s="3">
        <v>233949.6</v>
      </c>
    </row>
    <row r="1189" spans="1:9" x14ac:dyDescent="0.3">
      <c r="A1189" s="5" t="s">
        <v>201</v>
      </c>
      <c r="B1189" t="s">
        <v>260</v>
      </c>
      <c r="C1189" t="s">
        <v>262</v>
      </c>
      <c r="D1189" t="s">
        <v>269</v>
      </c>
      <c r="E1189" t="s">
        <v>274</v>
      </c>
      <c r="F1189" t="s">
        <v>280</v>
      </c>
      <c r="G1189" s="7">
        <v>3</v>
      </c>
      <c r="H1189" s="3">
        <v>35700.49</v>
      </c>
      <c r="I1189" s="3">
        <v>107101.47</v>
      </c>
    </row>
    <row r="1190" spans="1:9" x14ac:dyDescent="0.3">
      <c r="A1190" s="5" t="s">
        <v>201</v>
      </c>
      <c r="B1190" t="s">
        <v>256</v>
      </c>
      <c r="C1190" t="s">
        <v>265</v>
      </c>
      <c r="D1190" t="s">
        <v>270</v>
      </c>
      <c r="E1190" t="s">
        <v>272</v>
      </c>
      <c r="F1190" t="s">
        <v>286</v>
      </c>
      <c r="G1190" s="7">
        <v>1</v>
      </c>
      <c r="H1190" s="3">
        <v>29714.13</v>
      </c>
      <c r="I1190" s="3">
        <v>29714.13</v>
      </c>
    </row>
    <row r="1191" spans="1:9" x14ac:dyDescent="0.3">
      <c r="A1191" s="5" t="s">
        <v>201</v>
      </c>
      <c r="B1191" t="s">
        <v>257</v>
      </c>
      <c r="C1191" t="s">
        <v>262</v>
      </c>
      <c r="D1191" t="s">
        <v>268</v>
      </c>
      <c r="E1191" t="s">
        <v>271</v>
      </c>
      <c r="F1191" t="s">
        <v>275</v>
      </c>
      <c r="G1191" s="7">
        <v>8</v>
      </c>
      <c r="H1191" s="3">
        <v>10521.1</v>
      </c>
      <c r="I1191" s="3">
        <v>84168.8</v>
      </c>
    </row>
    <row r="1192" spans="1:9" x14ac:dyDescent="0.3">
      <c r="A1192" s="5" t="s">
        <v>201</v>
      </c>
      <c r="B1192" t="s">
        <v>256</v>
      </c>
      <c r="C1192" t="s">
        <v>265</v>
      </c>
      <c r="D1192" t="s">
        <v>268</v>
      </c>
      <c r="E1192" t="s">
        <v>272</v>
      </c>
      <c r="F1192" t="s">
        <v>286</v>
      </c>
      <c r="G1192" s="7">
        <v>7</v>
      </c>
      <c r="H1192" s="3">
        <v>31908.68</v>
      </c>
      <c r="I1192" s="3">
        <v>223360.76</v>
      </c>
    </row>
    <row r="1193" spans="1:9" x14ac:dyDescent="0.3">
      <c r="A1193" s="5" t="s">
        <v>202</v>
      </c>
      <c r="B1193" t="s">
        <v>256</v>
      </c>
      <c r="C1193" t="s">
        <v>264</v>
      </c>
      <c r="D1193" t="s">
        <v>270</v>
      </c>
      <c r="E1193" t="s">
        <v>272</v>
      </c>
      <c r="F1193" t="s">
        <v>277</v>
      </c>
      <c r="G1193" s="7">
        <v>5</v>
      </c>
      <c r="H1193" s="3">
        <v>26174.9</v>
      </c>
      <c r="I1193" s="3">
        <v>130874.5</v>
      </c>
    </row>
    <row r="1194" spans="1:9" x14ac:dyDescent="0.3">
      <c r="A1194" s="5" t="s">
        <v>202</v>
      </c>
      <c r="B1194" t="s">
        <v>255</v>
      </c>
      <c r="C1194" t="s">
        <v>265</v>
      </c>
      <c r="D1194" t="s">
        <v>269</v>
      </c>
      <c r="E1194" t="s">
        <v>271</v>
      </c>
      <c r="F1194" t="s">
        <v>275</v>
      </c>
      <c r="G1194" s="7">
        <v>7</v>
      </c>
      <c r="H1194" s="3">
        <v>7582.33</v>
      </c>
      <c r="I1194" s="3">
        <v>53076.31</v>
      </c>
    </row>
    <row r="1195" spans="1:9" x14ac:dyDescent="0.3">
      <c r="A1195" s="5" t="s">
        <v>202</v>
      </c>
      <c r="B1195" t="s">
        <v>257</v>
      </c>
      <c r="C1195" t="s">
        <v>263</v>
      </c>
      <c r="D1195" t="s">
        <v>268</v>
      </c>
      <c r="E1195" t="s">
        <v>272</v>
      </c>
      <c r="F1195" t="s">
        <v>277</v>
      </c>
      <c r="G1195" s="7">
        <v>4</v>
      </c>
      <c r="H1195" s="3">
        <v>31510.09</v>
      </c>
      <c r="I1195" s="3">
        <v>126040.36</v>
      </c>
    </row>
    <row r="1196" spans="1:9" x14ac:dyDescent="0.3">
      <c r="A1196" s="5" t="s">
        <v>202</v>
      </c>
      <c r="B1196" t="s">
        <v>258</v>
      </c>
      <c r="C1196" t="s">
        <v>265</v>
      </c>
      <c r="D1196" t="s">
        <v>269</v>
      </c>
      <c r="E1196" t="s">
        <v>273</v>
      </c>
      <c r="F1196" t="s">
        <v>283</v>
      </c>
      <c r="G1196" s="7">
        <v>9</v>
      </c>
      <c r="H1196" s="3">
        <v>41102.14</v>
      </c>
      <c r="I1196" s="3">
        <v>369919.26</v>
      </c>
    </row>
    <row r="1197" spans="1:9" x14ac:dyDescent="0.3">
      <c r="A1197" s="5" t="s">
        <v>202</v>
      </c>
      <c r="B1197" t="s">
        <v>255</v>
      </c>
      <c r="C1197" t="s">
        <v>264</v>
      </c>
      <c r="D1197" t="s">
        <v>267</v>
      </c>
      <c r="E1197" t="s">
        <v>274</v>
      </c>
      <c r="F1197" t="s">
        <v>280</v>
      </c>
      <c r="G1197" s="7">
        <v>2</v>
      </c>
      <c r="H1197" s="3">
        <v>37282.26</v>
      </c>
      <c r="I1197" s="3">
        <v>74564.52</v>
      </c>
    </row>
    <row r="1198" spans="1:9" x14ac:dyDescent="0.3">
      <c r="A1198" s="5" t="s">
        <v>202</v>
      </c>
      <c r="B1198" t="s">
        <v>258</v>
      </c>
      <c r="C1198" t="s">
        <v>263</v>
      </c>
      <c r="D1198" t="s">
        <v>269</v>
      </c>
      <c r="E1198" t="s">
        <v>272</v>
      </c>
      <c r="F1198" t="s">
        <v>276</v>
      </c>
      <c r="G1198" s="7">
        <v>9</v>
      </c>
      <c r="H1198" s="3">
        <v>27283.61</v>
      </c>
      <c r="I1198" s="3">
        <v>245552.49</v>
      </c>
    </row>
    <row r="1199" spans="1:9" x14ac:dyDescent="0.3">
      <c r="A1199" s="5" t="s">
        <v>203</v>
      </c>
      <c r="B1199" t="s">
        <v>256</v>
      </c>
      <c r="C1199" t="s">
        <v>261</v>
      </c>
      <c r="D1199" t="s">
        <v>266</v>
      </c>
      <c r="E1199" t="s">
        <v>271</v>
      </c>
      <c r="F1199" t="s">
        <v>285</v>
      </c>
      <c r="G1199" s="7">
        <v>9</v>
      </c>
      <c r="H1199" s="3">
        <v>8336.44</v>
      </c>
      <c r="I1199" s="3">
        <v>75027.960000000006</v>
      </c>
    </row>
    <row r="1200" spans="1:9" x14ac:dyDescent="0.3">
      <c r="A1200" s="5" t="s">
        <v>203</v>
      </c>
      <c r="B1200" t="s">
        <v>256</v>
      </c>
      <c r="C1200" t="s">
        <v>261</v>
      </c>
      <c r="D1200" t="s">
        <v>266</v>
      </c>
      <c r="E1200" t="s">
        <v>274</v>
      </c>
      <c r="F1200" t="s">
        <v>287</v>
      </c>
      <c r="G1200" s="7">
        <v>5</v>
      </c>
      <c r="H1200" s="3">
        <v>27338.22</v>
      </c>
      <c r="I1200" s="3">
        <v>136691.1</v>
      </c>
    </row>
    <row r="1201" spans="1:9" x14ac:dyDescent="0.3">
      <c r="A1201" s="5" t="s">
        <v>203</v>
      </c>
      <c r="B1201" t="s">
        <v>255</v>
      </c>
      <c r="C1201" t="s">
        <v>265</v>
      </c>
      <c r="D1201" t="s">
        <v>269</v>
      </c>
      <c r="E1201" t="s">
        <v>271</v>
      </c>
      <c r="F1201" t="s">
        <v>281</v>
      </c>
      <c r="G1201" s="7">
        <v>1</v>
      </c>
      <c r="H1201" s="3">
        <v>9608.44</v>
      </c>
      <c r="I1201" s="3">
        <v>9608.44</v>
      </c>
    </row>
    <row r="1202" spans="1:9" x14ac:dyDescent="0.3">
      <c r="A1202" s="5" t="s">
        <v>203</v>
      </c>
      <c r="B1202" t="s">
        <v>255</v>
      </c>
      <c r="C1202" t="s">
        <v>265</v>
      </c>
      <c r="D1202" t="s">
        <v>266</v>
      </c>
      <c r="E1202" t="s">
        <v>274</v>
      </c>
      <c r="F1202" t="s">
        <v>287</v>
      </c>
      <c r="G1202" s="7">
        <v>7</v>
      </c>
      <c r="H1202" s="3">
        <v>28649.85</v>
      </c>
      <c r="I1202" s="3">
        <v>200548.95</v>
      </c>
    </row>
    <row r="1203" spans="1:9" x14ac:dyDescent="0.3">
      <c r="A1203" s="5" t="s">
        <v>203</v>
      </c>
      <c r="B1203" t="s">
        <v>258</v>
      </c>
      <c r="C1203" t="s">
        <v>264</v>
      </c>
      <c r="D1203" t="s">
        <v>267</v>
      </c>
      <c r="E1203" t="s">
        <v>274</v>
      </c>
      <c r="F1203" t="s">
        <v>280</v>
      </c>
      <c r="G1203" s="7">
        <v>4</v>
      </c>
      <c r="H1203" s="3">
        <v>37092.870000000003</v>
      </c>
      <c r="I1203" s="3">
        <v>148371.48000000001</v>
      </c>
    </row>
    <row r="1204" spans="1:9" x14ac:dyDescent="0.3">
      <c r="A1204" s="5" t="s">
        <v>203</v>
      </c>
      <c r="B1204" t="s">
        <v>254</v>
      </c>
      <c r="C1204" t="s">
        <v>264</v>
      </c>
      <c r="D1204" t="s">
        <v>270</v>
      </c>
      <c r="E1204" t="s">
        <v>272</v>
      </c>
      <c r="F1204" t="s">
        <v>290</v>
      </c>
      <c r="G1204" s="7">
        <v>9</v>
      </c>
      <c r="H1204" s="3">
        <v>29308.92</v>
      </c>
      <c r="I1204" s="3">
        <v>263780.28000000003</v>
      </c>
    </row>
    <row r="1205" spans="1:9" x14ac:dyDescent="0.3">
      <c r="A1205" s="5" t="s">
        <v>204</v>
      </c>
      <c r="B1205" t="s">
        <v>258</v>
      </c>
      <c r="C1205" t="s">
        <v>262</v>
      </c>
      <c r="D1205" t="s">
        <v>266</v>
      </c>
      <c r="E1205" t="s">
        <v>273</v>
      </c>
      <c r="F1205" t="s">
        <v>288</v>
      </c>
      <c r="G1205" s="7">
        <v>6</v>
      </c>
      <c r="H1205" s="3">
        <v>52367.040000000001</v>
      </c>
      <c r="I1205" s="3">
        <v>314202.23999999999</v>
      </c>
    </row>
    <row r="1206" spans="1:9" x14ac:dyDescent="0.3">
      <c r="A1206" s="5" t="s">
        <v>204</v>
      </c>
      <c r="B1206" t="s">
        <v>255</v>
      </c>
      <c r="C1206" t="s">
        <v>264</v>
      </c>
      <c r="D1206" t="s">
        <v>266</v>
      </c>
      <c r="E1206" t="s">
        <v>272</v>
      </c>
      <c r="F1206" t="s">
        <v>290</v>
      </c>
      <c r="G1206" s="7">
        <v>3</v>
      </c>
      <c r="H1206" s="3">
        <v>30339.98</v>
      </c>
      <c r="I1206" s="3">
        <v>91019.94</v>
      </c>
    </row>
    <row r="1207" spans="1:9" x14ac:dyDescent="0.3">
      <c r="A1207" s="5" t="s">
        <v>204</v>
      </c>
      <c r="B1207" t="s">
        <v>259</v>
      </c>
      <c r="C1207" t="s">
        <v>262</v>
      </c>
      <c r="D1207" t="s">
        <v>269</v>
      </c>
      <c r="E1207" t="s">
        <v>271</v>
      </c>
      <c r="F1207" t="s">
        <v>285</v>
      </c>
      <c r="G1207" s="7">
        <v>6</v>
      </c>
      <c r="H1207" s="3">
        <v>7505.27</v>
      </c>
      <c r="I1207" s="3">
        <v>45031.62</v>
      </c>
    </row>
    <row r="1208" spans="1:9" x14ac:dyDescent="0.3">
      <c r="A1208" s="5" t="s">
        <v>204</v>
      </c>
      <c r="B1208" t="s">
        <v>255</v>
      </c>
      <c r="C1208" t="s">
        <v>263</v>
      </c>
      <c r="D1208" t="s">
        <v>267</v>
      </c>
      <c r="E1208" t="s">
        <v>271</v>
      </c>
      <c r="F1208" t="s">
        <v>282</v>
      </c>
      <c r="G1208" s="7">
        <v>6</v>
      </c>
      <c r="H1208" s="3">
        <v>9828.2199999999993</v>
      </c>
      <c r="I1208" s="3">
        <v>58969.32</v>
      </c>
    </row>
    <row r="1209" spans="1:9" x14ac:dyDescent="0.3">
      <c r="A1209" s="5" t="s">
        <v>204</v>
      </c>
      <c r="B1209" t="s">
        <v>259</v>
      </c>
      <c r="C1209" t="s">
        <v>265</v>
      </c>
      <c r="D1209" t="s">
        <v>270</v>
      </c>
      <c r="E1209" t="s">
        <v>274</v>
      </c>
      <c r="F1209" t="s">
        <v>287</v>
      </c>
      <c r="G1209" s="7">
        <v>5</v>
      </c>
      <c r="H1209" s="3">
        <v>28093.43</v>
      </c>
      <c r="I1209" s="3">
        <v>140467.15</v>
      </c>
    </row>
    <row r="1210" spans="1:9" x14ac:dyDescent="0.3">
      <c r="A1210" s="5" t="s">
        <v>204</v>
      </c>
      <c r="B1210" t="s">
        <v>260</v>
      </c>
      <c r="C1210" t="s">
        <v>263</v>
      </c>
      <c r="D1210" t="s">
        <v>269</v>
      </c>
      <c r="E1210" t="s">
        <v>274</v>
      </c>
      <c r="F1210" t="s">
        <v>289</v>
      </c>
      <c r="G1210" s="7">
        <v>2</v>
      </c>
      <c r="H1210" s="3">
        <v>33327.379999999997</v>
      </c>
      <c r="I1210" s="3">
        <v>66654.759999999995</v>
      </c>
    </row>
    <row r="1211" spans="1:9" x14ac:dyDescent="0.3">
      <c r="A1211" s="5" t="s">
        <v>204</v>
      </c>
      <c r="B1211" t="s">
        <v>255</v>
      </c>
      <c r="C1211" t="s">
        <v>264</v>
      </c>
      <c r="D1211" t="s">
        <v>269</v>
      </c>
      <c r="E1211" t="s">
        <v>273</v>
      </c>
      <c r="F1211" t="s">
        <v>279</v>
      </c>
      <c r="G1211" s="7">
        <v>2</v>
      </c>
      <c r="H1211" s="3">
        <v>41352.29</v>
      </c>
      <c r="I1211" s="3">
        <v>82704.58</v>
      </c>
    </row>
    <row r="1212" spans="1:9" x14ac:dyDescent="0.3">
      <c r="A1212" s="5" t="s">
        <v>205</v>
      </c>
      <c r="B1212" t="s">
        <v>260</v>
      </c>
      <c r="C1212" t="s">
        <v>263</v>
      </c>
      <c r="D1212" t="s">
        <v>267</v>
      </c>
      <c r="E1212" t="s">
        <v>272</v>
      </c>
      <c r="F1212" t="s">
        <v>276</v>
      </c>
      <c r="G1212" s="7">
        <v>7</v>
      </c>
      <c r="H1212" s="3">
        <v>32226.15</v>
      </c>
      <c r="I1212" s="3">
        <v>225583.05</v>
      </c>
    </row>
    <row r="1213" spans="1:9" x14ac:dyDescent="0.3">
      <c r="A1213" s="5" t="s">
        <v>205</v>
      </c>
      <c r="B1213" t="s">
        <v>254</v>
      </c>
      <c r="C1213" t="s">
        <v>263</v>
      </c>
      <c r="D1213" t="s">
        <v>270</v>
      </c>
      <c r="E1213" t="s">
        <v>271</v>
      </c>
      <c r="F1213" t="s">
        <v>281</v>
      </c>
      <c r="G1213" s="7">
        <v>2</v>
      </c>
      <c r="H1213" s="3">
        <v>10324.41</v>
      </c>
      <c r="I1213" s="3">
        <v>20648.82</v>
      </c>
    </row>
    <row r="1214" spans="1:9" x14ac:dyDescent="0.3">
      <c r="A1214" s="5" t="s">
        <v>205</v>
      </c>
      <c r="B1214" t="s">
        <v>258</v>
      </c>
      <c r="C1214" t="s">
        <v>263</v>
      </c>
      <c r="D1214" t="s">
        <v>267</v>
      </c>
      <c r="E1214" t="s">
        <v>274</v>
      </c>
      <c r="F1214" t="s">
        <v>280</v>
      </c>
      <c r="G1214" s="7">
        <v>6</v>
      </c>
      <c r="H1214" s="3">
        <v>34292.81</v>
      </c>
      <c r="I1214" s="3">
        <v>205756.86</v>
      </c>
    </row>
    <row r="1215" spans="1:9" x14ac:dyDescent="0.3">
      <c r="A1215" s="5" t="s">
        <v>205</v>
      </c>
      <c r="B1215" t="s">
        <v>259</v>
      </c>
      <c r="C1215" t="s">
        <v>264</v>
      </c>
      <c r="D1215" t="s">
        <v>270</v>
      </c>
      <c r="E1215" t="s">
        <v>273</v>
      </c>
      <c r="F1215" t="s">
        <v>288</v>
      </c>
      <c r="G1215" s="7">
        <v>5</v>
      </c>
      <c r="H1215" s="3">
        <v>47738.65</v>
      </c>
      <c r="I1215" s="3">
        <v>238693.25</v>
      </c>
    </row>
    <row r="1216" spans="1:9" x14ac:dyDescent="0.3">
      <c r="A1216" s="5" t="s">
        <v>205</v>
      </c>
      <c r="B1216" t="s">
        <v>258</v>
      </c>
      <c r="C1216" t="s">
        <v>263</v>
      </c>
      <c r="D1216" t="s">
        <v>267</v>
      </c>
      <c r="E1216" t="s">
        <v>271</v>
      </c>
      <c r="F1216" t="s">
        <v>285</v>
      </c>
      <c r="G1216" s="7">
        <v>4</v>
      </c>
      <c r="H1216" s="3">
        <v>9822.4699999999993</v>
      </c>
      <c r="I1216" s="3">
        <v>39289.879999999997</v>
      </c>
    </row>
    <row r="1217" spans="1:9" x14ac:dyDescent="0.3">
      <c r="A1217" s="5" t="s">
        <v>205</v>
      </c>
      <c r="B1217" t="s">
        <v>260</v>
      </c>
      <c r="C1217" t="s">
        <v>262</v>
      </c>
      <c r="D1217" t="s">
        <v>269</v>
      </c>
      <c r="E1217" t="s">
        <v>274</v>
      </c>
      <c r="F1217" t="s">
        <v>289</v>
      </c>
      <c r="G1217" s="7">
        <v>7</v>
      </c>
      <c r="H1217" s="3">
        <v>27265.01</v>
      </c>
      <c r="I1217" s="3">
        <v>190855.07</v>
      </c>
    </row>
    <row r="1218" spans="1:9" x14ac:dyDescent="0.3">
      <c r="A1218" s="5" t="s">
        <v>206</v>
      </c>
      <c r="B1218" t="s">
        <v>259</v>
      </c>
      <c r="C1218" t="s">
        <v>264</v>
      </c>
      <c r="D1218" t="s">
        <v>269</v>
      </c>
      <c r="E1218" t="s">
        <v>271</v>
      </c>
      <c r="F1218" t="s">
        <v>275</v>
      </c>
      <c r="G1218" s="7">
        <v>8</v>
      </c>
      <c r="H1218" s="3">
        <v>10345.379999999999</v>
      </c>
      <c r="I1218" s="3">
        <v>82763.039999999994</v>
      </c>
    </row>
    <row r="1219" spans="1:9" x14ac:dyDescent="0.3">
      <c r="A1219" s="5" t="s">
        <v>206</v>
      </c>
      <c r="B1219" t="s">
        <v>258</v>
      </c>
      <c r="C1219" t="s">
        <v>263</v>
      </c>
      <c r="D1219" t="s">
        <v>268</v>
      </c>
      <c r="E1219" t="s">
        <v>273</v>
      </c>
      <c r="F1219" t="s">
        <v>283</v>
      </c>
      <c r="G1219" s="7">
        <v>4</v>
      </c>
      <c r="H1219" s="3">
        <v>41804.080000000002</v>
      </c>
      <c r="I1219" s="3">
        <v>167216.32000000001</v>
      </c>
    </row>
    <row r="1220" spans="1:9" x14ac:dyDescent="0.3">
      <c r="A1220" s="5" t="s">
        <v>206</v>
      </c>
      <c r="B1220" t="s">
        <v>255</v>
      </c>
      <c r="C1220" t="s">
        <v>264</v>
      </c>
      <c r="D1220" t="s">
        <v>266</v>
      </c>
      <c r="E1220" t="s">
        <v>273</v>
      </c>
      <c r="F1220" t="s">
        <v>288</v>
      </c>
      <c r="G1220" s="7">
        <v>1</v>
      </c>
      <c r="H1220" s="3">
        <v>55964.14</v>
      </c>
      <c r="I1220" s="3">
        <v>55964.14</v>
      </c>
    </row>
    <row r="1221" spans="1:9" x14ac:dyDescent="0.3">
      <c r="A1221" s="5" t="s">
        <v>206</v>
      </c>
      <c r="B1221" t="s">
        <v>256</v>
      </c>
      <c r="C1221" t="s">
        <v>261</v>
      </c>
      <c r="D1221" t="s">
        <v>267</v>
      </c>
      <c r="E1221" t="s">
        <v>271</v>
      </c>
      <c r="F1221" t="s">
        <v>282</v>
      </c>
      <c r="G1221" s="7">
        <v>1</v>
      </c>
      <c r="H1221" s="3">
        <v>9728.26</v>
      </c>
      <c r="I1221" s="3">
        <v>9728.26</v>
      </c>
    </row>
    <row r="1222" spans="1:9" x14ac:dyDescent="0.3">
      <c r="A1222" s="5" t="s">
        <v>206</v>
      </c>
      <c r="B1222" t="s">
        <v>260</v>
      </c>
      <c r="C1222" t="s">
        <v>262</v>
      </c>
      <c r="D1222" t="s">
        <v>268</v>
      </c>
      <c r="E1222" t="s">
        <v>272</v>
      </c>
      <c r="F1222" t="s">
        <v>277</v>
      </c>
      <c r="G1222" s="7">
        <v>1</v>
      </c>
      <c r="H1222" s="3">
        <v>32471.61</v>
      </c>
      <c r="I1222" s="3">
        <v>32471.61</v>
      </c>
    </row>
    <row r="1223" spans="1:9" x14ac:dyDescent="0.3">
      <c r="A1223" s="5" t="s">
        <v>206</v>
      </c>
      <c r="B1223" t="s">
        <v>258</v>
      </c>
      <c r="C1223" t="s">
        <v>263</v>
      </c>
      <c r="D1223" t="s">
        <v>266</v>
      </c>
      <c r="E1223" t="s">
        <v>271</v>
      </c>
      <c r="F1223" t="s">
        <v>281</v>
      </c>
      <c r="G1223" s="7">
        <v>1</v>
      </c>
      <c r="H1223" s="3">
        <v>9456.09</v>
      </c>
      <c r="I1223" s="3">
        <v>9456.09</v>
      </c>
    </row>
    <row r="1224" spans="1:9" x14ac:dyDescent="0.3">
      <c r="A1224" s="5" t="s">
        <v>207</v>
      </c>
      <c r="B1224" t="s">
        <v>260</v>
      </c>
      <c r="C1224" t="s">
        <v>261</v>
      </c>
      <c r="D1224" t="s">
        <v>267</v>
      </c>
      <c r="E1224" t="s">
        <v>274</v>
      </c>
      <c r="F1224" t="s">
        <v>280</v>
      </c>
      <c r="G1224" s="7">
        <v>5</v>
      </c>
      <c r="H1224" s="3">
        <v>33237.29</v>
      </c>
      <c r="I1224" s="3">
        <v>166186.45000000001</v>
      </c>
    </row>
    <row r="1225" spans="1:9" x14ac:dyDescent="0.3">
      <c r="A1225" s="5" t="s">
        <v>207</v>
      </c>
      <c r="B1225" t="s">
        <v>253</v>
      </c>
      <c r="C1225" t="s">
        <v>261</v>
      </c>
      <c r="D1225" t="s">
        <v>270</v>
      </c>
      <c r="E1225" t="s">
        <v>272</v>
      </c>
      <c r="F1225" t="s">
        <v>276</v>
      </c>
      <c r="G1225" s="7">
        <v>4</v>
      </c>
      <c r="H1225" s="3">
        <v>30202.23</v>
      </c>
      <c r="I1225" s="3">
        <v>120808.92</v>
      </c>
    </row>
    <row r="1226" spans="1:9" x14ac:dyDescent="0.3">
      <c r="A1226" s="5" t="s">
        <v>207</v>
      </c>
      <c r="B1226" t="s">
        <v>260</v>
      </c>
      <c r="C1226" t="s">
        <v>264</v>
      </c>
      <c r="D1226" t="s">
        <v>266</v>
      </c>
      <c r="E1226" t="s">
        <v>274</v>
      </c>
      <c r="F1226" t="s">
        <v>280</v>
      </c>
      <c r="G1226" s="7">
        <v>9</v>
      </c>
      <c r="H1226" s="3">
        <v>27793.96</v>
      </c>
      <c r="I1226" s="3">
        <v>250145.64</v>
      </c>
    </row>
    <row r="1227" spans="1:9" x14ac:dyDescent="0.3">
      <c r="A1227" s="5" t="s">
        <v>207</v>
      </c>
      <c r="B1227" t="s">
        <v>259</v>
      </c>
      <c r="C1227" t="s">
        <v>261</v>
      </c>
      <c r="D1227" t="s">
        <v>269</v>
      </c>
      <c r="E1227" t="s">
        <v>271</v>
      </c>
      <c r="F1227" t="s">
        <v>285</v>
      </c>
      <c r="G1227" s="7">
        <v>3</v>
      </c>
      <c r="H1227" s="3">
        <v>9346.4599999999991</v>
      </c>
      <c r="I1227" s="3">
        <v>28039.38</v>
      </c>
    </row>
    <row r="1228" spans="1:9" x14ac:dyDescent="0.3">
      <c r="A1228" s="5" t="s">
        <v>207</v>
      </c>
      <c r="B1228" t="s">
        <v>253</v>
      </c>
      <c r="C1228" t="s">
        <v>262</v>
      </c>
      <c r="D1228" t="s">
        <v>268</v>
      </c>
      <c r="E1228" t="s">
        <v>272</v>
      </c>
      <c r="F1228" t="s">
        <v>286</v>
      </c>
      <c r="G1228" s="7">
        <v>7</v>
      </c>
      <c r="H1228" s="3">
        <v>30812.3</v>
      </c>
      <c r="I1228" s="3">
        <v>215686.1</v>
      </c>
    </row>
    <row r="1229" spans="1:9" x14ac:dyDescent="0.3">
      <c r="A1229" s="5" t="s">
        <v>207</v>
      </c>
      <c r="B1229" t="s">
        <v>257</v>
      </c>
      <c r="C1229" t="s">
        <v>262</v>
      </c>
      <c r="D1229" t="s">
        <v>266</v>
      </c>
      <c r="E1229" t="s">
        <v>274</v>
      </c>
      <c r="F1229" t="s">
        <v>280</v>
      </c>
      <c r="G1229" s="7">
        <v>8</v>
      </c>
      <c r="H1229" s="3">
        <v>38607.370000000003</v>
      </c>
      <c r="I1229" s="3">
        <v>308858.96000000002</v>
      </c>
    </row>
    <row r="1230" spans="1:9" x14ac:dyDescent="0.3">
      <c r="A1230" s="5" t="s">
        <v>208</v>
      </c>
      <c r="B1230" t="s">
        <v>259</v>
      </c>
      <c r="C1230" t="s">
        <v>265</v>
      </c>
      <c r="D1230" t="s">
        <v>266</v>
      </c>
      <c r="E1230" t="s">
        <v>271</v>
      </c>
      <c r="F1230" t="s">
        <v>281</v>
      </c>
      <c r="G1230" s="7">
        <v>6</v>
      </c>
      <c r="H1230" s="3">
        <v>8944.23</v>
      </c>
      <c r="I1230" s="3">
        <v>53665.38</v>
      </c>
    </row>
    <row r="1231" spans="1:9" x14ac:dyDescent="0.3">
      <c r="A1231" s="5" t="s">
        <v>208</v>
      </c>
      <c r="B1231" t="s">
        <v>256</v>
      </c>
      <c r="C1231" t="s">
        <v>262</v>
      </c>
      <c r="D1231" t="s">
        <v>269</v>
      </c>
      <c r="E1231" t="s">
        <v>271</v>
      </c>
      <c r="F1231" t="s">
        <v>275</v>
      </c>
      <c r="G1231" s="7">
        <v>1</v>
      </c>
      <c r="H1231" s="3">
        <v>7487.29</v>
      </c>
      <c r="I1231" s="3">
        <v>7487.29</v>
      </c>
    </row>
    <row r="1232" spans="1:9" x14ac:dyDescent="0.3">
      <c r="A1232" s="5" t="s">
        <v>208</v>
      </c>
      <c r="B1232" t="s">
        <v>253</v>
      </c>
      <c r="C1232" t="s">
        <v>261</v>
      </c>
      <c r="D1232" t="s">
        <v>267</v>
      </c>
      <c r="E1232" t="s">
        <v>272</v>
      </c>
      <c r="F1232" t="s">
        <v>276</v>
      </c>
      <c r="G1232" s="7">
        <v>8</v>
      </c>
      <c r="H1232" s="3">
        <v>27229.39</v>
      </c>
      <c r="I1232" s="3">
        <v>217835.12</v>
      </c>
    </row>
    <row r="1233" spans="1:9" x14ac:dyDescent="0.3">
      <c r="A1233" s="5" t="s">
        <v>208</v>
      </c>
      <c r="B1233" t="s">
        <v>257</v>
      </c>
      <c r="C1233" t="s">
        <v>262</v>
      </c>
      <c r="D1233" t="s">
        <v>270</v>
      </c>
      <c r="E1233" t="s">
        <v>271</v>
      </c>
      <c r="F1233" t="s">
        <v>282</v>
      </c>
      <c r="G1233" s="7">
        <v>3</v>
      </c>
      <c r="H1233" s="3">
        <v>9454.14</v>
      </c>
      <c r="I1233" s="3">
        <v>28362.42</v>
      </c>
    </row>
    <row r="1234" spans="1:9" x14ac:dyDescent="0.3">
      <c r="A1234" s="5" t="s">
        <v>208</v>
      </c>
      <c r="B1234" t="s">
        <v>255</v>
      </c>
      <c r="C1234" t="s">
        <v>264</v>
      </c>
      <c r="D1234" t="s">
        <v>269</v>
      </c>
      <c r="E1234" t="s">
        <v>273</v>
      </c>
      <c r="F1234" t="s">
        <v>278</v>
      </c>
      <c r="G1234" s="7">
        <v>8</v>
      </c>
      <c r="H1234" s="3">
        <v>42556.66</v>
      </c>
      <c r="I1234" s="3">
        <v>340453.28</v>
      </c>
    </row>
    <row r="1235" spans="1:9" x14ac:dyDescent="0.3">
      <c r="A1235" s="5" t="s">
        <v>208</v>
      </c>
      <c r="B1235" t="s">
        <v>260</v>
      </c>
      <c r="C1235" t="s">
        <v>265</v>
      </c>
      <c r="D1235" t="s">
        <v>270</v>
      </c>
      <c r="E1235" t="s">
        <v>274</v>
      </c>
      <c r="F1235" t="s">
        <v>289</v>
      </c>
      <c r="G1235" s="7">
        <v>4</v>
      </c>
      <c r="H1235" s="3">
        <v>30790.76</v>
      </c>
      <c r="I1235" s="3">
        <v>123163.04</v>
      </c>
    </row>
    <row r="1236" spans="1:9" x14ac:dyDescent="0.3">
      <c r="A1236" s="5" t="s">
        <v>209</v>
      </c>
      <c r="B1236" t="s">
        <v>258</v>
      </c>
      <c r="C1236" t="s">
        <v>261</v>
      </c>
      <c r="D1236" t="s">
        <v>267</v>
      </c>
      <c r="E1236" t="s">
        <v>274</v>
      </c>
      <c r="F1236" t="s">
        <v>280</v>
      </c>
      <c r="G1236" s="7">
        <v>8</v>
      </c>
      <c r="H1236" s="3">
        <v>37702</v>
      </c>
      <c r="I1236" s="3">
        <v>301616</v>
      </c>
    </row>
    <row r="1237" spans="1:9" x14ac:dyDescent="0.3">
      <c r="A1237" s="5" t="s">
        <v>209</v>
      </c>
      <c r="B1237" t="s">
        <v>254</v>
      </c>
      <c r="C1237" t="s">
        <v>265</v>
      </c>
      <c r="D1237" t="s">
        <v>266</v>
      </c>
      <c r="E1237" t="s">
        <v>271</v>
      </c>
      <c r="F1237" t="s">
        <v>285</v>
      </c>
      <c r="G1237" s="7">
        <v>1</v>
      </c>
      <c r="H1237" s="3">
        <v>9211.69</v>
      </c>
      <c r="I1237" s="3">
        <v>9211.69</v>
      </c>
    </row>
    <row r="1238" spans="1:9" x14ac:dyDescent="0.3">
      <c r="A1238" s="5" t="s">
        <v>209</v>
      </c>
      <c r="B1238" t="s">
        <v>260</v>
      </c>
      <c r="C1238" t="s">
        <v>261</v>
      </c>
      <c r="D1238" t="s">
        <v>270</v>
      </c>
      <c r="E1238" t="s">
        <v>271</v>
      </c>
      <c r="F1238" t="s">
        <v>285</v>
      </c>
      <c r="G1238" s="7">
        <v>3</v>
      </c>
      <c r="H1238" s="3">
        <v>8953.99</v>
      </c>
      <c r="I1238" s="3">
        <v>26861.97</v>
      </c>
    </row>
    <row r="1239" spans="1:9" x14ac:dyDescent="0.3">
      <c r="A1239" s="5" t="s">
        <v>209</v>
      </c>
      <c r="B1239" t="s">
        <v>257</v>
      </c>
      <c r="C1239" t="s">
        <v>264</v>
      </c>
      <c r="D1239" t="s">
        <v>268</v>
      </c>
      <c r="E1239" t="s">
        <v>273</v>
      </c>
      <c r="F1239" t="s">
        <v>278</v>
      </c>
      <c r="G1239" s="7">
        <v>6</v>
      </c>
      <c r="H1239" s="3">
        <v>43982.14</v>
      </c>
      <c r="I1239" s="3">
        <v>263892.84000000003</v>
      </c>
    </row>
    <row r="1240" spans="1:9" x14ac:dyDescent="0.3">
      <c r="A1240" s="5" t="s">
        <v>209</v>
      </c>
      <c r="B1240" t="s">
        <v>260</v>
      </c>
      <c r="C1240" t="s">
        <v>265</v>
      </c>
      <c r="D1240" t="s">
        <v>268</v>
      </c>
      <c r="E1240" t="s">
        <v>272</v>
      </c>
      <c r="F1240" t="s">
        <v>290</v>
      </c>
      <c r="G1240" s="7">
        <v>9</v>
      </c>
      <c r="H1240" s="3">
        <v>31986.39</v>
      </c>
      <c r="I1240" s="3">
        <v>287877.51</v>
      </c>
    </row>
    <row r="1241" spans="1:9" x14ac:dyDescent="0.3">
      <c r="A1241" s="5" t="s">
        <v>209</v>
      </c>
      <c r="B1241" t="s">
        <v>256</v>
      </c>
      <c r="C1241" t="s">
        <v>263</v>
      </c>
      <c r="D1241" t="s">
        <v>269</v>
      </c>
      <c r="E1241" t="s">
        <v>271</v>
      </c>
      <c r="F1241" t="s">
        <v>282</v>
      </c>
      <c r="G1241" s="7">
        <v>2</v>
      </c>
      <c r="H1241" s="3">
        <v>8203.24</v>
      </c>
      <c r="I1241" s="3">
        <v>16406.48</v>
      </c>
    </row>
    <row r="1242" spans="1:9" x14ac:dyDescent="0.3">
      <c r="A1242" s="5" t="s">
        <v>210</v>
      </c>
      <c r="B1242" t="s">
        <v>255</v>
      </c>
      <c r="C1242" t="s">
        <v>261</v>
      </c>
      <c r="D1242" t="s">
        <v>267</v>
      </c>
      <c r="E1242" t="s">
        <v>271</v>
      </c>
      <c r="F1242" t="s">
        <v>275</v>
      </c>
      <c r="G1242" s="7">
        <v>1</v>
      </c>
      <c r="H1242" s="3">
        <v>9731.02</v>
      </c>
      <c r="I1242" s="3">
        <v>9731.02</v>
      </c>
    </row>
    <row r="1243" spans="1:9" x14ac:dyDescent="0.3">
      <c r="A1243" s="5" t="s">
        <v>210</v>
      </c>
      <c r="B1243" t="s">
        <v>254</v>
      </c>
      <c r="C1243" t="s">
        <v>263</v>
      </c>
      <c r="D1243" t="s">
        <v>269</v>
      </c>
      <c r="E1243" t="s">
        <v>271</v>
      </c>
      <c r="F1243" t="s">
        <v>275</v>
      </c>
      <c r="G1243" s="7">
        <v>3</v>
      </c>
      <c r="H1243" s="3">
        <v>7463.35</v>
      </c>
      <c r="I1243" s="3">
        <v>22390.05</v>
      </c>
    </row>
    <row r="1244" spans="1:9" x14ac:dyDescent="0.3">
      <c r="A1244" s="5" t="s">
        <v>210</v>
      </c>
      <c r="B1244" t="s">
        <v>253</v>
      </c>
      <c r="C1244" t="s">
        <v>265</v>
      </c>
      <c r="D1244" t="s">
        <v>269</v>
      </c>
      <c r="E1244" t="s">
        <v>271</v>
      </c>
      <c r="F1244" t="s">
        <v>281</v>
      </c>
      <c r="G1244" s="7">
        <v>4</v>
      </c>
      <c r="H1244" s="3">
        <v>10164.44</v>
      </c>
      <c r="I1244" s="3">
        <v>40657.760000000002</v>
      </c>
    </row>
    <row r="1245" spans="1:9" x14ac:dyDescent="0.3">
      <c r="A1245" s="5" t="s">
        <v>210</v>
      </c>
      <c r="B1245" t="s">
        <v>253</v>
      </c>
      <c r="C1245" t="s">
        <v>263</v>
      </c>
      <c r="D1245" t="s">
        <v>269</v>
      </c>
      <c r="E1245" t="s">
        <v>274</v>
      </c>
      <c r="F1245" t="s">
        <v>287</v>
      </c>
      <c r="G1245" s="7">
        <v>5</v>
      </c>
      <c r="H1245" s="3">
        <v>33594.449999999997</v>
      </c>
      <c r="I1245" s="3">
        <v>167972.25</v>
      </c>
    </row>
    <row r="1246" spans="1:9" x14ac:dyDescent="0.3">
      <c r="A1246" s="5" t="s">
        <v>210</v>
      </c>
      <c r="B1246" t="s">
        <v>253</v>
      </c>
      <c r="C1246" t="s">
        <v>263</v>
      </c>
      <c r="D1246" t="s">
        <v>268</v>
      </c>
      <c r="E1246" t="s">
        <v>271</v>
      </c>
      <c r="F1246" t="s">
        <v>275</v>
      </c>
      <c r="G1246" s="7">
        <v>3</v>
      </c>
      <c r="H1246" s="3">
        <v>8715.93</v>
      </c>
      <c r="I1246" s="3">
        <v>26147.79</v>
      </c>
    </row>
    <row r="1247" spans="1:9" x14ac:dyDescent="0.3">
      <c r="A1247" s="5" t="s">
        <v>210</v>
      </c>
      <c r="B1247" t="s">
        <v>257</v>
      </c>
      <c r="C1247" t="s">
        <v>265</v>
      </c>
      <c r="D1247" t="s">
        <v>268</v>
      </c>
      <c r="E1247" t="s">
        <v>274</v>
      </c>
      <c r="F1247" t="s">
        <v>287</v>
      </c>
      <c r="G1247" s="7">
        <v>2</v>
      </c>
      <c r="H1247" s="3">
        <v>35021.1</v>
      </c>
      <c r="I1247" s="3">
        <v>70042.2</v>
      </c>
    </row>
    <row r="1248" spans="1:9" x14ac:dyDescent="0.3">
      <c r="A1248" s="5" t="s">
        <v>210</v>
      </c>
      <c r="B1248" t="s">
        <v>259</v>
      </c>
      <c r="C1248" t="s">
        <v>264</v>
      </c>
      <c r="D1248" t="s">
        <v>269</v>
      </c>
      <c r="E1248" t="s">
        <v>271</v>
      </c>
      <c r="F1248" t="s">
        <v>275</v>
      </c>
      <c r="G1248" s="7">
        <v>2</v>
      </c>
      <c r="H1248" s="3">
        <v>9347.25</v>
      </c>
      <c r="I1248" s="3">
        <v>18694.5</v>
      </c>
    </row>
    <row r="1249" spans="1:9" x14ac:dyDescent="0.3">
      <c r="A1249" s="5" t="s">
        <v>211</v>
      </c>
      <c r="B1249" t="s">
        <v>259</v>
      </c>
      <c r="C1249" t="s">
        <v>263</v>
      </c>
      <c r="D1249" t="s">
        <v>268</v>
      </c>
      <c r="E1249" t="s">
        <v>272</v>
      </c>
      <c r="F1249" t="s">
        <v>277</v>
      </c>
      <c r="G1249" s="7">
        <v>7</v>
      </c>
      <c r="H1249" s="3">
        <v>25278.79</v>
      </c>
      <c r="I1249" s="3">
        <v>176951.53</v>
      </c>
    </row>
    <row r="1250" spans="1:9" x14ac:dyDescent="0.3">
      <c r="A1250" s="5" t="s">
        <v>211</v>
      </c>
      <c r="B1250" t="s">
        <v>258</v>
      </c>
      <c r="C1250" t="s">
        <v>263</v>
      </c>
      <c r="D1250" t="s">
        <v>267</v>
      </c>
      <c r="E1250" t="s">
        <v>273</v>
      </c>
      <c r="F1250" t="s">
        <v>288</v>
      </c>
      <c r="G1250" s="7">
        <v>9</v>
      </c>
      <c r="H1250" s="3">
        <v>51862.2</v>
      </c>
      <c r="I1250" s="3">
        <v>466759.8</v>
      </c>
    </row>
    <row r="1251" spans="1:9" x14ac:dyDescent="0.3">
      <c r="A1251" s="5" t="s">
        <v>211</v>
      </c>
      <c r="B1251" t="s">
        <v>254</v>
      </c>
      <c r="C1251" t="s">
        <v>264</v>
      </c>
      <c r="D1251" t="s">
        <v>269</v>
      </c>
      <c r="E1251" t="s">
        <v>272</v>
      </c>
      <c r="F1251" t="s">
        <v>290</v>
      </c>
      <c r="G1251" s="7">
        <v>2</v>
      </c>
      <c r="H1251" s="3">
        <v>26890.400000000001</v>
      </c>
      <c r="I1251" s="3">
        <v>53780.800000000003</v>
      </c>
    </row>
    <row r="1252" spans="1:9" x14ac:dyDescent="0.3">
      <c r="A1252" s="5" t="s">
        <v>211</v>
      </c>
      <c r="B1252" t="s">
        <v>253</v>
      </c>
      <c r="C1252" t="s">
        <v>263</v>
      </c>
      <c r="D1252" t="s">
        <v>268</v>
      </c>
      <c r="E1252" t="s">
        <v>271</v>
      </c>
      <c r="F1252" t="s">
        <v>275</v>
      </c>
      <c r="G1252" s="7">
        <v>7</v>
      </c>
      <c r="H1252" s="3">
        <v>10301.870000000001</v>
      </c>
      <c r="I1252" s="3">
        <v>72113.09</v>
      </c>
    </row>
    <row r="1253" spans="1:9" x14ac:dyDescent="0.3">
      <c r="A1253" s="5" t="s">
        <v>211</v>
      </c>
      <c r="B1253" t="s">
        <v>259</v>
      </c>
      <c r="C1253" t="s">
        <v>263</v>
      </c>
      <c r="D1253" t="s">
        <v>270</v>
      </c>
      <c r="E1253" t="s">
        <v>271</v>
      </c>
      <c r="F1253" t="s">
        <v>282</v>
      </c>
      <c r="G1253" s="7">
        <v>7</v>
      </c>
      <c r="H1253" s="3">
        <v>10005.69</v>
      </c>
      <c r="I1253" s="3">
        <v>70039.83</v>
      </c>
    </row>
    <row r="1254" spans="1:9" x14ac:dyDescent="0.3">
      <c r="A1254" s="5" t="s">
        <v>211</v>
      </c>
      <c r="B1254" t="s">
        <v>257</v>
      </c>
      <c r="C1254" t="s">
        <v>263</v>
      </c>
      <c r="D1254" t="s">
        <v>269</v>
      </c>
      <c r="E1254" t="s">
        <v>271</v>
      </c>
      <c r="F1254" t="s">
        <v>275</v>
      </c>
      <c r="G1254" s="7">
        <v>7</v>
      </c>
      <c r="H1254" s="3">
        <v>8402.2999999999993</v>
      </c>
      <c r="I1254" s="3">
        <v>58816.1</v>
      </c>
    </row>
    <row r="1255" spans="1:9" x14ac:dyDescent="0.3">
      <c r="A1255" s="5" t="s">
        <v>212</v>
      </c>
      <c r="B1255" t="s">
        <v>258</v>
      </c>
      <c r="C1255" t="s">
        <v>262</v>
      </c>
      <c r="D1255" t="s">
        <v>269</v>
      </c>
      <c r="E1255" t="s">
        <v>272</v>
      </c>
      <c r="F1255" t="s">
        <v>276</v>
      </c>
      <c r="G1255" s="7">
        <v>3</v>
      </c>
      <c r="H1255" s="3">
        <v>32846.68</v>
      </c>
      <c r="I1255" s="3">
        <v>98540.04</v>
      </c>
    </row>
    <row r="1256" spans="1:9" x14ac:dyDescent="0.3">
      <c r="A1256" s="5" t="s">
        <v>212</v>
      </c>
      <c r="B1256" t="s">
        <v>255</v>
      </c>
      <c r="C1256" t="s">
        <v>264</v>
      </c>
      <c r="D1256" t="s">
        <v>267</v>
      </c>
      <c r="E1256" t="s">
        <v>271</v>
      </c>
      <c r="F1256" t="s">
        <v>285</v>
      </c>
      <c r="G1256" s="7">
        <v>7</v>
      </c>
      <c r="H1256" s="3">
        <v>8436.73</v>
      </c>
      <c r="I1256" s="3">
        <v>59057.11</v>
      </c>
    </row>
    <row r="1257" spans="1:9" x14ac:dyDescent="0.3">
      <c r="A1257" s="5" t="s">
        <v>212</v>
      </c>
      <c r="B1257" t="s">
        <v>258</v>
      </c>
      <c r="C1257" t="s">
        <v>263</v>
      </c>
      <c r="D1257" t="s">
        <v>266</v>
      </c>
      <c r="E1257" t="s">
        <v>272</v>
      </c>
      <c r="F1257" t="s">
        <v>290</v>
      </c>
      <c r="G1257" s="7">
        <v>1</v>
      </c>
      <c r="H1257" s="3">
        <v>24930.61</v>
      </c>
      <c r="I1257" s="3">
        <v>24930.61</v>
      </c>
    </row>
    <row r="1258" spans="1:9" x14ac:dyDescent="0.3">
      <c r="A1258" s="5" t="s">
        <v>212</v>
      </c>
      <c r="B1258" t="s">
        <v>259</v>
      </c>
      <c r="C1258" t="s">
        <v>264</v>
      </c>
      <c r="D1258" t="s">
        <v>266</v>
      </c>
      <c r="E1258" t="s">
        <v>274</v>
      </c>
      <c r="F1258" t="s">
        <v>284</v>
      </c>
      <c r="G1258" s="7">
        <v>1</v>
      </c>
      <c r="H1258" s="3">
        <v>39512.17</v>
      </c>
      <c r="I1258" s="3">
        <v>39512.17</v>
      </c>
    </row>
    <row r="1259" spans="1:9" x14ac:dyDescent="0.3">
      <c r="A1259" s="5" t="s">
        <v>212</v>
      </c>
      <c r="B1259" t="s">
        <v>256</v>
      </c>
      <c r="C1259" t="s">
        <v>261</v>
      </c>
      <c r="D1259" t="s">
        <v>267</v>
      </c>
      <c r="E1259" t="s">
        <v>273</v>
      </c>
      <c r="F1259" t="s">
        <v>279</v>
      </c>
      <c r="G1259" s="7">
        <v>5</v>
      </c>
      <c r="H1259" s="3">
        <v>49996.84</v>
      </c>
      <c r="I1259" s="3">
        <v>249984.2</v>
      </c>
    </row>
    <row r="1260" spans="1:9" x14ac:dyDescent="0.3">
      <c r="A1260" s="5" t="s">
        <v>212</v>
      </c>
      <c r="B1260" t="s">
        <v>257</v>
      </c>
      <c r="C1260" t="s">
        <v>261</v>
      </c>
      <c r="D1260" t="s">
        <v>267</v>
      </c>
      <c r="E1260" t="s">
        <v>273</v>
      </c>
      <c r="F1260" t="s">
        <v>279</v>
      </c>
      <c r="G1260" s="7">
        <v>2</v>
      </c>
      <c r="H1260" s="3">
        <v>46459.79</v>
      </c>
      <c r="I1260" s="3">
        <v>92919.58</v>
      </c>
    </row>
    <row r="1261" spans="1:9" x14ac:dyDescent="0.3">
      <c r="A1261" s="5" t="s">
        <v>213</v>
      </c>
      <c r="B1261" t="s">
        <v>256</v>
      </c>
      <c r="C1261" t="s">
        <v>263</v>
      </c>
      <c r="D1261" t="s">
        <v>267</v>
      </c>
      <c r="E1261" t="s">
        <v>272</v>
      </c>
      <c r="F1261" t="s">
        <v>276</v>
      </c>
      <c r="G1261" s="7">
        <v>9</v>
      </c>
      <c r="H1261" s="3">
        <v>28255.06</v>
      </c>
      <c r="I1261" s="3">
        <v>254295.54</v>
      </c>
    </row>
    <row r="1262" spans="1:9" x14ac:dyDescent="0.3">
      <c r="A1262" s="5" t="s">
        <v>213</v>
      </c>
      <c r="B1262" t="s">
        <v>253</v>
      </c>
      <c r="C1262" t="s">
        <v>264</v>
      </c>
      <c r="D1262" t="s">
        <v>266</v>
      </c>
      <c r="E1262" t="s">
        <v>274</v>
      </c>
      <c r="F1262" t="s">
        <v>284</v>
      </c>
      <c r="G1262" s="7">
        <v>7</v>
      </c>
      <c r="H1262" s="3">
        <v>31356.23</v>
      </c>
      <c r="I1262" s="3">
        <v>219493.61</v>
      </c>
    </row>
    <row r="1263" spans="1:9" x14ac:dyDescent="0.3">
      <c r="A1263" s="5" t="s">
        <v>213</v>
      </c>
      <c r="B1263" t="s">
        <v>256</v>
      </c>
      <c r="C1263" t="s">
        <v>264</v>
      </c>
      <c r="D1263" t="s">
        <v>267</v>
      </c>
      <c r="E1263" t="s">
        <v>272</v>
      </c>
      <c r="F1263" t="s">
        <v>277</v>
      </c>
      <c r="G1263" s="7">
        <v>4</v>
      </c>
      <c r="H1263" s="3">
        <v>34792.21</v>
      </c>
      <c r="I1263" s="3">
        <v>139168.84</v>
      </c>
    </row>
    <row r="1264" spans="1:9" x14ac:dyDescent="0.3">
      <c r="A1264" s="5" t="s">
        <v>213</v>
      </c>
      <c r="B1264" t="s">
        <v>253</v>
      </c>
      <c r="C1264" t="s">
        <v>264</v>
      </c>
      <c r="D1264" t="s">
        <v>268</v>
      </c>
      <c r="E1264" t="s">
        <v>274</v>
      </c>
      <c r="F1264" t="s">
        <v>289</v>
      </c>
      <c r="G1264" s="7">
        <v>4</v>
      </c>
      <c r="H1264" s="3">
        <v>28924.76</v>
      </c>
      <c r="I1264" s="3">
        <v>115699.04</v>
      </c>
    </row>
    <row r="1265" spans="1:9" x14ac:dyDescent="0.3">
      <c r="A1265" s="5" t="s">
        <v>213</v>
      </c>
      <c r="B1265" t="s">
        <v>253</v>
      </c>
      <c r="C1265" t="s">
        <v>262</v>
      </c>
      <c r="D1265" t="s">
        <v>269</v>
      </c>
      <c r="E1265" t="s">
        <v>271</v>
      </c>
      <c r="F1265" t="s">
        <v>281</v>
      </c>
      <c r="G1265" s="7">
        <v>2</v>
      </c>
      <c r="H1265" s="3">
        <v>8295.34</v>
      </c>
      <c r="I1265" s="3">
        <v>16590.68</v>
      </c>
    </row>
    <row r="1266" spans="1:9" x14ac:dyDescent="0.3">
      <c r="A1266" s="5" t="s">
        <v>213</v>
      </c>
      <c r="B1266" t="s">
        <v>259</v>
      </c>
      <c r="C1266" t="s">
        <v>261</v>
      </c>
      <c r="D1266" t="s">
        <v>269</v>
      </c>
      <c r="E1266" t="s">
        <v>274</v>
      </c>
      <c r="F1266" t="s">
        <v>287</v>
      </c>
      <c r="G1266" s="7">
        <v>5</v>
      </c>
      <c r="H1266" s="3">
        <v>33414.370000000003</v>
      </c>
      <c r="I1266" s="3">
        <v>167071.85</v>
      </c>
    </row>
    <row r="1267" spans="1:9" x14ac:dyDescent="0.3">
      <c r="A1267" s="5" t="s">
        <v>214</v>
      </c>
      <c r="B1267" t="s">
        <v>256</v>
      </c>
      <c r="C1267" t="s">
        <v>264</v>
      </c>
      <c r="D1267" t="s">
        <v>270</v>
      </c>
      <c r="E1267" t="s">
        <v>274</v>
      </c>
      <c r="F1267" t="s">
        <v>287</v>
      </c>
      <c r="G1267" s="7">
        <v>4</v>
      </c>
      <c r="H1267" s="3">
        <v>33318.39</v>
      </c>
      <c r="I1267" s="3">
        <v>133273.56</v>
      </c>
    </row>
    <row r="1268" spans="1:9" x14ac:dyDescent="0.3">
      <c r="A1268" s="5" t="s">
        <v>214</v>
      </c>
      <c r="B1268" t="s">
        <v>253</v>
      </c>
      <c r="C1268" t="s">
        <v>264</v>
      </c>
      <c r="D1268" t="s">
        <v>270</v>
      </c>
      <c r="E1268" t="s">
        <v>274</v>
      </c>
      <c r="F1268" t="s">
        <v>280</v>
      </c>
      <c r="G1268" s="7">
        <v>1</v>
      </c>
      <c r="H1268" s="3">
        <v>33233.49</v>
      </c>
      <c r="I1268" s="3">
        <v>33233.49</v>
      </c>
    </row>
    <row r="1269" spans="1:9" x14ac:dyDescent="0.3">
      <c r="A1269" s="5" t="s">
        <v>214</v>
      </c>
      <c r="B1269" t="s">
        <v>254</v>
      </c>
      <c r="C1269" t="s">
        <v>262</v>
      </c>
      <c r="D1269" t="s">
        <v>269</v>
      </c>
      <c r="E1269" t="s">
        <v>273</v>
      </c>
      <c r="F1269" t="s">
        <v>279</v>
      </c>
      <c r="G1269" s="7">
        <v>8</v>
      </c>
      <c r="H1269" s="3">
        <v>41414.11</v>
      </c>
      <c r="I1269" s="3">
        <v>331312.88</v>
      </c>
    </row>
    <row r="1270" spans="1:9" x14ac:dyDescent="0.3">
      <c r="A1270" s="5" t="s">
        <v>214</v>
      </c>
      <c r="B1270" t="s">
        <v>255</v>
      </c>
      <c r="C1270" t="s">
        <v>262</v>
      </c>
      <c r="D1270" t="s">
        <v>268</v>
      </c>
      <c r="E1270" t="s">
        <v>274</v>
      </c>
      <c r="F1270" t="s">
        <v>289</v>
      </c>
      <c r="G1270" s="7">
        <v>3</v>
      </c>
      <c r="H1270" s="3">
        <v>29055.14</v>
      </c>
      <c r="I1270" s="3">
        <v>87165.42</v>
      </c>
    </row>
    <row r="1271" spans="1:9" x14ac:dyDescent="0.3">
      <c r="A1271" s="5" t="s">
        <v>214</v>
      </c>
      <c r="B1271" t="s">
        <v>258</v>
      </c>
      <c r="C1271" t="s">
        <v>264</v>
      </c>
      <c r="D1271" t="s">
        <v>266</v>
      </c>
      <c r="E1271" t="s">
        <v>271</v>
      </c>
      <c r="F1271" t="s">
        <v>275</v>
      </c>
      <c r="G1271" s="7">
        <v>6</v>
      </c>
      <c r="H1271" s="3">
        <v>8091.21</v>
      </c>
      <c r="I1271" s="3">
        <v>48547.26</v>
      </c>
    </row>
    <row r="1272" spans="1:9" x14ac:dyDescent="0.3">
      <c r="A1272" s="5" t="s">
        <v>214</v>
      </c>
      <c r="B1272" t="s">
        <v>258</v>
      </c>
      <c r="C1272" t="s">
        <v>265</v>
      </c>
      <c r="D1272" t="s">
        <v>266</v>
      </c>
      <c r="E1272" t="s">
        <v>271</v>
      </c>
      <c r="F1272" t="s">
        <v>282</v>
      </c>
      <c r="G1272" s="7">
        <v>4</v>
      </c>
      <c r="H1272" s="3">
        <v>10334.39</v>
      </c>
      <c r="I1272" s="3">
        <v>41337.56</v>
      </c>
    </row>
    <row r="1273" spans="1:9" x14ac:dyDescent="0.3">
      <c r="A1273" s="5" t="s">
        <v>215</v>
      </c>
      <c r="B1273" t="s">
        <v>259</v>
      </c>
      <c r="C1273" t="s">
        <v>264</v>
      </c>
      <c r="D1273" t="s">
        <v>268</v>
      </c>
      <c r="E1273" t="s">
        <v>271</v>
      </c>
      <c r="F1273" t="s">
        <v>281</v>
      </c>
      <c r="G1273" s="7">
        <v>9</v>
      </c>
      <c r="H1273" s="3">
        <v>7609.38</v>
      </c>
      <c r="I1273" s="3">
        <v>68484.42</v>
      </c>
    </row>
    <row r="1274" spans="1:9" x14ac:dyDescent="0.3">
      <c r="A1274" s="5" t="s">
        <v>215</v>
      </c>
      <c r="B1274" t="s">
        <v>256</v>
      </c>
      <c r="C1274" t="s">
        <v>264</v>
      </c>
      <c r="D1274" t="s">
        <v>266</v>
      </c>
      <c r="E1274" t="s">
        <v>274</v>
      </c>
      <c r="F1274" t="s">
        <v>280</v>
      </c>
      <c r="G1274" s="7">
        <v>7</v>
      </c>
      <c r="H1274" s="3">
        <v>36895.040000000001</v>
      </c>
      <c r="I1274" s="3">
        <v>258265.28</v>
      </c>
    </row>
    <row r="1275" spans="1:9" x14ac:dyDescent="0.3">
      <c r="A1275" s="5" t="s">
        <v>215</v>
      </c>
      <c r="B1275" t="s">
        <v>256</v>
      </c>
      <c r="C1275" t="s">
        <v>262</v>
      </c>
      <c r="D1275" t="s">
        <v>267</v>
      </c>
      <c r="E1275" t="s">
        <v>272</v>
      </c>
      <c r="F1275" t="s">
        <v>276</v>
      </c>
      <c r="G1275" s="7">
        <v>9</v>
      </c>
      <c r="H1275" s="3">
        <v>32284.54</v>
      </c>
      <c r="I1275" s="3">
        <v>290560.86</v>
      </c>
    </row>
    <row r="1276" spans="1:9" x14ac:dyDescent="0.3">
      <c r="A1276" s="5" t="s">
        <v>215</v>
      </c>
      <c r="B1276" t="s">
        <v>253</v>
      </c>
      <c r="C1276" t="s">
        <v>262</v>
      </c>
      <c r="D1276" t="s">
        <v>269</v>
      </c>
      <c r="E1276" t="s">
        <v>272</v>
      </c>
      <c r="F1276" t="s">
        <v>286</v>
      </c>
      <c r="G1276" s="7">
        <v>3</v>
      </c>
      <c r="H1276" s="3">
        <v>32869.43</v>
      </c>
      <c r="I1276" s="3">
        <v>98608.29</v>
      </c>
    </row>
    <row r="1277" spans="1:9" x14ac:dyDescent="0.3">
      <c r="A1277" s="5" t="s">
        <v>215</v>
      </c>
      <c r="B1277" t="s">
        <v>257</v>
      </c>
      <c r="C1277" t="s">
        <v>264</v>
      </c>
      <c r="D1277" t="s">
        <v>269</v>
      </c>
      <c r="E1277" t="s">
        <v>271</v>
      </c>
      <c r="F1277" t="s">
        <v>275</v>
      </c>
      <c r="G1277" s="7">
        <v>1</v>
      </c>
      <c r="H1277" s="3">
        <v>10239.49</v>
      </c>
      <c r="I1277" s="3">
        <v>10239.49</v>
      </c>
    </row>
    <row r="1278" spans="1:9" x14ac:dyDescent="0.3">
      <c r="A1278" s="5" t="s">
        <v>215</v>
      </c>
      <c r="B1278" t="s">
        <v>260</v>
      </c>
      <c r="C1278" t="s">
        <v>264</v>
      </c>
      <c r="D1278" t="s">
        <v>268</v>
      </c>
      <c r="E1278" t="s">
        <v>273</v>
      </c>
      <c r="F1278" t="s">
        <v>278</v>
      </c>
      <c r="G1278" s="7">
        <v>5</v>
      </c>
      <c r="H1278" s="3">
        <v>42984.65</v>
      </c>
      <c r="I1278" s="3">
        <v>214923.25</v>
      </c>
    </row>
    <row r="1279" spans="1:9" x14ac:dyDescent="0.3">
      <c r="A1279" s="5" t="s">
        <v>216</v>
      </c>
      <c r="B1279" t="s">
        <v>253</v>
      </c>
      <c r="C1279" t="s">
        <v>264</v>
      </c>
      <c r="D1279" t="s">
        <v>266</v>
      </c>
      <c r="E1279" t="s">
        <v>272</v>
      </c>
      <c r="F1279" t="s">
        <v>290</v>
      </c>
      <c r="G1279" s="7">
        <v>3</v>
      </c>
      <c r="H1279" s="3">
        <v>26315.07</v>
      </c>
      <c r="I1279" s="3">
        <v>78945.210000000006</v>
      </c>
    </row>
    <row r="1280" spans="1:9" x14ac:dyDescent="0.3">
      <c r="A1280" s="5" t="s">
        <v>216</v>
      </c>
      <c r="B1280" t="s">
        <v>255</v>
      </c>
      <c r="C1280" t="s">
        <v>262</v>
      </c>
      <c r="D1280" t="s">
        <v>270</v>
      </c>
      <c r="E1280" t="s">
        <v>274</v>
      </c>
      <c r="F1280" t="s">
        <v>284</v>
      </c>
      <c r="G1280" s="7">
        <v>6</v>
      </c>
      <c r="H1280" s="3">
        <v>33158.47</v>
      </c>
      <c r="I1280" s="3">
        <v>198950.82</v>
      </c>
    </row>
    <row r="1281" spans="1:9" x14ac:dyDescent="0.3">
      <c r="A1281" s="5" t="s">
        <v>216</v>
      </c>
      <c r="B1281" t="s">
        <v>254</v>
      </c>
      <c r="C1281" t="s">
        <v>264</v>
      </c>
      <c r="D1281" t="s">
        <v>270</v>
      </c>
      <c r="E1281" t="s">
        <v>272</v>
      </c>
      <c r="F1281" t="s">
        <v>290</v>
      </c>
      <c r="G1281" s="7">
        <v>8</v>
      </c>
      <c r="H1281" s="3">
        <v>26769</v>
      </c>
      <c r="I1281" s="3">
        <v>214152</v>
      </c>
    </row>
    <row r="1282" spans="1:9" x14ac:dyDescent="0.3">
      <c r="A1282" s="5" t="s">
        <v>216</v>
      </c>
      <c r="B1282" t="s">
        <v>258</v>
      </c>
      <c r="C1282" t="s">
        <v>264</v>
      </c>
      <c r="D1282" t="s">
        <v>266</v>
      </c>
      <c r="E1282" t="s">
        <v>271</v>
      </c>
      <c r="F1282" t="s">
        <v>275</v>
      </c>
      <c r="G1282" s="7">
        <v>4</v>
      </c>
      <c r="H1282" s="3">
        <v>9721.65</v>
      </c>
      <c r="I1282" s="3">
        <v>38886.6</v>
      </c>
    </row>
    <row r="1283" spans="1:9" x14ac:dyDescent="0.3">
      <c r="A1283" s="5" t="s">
        <v>216</v>
      </c>
      <c r="B1283" t="s">
        <v>253</v>
      </c>
      <c r="C1283" t="s">
        <v>263</v>
      </c>
      <c r="D1283" t="s">
        <v>270</v>
      </c>
      <c r="E1283" t="s">
        <v>273</v>
      </c>
      <c r="F1283" t="s">
        <v>278</v>
      </c>
      <c r="G1283" s="7">
        <v>5</v>
      </c>
      <c r="H1283" s="3">
        <v>49696.91</v>
      </c>
      <c r="I1283" s="3">
        <v>248484.55</v>
      </c>
    </row>
    <row r="1284" spans="1:9" x14ac:dyDescent="0.3">
      <c r="A1284" s="5" t="s">
        <v>216</v>
      </c>
      <c r="B1284" t="s">
        <v>260</v>
      </c>
      <c r="C1284" t="s">
        <v>265</v>
      </c>
      <c r="D1284" t="s">
        <v>268</v>
      </c>
      <c r="E1284" t="s">
        <v>272</v>
      </c>
      <c r="F1284" t="s">
        <v>286</v>
      </c>
      <c r="G1284" s="7">
        <v>5</v>
      </c>
      <c r="H1284" s="3">
        <v>33599.86</v>
      </c>
      <c r="I1284" s="3">
        <v>167999.3</v>
      </c>
    </row>
    <row r="1285" spans="1:9" x14ac:dyDescent="0.3">
      <c r="A1285" s="5" t="s">
        <v>216</v>
      </c>
      <c r="B1285" t="s">
        <v>260</v>
      </c>
      <c r="C1285" t="s">
        <v>261</v>
      </c>
      <c r="D1285" t="s">
        <v>268</v>
      </c>
      <c r="E1285" t="s">
        <v>272</v>
      </c>
      <c r="F1285" t="s">
        <v>277</v>
      </c>
      <c r="G1285" s="7">
        <v>4</v>
      </c>
      <c r="H1285" s="3">
        <v>24726.67</v>
      </c>
      <c r="I1285" s="3">
        <v>98906.68</v>
      </c>
    </row>
    <row r="1286" spans="1:9" x14ac:dyDescent="0.3">
      <c r="A1286" s="5" t="s">
        <v>217</v>
      </c>
      <c r="B1286" t="s">
        <v>253</v>
      </c>
      <c r="C1286" t="s">
        <v>265</v>
      </c>
      <c r="D1286" t="s">
        <v>266</v>
      </c>
      <c r="E1286" t="s">
        <v>271</v>
      </c>
      <c r="F1286" t="s">
        <v>281</v>
      </c>
      <c r="G1286" s="7">
        <v>4</v>
      </c>
      <c r="H1286" s="3">
        <v>10336.280000000001</v>
      </c>
      <c r="I1286" s="3">
        <v>41345.120000000003</v>
      </c>
    </row>
    <row r="1287" spans="1:9" x14ac:dyDescent="0.3">
      <c r="A1287" s="5" t="s">
        <v>217</v>
      </c>
      <c r="B1287" t="s">
        <v>259</v>
      </c>
      <c r="C1287" t="s">
        <v>263</v>
      </c>
      <c r="D1287" t="s">
        <v>270</v>
      </c>
      <c r="E1287" t="s">
        <v>273</v>
      </c>
      <c r="F1287" t="s">
        <v>278</v>
      </c>
      <c r="G1287" s="7">
        <v>4</v>
      </c>
      <c r="H1287" s="3">
        <v>43530.28</v>
      </c>
      <c r="I1287" s="3">
        <v>174121.12</v>
      </c>
    </row>
    <row r="1288" spans="1:9" x14ac:dyDescent="0.3">
      <c r="A1288" s="5" t="s">
        <v>217</v>
      </c>
      <c r="B1288" t="s">
        <v>258</v>
      </c>
      <c r="C1288" t="s">
        <v>261</v>
      </c>
      <c r="D1288" t="s">
        <v>268</v>
      </c>
      <c r="E1288" t="s">
        <v>273</v>
      </c>
      <c r="F1288" t="s">
        <v>278</v>
      </c>
      <c r="G1288" s="7">
        <v>4</v>
      </c>
      <c r="H1288" s="3">
        <v>47082.5</v>
      </c>
      <c r="I1288" s="3">
        <v>188330</v>
      </c>
    </row>
    <row r="1289" spans="1:9" x14ac:dyDescent="0.3">
      <c r="A1289" s="5" t="s">
        <v>217</v>
      </c>
      <c r="B1289" t="s">
        <v>259</v>
      </c>
      <c r="C1289" t="s">
        <v>264</v>
      </c>
      <c r="D1289" t="s">
        <v>268</v>
      </c>
      <c r="E1289" t="s">
        <v>271</v>
      </c>
      <c r="F1289" t="s">
        <v>285</v>
      </c>
      <c r="G1289" s="7">
        <v>4</v>
      </c>
      <c r="H1289" s="3">
        <v>8716.2800000000007</v>
      </c>
      <c r="I1289" s="3">
        <v>34865.120000000003</v>
      </c>
    </row>
    <row r="1290" spans="1:9" x14ac:dyDescent="0.3">
      <c r="A1290" s="5" t="s">
        <v>217</v>
      </c>
      <c r="B1290" t="s">
        <v>254</v>
      </c>
      <c r="C1290" t="s">
        <v>263</v>
      </c>
      <c r="D1290" t="s">
        <v>267</v>
      </c>
      <c r="E1290" t="s">
        <v>274</v>
      </c>
      <c r="F1290" t="s">
        <v>287</v>
      </c>
      <c r="G1290" s="7">
        <v>5</v>
      </c>
      <c r="H1290" s="3">
        <v>36931.99</v>
      </c>
      <c r="I1290" s="3">
        <v>184659.95</v>
      </c>
    </row>
    <row r="1291" spans="1:9" x14ac:dyDescent="0.3">
      <c r="A1291" s="5" t="s">
        <v>217</v>
      </c>
      <c r="B1291" t="s">
        <v>260</v>
      </c>
      <c r="C1291" t="s">
        <v>264</v>
      </c>
      <c r="D1291" t="s">
        <v>267</v>
      </c>
      <c r="E1291" t="s">
        <v>272</v>
      </c>
      <c r="F1291" t="s">
        <v>277</v>
      </c>
      <c r="G1291" s="7">
        <v>2</v>
      </c>
      <c r="H1291" s="3">
        <v>28507.73</v>
      </c>
      <c r="I1291" s="3">
        <v>57015.46</v>
      </c>
    </row>
    <row r="1292" spans="1:9" x14ac:dyDescent="0.3">
      <c r="A1292" s="5" t="s">
        <v>218</v>
      </c>
      <c r="B1292" t="s">
        <v>260</v>
      </c>
      <c r="C1292" t="s">
        <v>262</v>
      </c>
      <c r="D1292" t="s">
        <v>268</v>
      </c>
      <c r="E1292" t="s">
        <v>274</v>
      </c>
      <c r="F1292" t="s">
        <v>284</v>
      </c>
      <c r="G1292" s="7">
        <v>2</v>
      </c>
      <c r="H1292" s="3">
        <v>39277.480000000003</v>
      </c>
      <c r="I1292" s="3">
        <v>78554.960000000006</v>
      </c>
    </row>
    <row r="1293" spans="1:9" x14ac:dyDescent="0.3">
      <c r="A1293" s="5" t="s">
        <v>218</v>
      </c>
      <c r="B1293" t="s">
        <v>255</v>
      </c>
      <c r="C1293" t="s">
        <v>263</v>
      </c>
      <c r="D1293" t="s">
        <v>266</v>
      </c>
      <c r="E1293" t="s">
        <v>272</v>
      </c>
      <c r="F1293" t="s">
        <v>286</v>
      </c>
      <c r="G1293" s="7">
        <v>9</v>
      </c>
      <c r="H1293" s="3">
        <v>33908.379999999997</v>
      </c>
      <c r="I1293" s="3">
        <v>305175.42</v>
      </c>
    </row>
    <row r="1294" spans="1:9" x14ac:dyDescent="0.3">
      <c r="A1294" s="5" t="s">
        <v>218</v>
      </c>
      <c r="B1294" t="s">
        <v>254</v>
      </c>
      <c r="C1294" t="s">
        <v>262</v>
      </c>
      <c r="D1294" t="s">
        <v>269</v>
      </c>
      <c r="E1294" t="s">
        <v>272</v>
      </c>
      <c r="F1294" t="s">
        <v>290</v>
      </c>
      <c r="G1294" s="7">
        <v>2</v>
      </c>
      <c r="H1294" s="3">
        <v>33568.199999999997</v>
      </c>
      <c r="I1294" s="3">
        <v>67136.399999999994</v>
      </c>
    </row>
    <row r="1295" spans="1:9" x14ac:dyDescent="0.3">
      <c r="A1295" s="5" t="s">
        <v>218</v>
      </c>
      <c r="B1295" t="s">
        <v>260</v>
      </c>
      <c r="C1295" t="s">
        <v>263</v>
      </c>
      <c r="D1295" t="s">
        <v>269</v>
      </c>
      <c r="E1295" t="s">
        <v>274</v>
      </c>
      <c r="F1295" t="s">
        <v>280</v>
      </c>
      <c r="G1295" s="7">
        <v>6</v>
      </c>
      <c r="H1295" s="3">
        <v>28112.11</v>
      </c>
      <c r="I1295" s="3">
        <v>168672.66</v>
      </c>
    </row>
    <row r="1296" spans="1:9" x14ac:dyDescent="0.3">
      <c r="A1296" s="5" t="s">
        <v>218</v>
      </c>
      <c r="B1296" t="s">
        <v>254</v>
      </c>
      <c r="C1296" t="s">
        <v>263</v>
      </c>
      <c r="D1296" t="s">
        <v>268</v>
      </c>
      <c r="E1296" t="s">
        <v>271</v>
      </c>
      <c r="F1296" t="s">
        <v>285</v>
      </c>
      <c r="G1296" s="7">
        <v>2</v>
      </c>
      <c r="H1296" s="3">
        <v>10129.48</v>
      </c>
      <c r="I1296" s="3">
        <v>20258.96</v>
      </c>
    </row>
    <row r="1297" spans="1:9" x14ac:dyDescent="0.3">
      <c r="A1297" s="5" t="s">
        <v>218</v>
      </c>
      <c r="B1297" t="s">
        <v>258</v>
      </c>
      <c r="C1297" t="s">
        <v>262</v>
      </c>
      <c r="D1297" t="s">
        <v>268</v>
      </c>
      <c r="E1297" t="s">
        <v>271</v>
      </c>
      <c r="F1297" t="s">
        <v>281</v>
      </c>
      <c r="G1297" s="7">
        <v>5</v>
      </c>
      <c r="H1297" s="3">
        <v>9882.56</v>
      </c>
      <c r="I1297" s="3">
        <v>49412.800000000003</v>
      </c>
    </row>
    <row r="1298" spans="1:9" x14ac:dyDescent="0.3">
      <c r="A1298" s="5" t="s">
        <v>219</v>
      </c>
      <c r="B1298" t="s">
        <v>256</v>
      </c>
      <c r="C1298" t="s">
        <v>261</v>
      </c>
      <c r="D1298" t="s">
        <v>268</v>
      </c>
      <c r="E1298" t="s">
        <v>272</v>
      </c>
      <c r="F1298" t="s">
        <v>290</v>
      </c>
      <c r="G1298" s="7">
        <v>4</v>
      </c>
      <c r="H1298" s="3">
        <v>24959.35</v>
      </c>
      <c r="I1298" s="3">
        <v>99837.4</v>
      </c>
    </row>
    <row r="1299" spans="1:9" x14ac:dyDescent="0.3">
      <c r="A1299" s="5" t="s">
        <v>219</v>
      </c>
      <c r="B1299" t="s">
        <v>260</v>
      </c>
      <c r="C1299" t="s">
        <v>265</v>
      </c>
      <c r="D1299" t="s">
        <v>266</v>
      </c>
      <c r="E1299" t="s">
        <v>271</v>
      </c>
      <c r="F1299" t="s">
        <v>282</v>
      </c>
      <c r="G1299" s="7">
        <v>7</v>
      </c>
      <c r="H1299" s="3">
        <v>7590.21</v>
      </c>
      <c r="I1299" s="3">
        <v>53131.47</v>
      </c>
    </row>
    <row r="1300" spans="1:9" x14ac:dyDescent="0.3">
      <c r="A1300" s="5" t="s">
        <v>219</v>
      </c>
      <c r="B1300" t="s">
        <v>255</v>
      </c>
      <c r="C1300" t="s">
        <v>264</v>
      </c>
      <c r="D1300" t="s">
        <v>267</v>
      </c>
      <c r="E1300" t="s">
        <v>272</v>
      </c>
      <c r="F1300" t="s">
        <v>290</v>
      </c>
      <c r="G1300" s="7">
        <v>7</v>
      </c>
      <c r="H1300" s="3">
        <v>24933.03</v>
      </c>
      <c r="I1300" s="3">
        <v>174531.21</v>
      </c>
    </row>
    <row r="1301" spans="1:9" x14ac:dyDescent="0.3">
      <c r="A1301" s="5" t="s">
        <v>219</v>
      </c>
      <c r="B1301" t="s">
        <v>258</v>
      </c>
      <c r="C1301" t="s">
        <v>263</v>
      </c>
      <c r="D1301" t="s">
        <v>268</v>
      </c>
      <c r="E1301" t="s">
        <v>271</v>
      </c>
      <c r="F1301" t="s">
        <v>282</v>
      </c>
      <c r="G1301" s="7">
        <v>6</v>
      </c>
      <c r="H1301" s="3">
        <v>7263.53</v>
      </c>
      <c r="I1301" s="3">
        <v>43581.18</v>
      </c>
    </row>
    <row r="1302" spans="1:9" x14ac:dyDescent="0.3">
      <c r="A1302" s="5" t="s">
        <v>219</v>
      </c>
      <c r="B1302" t="s">
        <v>253</v>
      </c>
      <c r="C1302" t="s">
        <v>264</v>
      </c>
      <c r="D1302" t="s">
        <v>268</v>
      </c>
      <c r="E1302" t="s">
        <v>272</v>
      </c>
      <c r="F1302" t="s">
        <v>286</v>
      </c>
      <c r="G1302" s="7">
        <v>5</v>
      </c>
      <c r="H1302" s="3">
        <v>29944.7</v>
      </c>
      <c r="I1302" s="3">
        <v>149723.5</v>
      </c>
    </row>
    <row r="1303" spans="1:9" x14ac:dyDescent="0.3">
      <c r="A1303" s="5" t="s">
        <v>219</v>
      </c>
      <c r="B1303" t="s">
        <v>254</v>
      </c>
      <c r="C1303" t="s">
        <v>262</v>
      </c>
      <c r="D1303" t="s">
        <v>270</v>
      </c>
      <c r="E1303" t="s">
        <v>271</v>
      </c>
      <c r="F1303" t="s">
        <v>285</v>
      </c>
      <c r="G1303" s="7">
        <v>1</v>
      </c>
      <c r="H1303" s="3">
        <v>10534.54</v>
      </c>
      <c r="I1303" s="3">
        <v>10534.54</v>
      </c>
    </row>
    <row r="1304" spans="1:9" x14ac:dyDescent="0.3">
      <c r="A1304" s="5" t="s">
        <v>220</v>
      </c>
      <c r="B1304" t="s">
        <v>253</v>
      </c>
      <c r="C1304" t="s">
        <v>264</v>
      </c>
      <c r="D1304" t="s">
        <v>266</v>
      </c>
      <c r="E1304" t="s">
        <v>273</v>
      </c>
      <c r="F1304" t="s">
        <v>288</v>
      </c>
      <c r="G1304" s="7">
        <v>3</v>
      </c>
      <c r="H1304" s="3">
        <v>46146.32</v>
      </c>
      <c r="I1304" s="3">
        <v>138438.96</v>
      </c>
    </row>
    <row r="1305" spans="1:9" x14ac:dyDescent="0.3">
      <c r="A1305" s="5" t="s">
        <v>220</v>
      </c>
      <c r="B1305" t="s">
        <v>259</v>
      </c>
      <c r="C1305" t="s">
        <v>262</v>
      </c>
      <c r="D1305" t="s">
        <v>268</v>
      </c>
      <c r="E1305" t="s">
        <v>274</v>
      </c>
      <c r="F1305" t="s">
        <v>287</v>
      </c>
      <c r="G1305" s="7">
        <v>9</v>
      </c>
      <c r="H1305" s="3">
        <v>34121.699999999997</v>
      </c>
      <c r="I1305" s="3">
        <v>307095.3</v>
      </c>
    </row>
    <row r="1306" spans="1:9" x14ac:dyDescent="0.3">
      <c r="A1306" s="5" t="s">
        <v>220</v>
      </c>
      <c r="B1306" t="s">
        <v>258</v>
      </c>
      <c r="C1306" t="s">
        <v>264</v>
      </c>
      <c r="D1306" t="s">
        <v>270</v>
      </c>
      <c r="E1306" t="s">
        <v>273</v>
      </c>
      <c r="F1306" t="s">
        <v>278</v>
      </c>
      <c r="G1306" s="7">
        <v>1</v>
      </c>
      <c r="H1306" s="3">
        <v>55673.46</v>
      </c>
      <c r="I1306" s="3">
        <v>55673.46</v>
      </c>
    </row>
    <row r="1307" spans="1:9" x14ac:dyDescent="0.3">
      <c r="A1307" s="5" t="s">
        <v>220</v>
      </c>
      <c r="B1307" t="s">
        <v>253</v>
      </c>
      <c r="C1307" t="s">
        <v>265</v>
      </c>
      <c r="D1307" t="s">
        <v>269</v>
      </c>
      <c r="E1307" t="s">
        <v>274</v>
      </c>
      <c r="F1307" t="s">
        <v>284</v>
      </c>
      <c r="G1307" s="7">
        <v>5</v>
      </c>
      <c r="H1307" s="3">
        <v>30466.33</v>
      </c>
      <c r="I1307" s="3">
        <v>152331.65</v>
      </c>
    </row>
    <row r="1308" spans="1:9" x14ac:dyDescent="0.3">
      <c r="A1308" s="5" t="s">
        <v>220</v>
      </c>
      <c r="B1308" t="s">
        <v>257</v>
      </c>
      <c r="C1308" t="s">
        <v>265</v>
      </c>
      <c r="D1308" t="s">
        <v>268</v>
      </c>
      <c r="E1308" t="s">
        <v>274</v>
      </c>
      <c r="F1308" t="s">
        <v>289</v>
      </c>
      <c r="G1308" s="7">
        <v>2</v>
      </c>
      <c r="H1308" s="3">
        <v>38188.42</v>
      </c>
      <c r="I1308" s="3">
        <v>76376.84</v>
      </c>
    </row>
    <row r="1309" spans="1:9" x14ac:dyDescent="0.3">
      <c r="A1309" s="5" t="s">
        <v>220</v>
      </c>
      <c r="B1309" t="s">
        <v>257</v>
      </c>
      <c r="C1309" t="s">
        <v>265</v>
      </c>
      <c r="D1309" t="s">
        <v>268</v>
      </c>
      <c r="E1309" t="s">
        <v>272</v>
      </c>
      <c r="F1309" t="s">
        <v>286</v>
      </c>
      <c r="G1309" s="7">
        <v>4</v>
      </c>
      <c r="H1309" s="3">
        <v>29919.57</v>
      </c>
      <c r="I1309" s="3">
        <v>119678.28</v>
      </c>
    </row>
    <row r="1310" spans="1:9" x14ac:dyDescent="0.3">
      <c r="A1310" s="5" t="s">
        <v>221</v>
      </c>
      <c r="B1310" t="s">
        <v>260</v>
      </c>
      <c r="C1310" t="s">
        <v>265</v>
      </c>
      <c r="D1310" t="s">
        <v>270</v>
      </c>
      <c r="E1310" t="s">
        <v>274</v>
      </c>
      <c r="F1310" t="s">
        <v>284</v>
      </c>
      <c r="G1310" s="7">
        <v>1</v>
      </c>
      <c r="H1310" s="3">
        <v>34489.300000000003</v>
      </c>
      <c r="I1310" s="3">
        <v>34489.300000000003</v>
      </c>
    </row>
    <row r="1311" spans="1:9" x14ac:dyDescent="0.3">
      <c r="A1311" s="5" t="s">
        <v>221</v>
      </c>
      <c r="B1311" t="s">
        <v>254</v>
      </c>
      <c r="C1311" t="s">
        <v>265</v>
      </c>
      <c r="D1311" t="s">
        <v>266</v>
      </c>
      <c r="E1311" t="s">
        <v>273</v>
      </c>
      <c r="F1311" t="s">
        <v>279</v>
      </c>
      <c r="G1311" s="7">
        <v>3</v>
      </c>
      <c r="H1311" s="3">
        <v>44427.13</v>
      </c>
      <c r="I1311" s="3">
        <v>133281.39000000001</v>
      </c>
    </row>
    <row r="1312" spans="1:9" x14ac:dyDescent="0.3">
      <c r="A1312" s="5" t="s">
        <v>221</v>
      </c>
      <c r="B1312" t="s">
        <v>256</v>
      </c>
      <c r="C1312" t="s">
        <v>265</v>
      </c>
      <c r="D1312" t="s">
        <v>268</v>
      </c>
      <c r="E1312" t="s">
        <v>273</v>
      </c>
      <c r="F1312" t="s">
        <v>288</v>
      </c>
      <c r="G1312" s="7">
        <v>7</v>
      </c>
      <c r="H1312" s="3">
        <v>48358.52</v>
      </c>
      <c r="I1312" s="3">
        <v>338509.64</v>
      </c>
    </row>
    <row r="1313" spans="1:9" x14ac:dyDescent="0.3">
      <c r="A1313" s="5" t="s">
        <v>221</v>
      </c>
      <c r="B1313" t="s">
        <v>258</v>
      </c>
      <c r="C1313" t="s">
        <v>262</v>
      </c>
      <c r="D1313" t="s">
        <v>269</v>
      </c>
      <c r="E1313" t="s">
        <v>271</v>
      </c>
      <c r="F1313" t="s">
        <v>282</v>
      </c>
      <c r="G1313" s="7">
        <v>3</v>
      </c>
      <c r="H1313" s="3">
        <v>7473.68</v>
      </c>
      <c r="I1313" s="3">
        <v>22421.040000000001</v>
      </c>
    </row>
    <row r="1314" spans="1:9" x14ac:dyDescent="0.3">
      <c r="A1314" s="5" t="s">
        <v>221</v>
      </c>
      <c r="B1314" t="s">
        <v>260</v>
      </c>
      <c r="C1314" t="s">
        <v>263</v>
      </c>
      <c r="D1314" t="s">
        <v>268</v>
      </c>
      <c r="E1314" t="s">
        <v>273</v>
      </c>
      <c r="F1314" t="s">
        <v>283</v>
      </c>
      <c r="G1314" s="7">
        <v>4</v>
      </c>
      <c r="H1314" s="3">
        <v>52013.58</v>
      </c>
      <c r="I1314" s="3">
        <v>208054.32</v>
      </c>
    </row>
    <row r="1315" spans="1:9" x14ac:dyDescent="0.3">
      <c r="A1315" s="5" t="s">
        <v>221</v>
      </c>
      <c r="B1315" t="s">
        <v>255</v>
      </c>
      <c r="C1315" t="s">
        <v>264</v>
      </c>
      <c r="D1315" t="s">
        <v>269</v>
      </c>
      <c r="E1315" t="s">
        <v>271</v>
      </c>
      <c r="F1315" t="s">
        <v>275</v>
      </c>
      <c r="G1315" s="7">
        <v>2</v>
      </c>
      <c r="H1315" s="3">
        <v>8192.94</v>
      </c>
      <c r="I1315" s="3">
        <v>16385.88</v>
      </c>
    </row>
    <row r="1316" spans="1:9" x14ac:dyDescent="0.3">
      <c r="A1316" s="5" t="s">
        <v>222</v>
      </c>
      <c r="B1316" t="s">
        <v>259</v>
      </c>
      <c r="C1316" t="s">
        <v>265</v>
      </c>
      <c r="D1316" t="s">
        <v>267</v>
      </c>
      <c r="E1316" t="s">
        <v>274</v>
      </c>
      <c r="F1316" t="s">
        <v>287</v>
      </c>
      <c r="G1316" s="7">
        <v>3</v>
      </c>
      <c r="H1316" s="3">
        <v>38561.39</v>
      </c>
      <c r="I1316" s="3">
        <v>115684.17</v>
      </c>
    </row>
    <row r="1317" spans="1:9" x14ac:dyDescent="0.3">
      <c r="A1317" s="5" t="s">
        <v>222</v>
      </c>
      <c r="B1317" t="s">
        <v>254</v>
      </c>
      <c r="C1317" t="s">
        <v>262</v>
      </c>
      <c r="D1317" t="s">
        <v>267</v>
      </c>
      <c r="E1317" t="s">
        <v>273</v>
      </c>
      <c r="F1317" t="s">
        <v>278</v>
      </c>
      <c r="G1317" s="7">
        <v>9</v>
      </c>
      <c r="H1317" s="3">
        <v>44871.31</v>
      </c>
      <c r="I1317" s="3">
        <v>403841.79</v>
      </c>
    </row>
    <row r="1318" spans="1:9" x14ac:dyDescent="0.3">
      <c r="A1318" s="5" t="s">
        <v>222</v>
      </c>
      <c r="B1318" t="s">
        <v>258</v>
      </c>
      <c r="C1318" t="s">
        <v>262</v>
      </c>
      <c r="D1318" t="s">
        <v>269</v>
      </c>
      <c r="E1318" t="s">
        <v>274</v>
      </c>
      <c r="F1318" t="s">
        <v>287</v>
      </c>
      <c r="G1318" s="7">
        <v>3</v>
      </c>
      <c r="H1318" s="3">
        <v>29028.15</v>
      </c>
      <c r="I1318" s="3">
        <v>87084.45</v>
      </c>
    </row>
    <row r="1319" spans="1:9" x14ac:dyDescent="0.3">
      <c r="A1319" s="5" t="s">
        <v>222</v>
      </c>
      <c r="B1319" t="s">
        <v>257</v>
      </c>
      <c r="C1319" t="s">
        <v>262</v>
      </c>
      <c r="D1319" t="s">
        <v>266</v>
      </c>
      <c r="E1319" t="s">
        <v>273</v>
      </c>
      <c r="F1319" t="s">
        <v>278</v>
      </c>
      <c r="G1319" s="7">
        <v>5</v>
      </c>
      <c r="H1319" s="3">
        <v>50775.87</v>
      </c>
      <c r="I1319" s="3">
        <v>253879.35</v>
      </c>
    </row>
    <row r="1320" spans="1:9" x14ac:dyDescent="0.3">
      <c r="A1320" s="5" t="s">
        <v>222</v>
      </c>
      <c r="B1320" t="s">
        <v>258</v>
      </c>
      <c r="C1320" t="s">
        <v>263</v>
      </c>
      <c r="D1320" t="s">
        <v>268</v>
      </c>
      <c r="E1320" t="s">
        <v>273</v>
      </c>
      <c r="F1320" t="s">
        <v>283</v>
      </c>
      <c r="G1320" s="7">
        <v>2</v>
      </c>
      <c r="H1320" s="3">
        <v>41212.410000000003</v>
      </c>
      <c r="I1320" s="3">
        <v>82424.820000000007</v>
      </c>
    </row>
    <row r="1321" spans="1:9" x14ac:dyDescent="0.3">
      <c r="A1321" s="5" t="s">
        <v>222</v>
      </c>
      <c r="B1321" t="s">
        <v>256</v>
      </c>
      <c r="C1321" t="s">
        <v>264</v>
      </c>
      <c r="D1321" t="s">
        <v>268</v>
      </c>
      <c r="E1321" t="s">
        <v>271</v>
      </c>
      <c r="F1321" t="s">
        <v>275</v>
      </c>
      <c r="G1321" s="7">
        <v>4</v>
      </c>
      <c r="H1321" s="3">
        <v>9787.51</v>
      </c>
      <c r="I1321" s="3">
        <v>39150.04</v>
      </c>
    </row>
    <row r="1322" spans="1:9" x14ac:dyDescent="0.3">
      <c r="A1322" s="5" t="s">
        <v>222</v>
      </c>
      <c r="B1322" t="s">
        <v>257</v>
      </c>
      <c r="C1322" t="s">
        <v>263</v>
      </c>
      <c r="D1322" t="s">
        <v>267</v>
      </c>
      <c r="E1322" t="s">
        <v>274</v>
      </c>
      <c r="F1322" t="s">
        <v>289</v>
      </c>
      <c r="G1322" s="7">
        <v>7</v>
      </c>
      <c r="H1322" s="3">
        <v>39591.839999999997</v>
      </c>
      <c r="I1322" s="3">
        <v>277142.88</v>
      </c>
    </row>
    <row r="1323" spans="1:9" x14ac:dyDescent="0.3">
      <c r="A1323" s="5" t="s">
        <v>223</v>
      </c>
      <c r="B1323" t="s">
        <v>256</v>
      </c>
      <c r="C1323" t="s">
        <v>261</v>
      </c>
      <c r="D1323" t="s">
        <v>269</v>
      </c>
      <c r="E1323" t="s">
        <v>273</v>
      </c>
      <c r="F1323" t="s">
        <v>283</v>
      </c>
      <c r="G1323" s="7">
        <v>7</v>
      </c>
      <c r="H1323" s="3">
        <v>52281.95</v>
      </c>
      <c r="I1323" s="3">
        <v>365973.65</v>
      </c>
    </row>
    <row r="1324" spans="1:9" x14ac:dyDescent="0.3">
      <c r="A1324" s="5" t="s">
        <v>223</v>
      </c>
      <c r="B1324" t="s">
        <v>255</v>
      </c>
      <c r="C1324" t="s">
        <v>262</v>
      </c>
      <c r="D1324" t="s">
        <v>268</v>
      </c>
      <c r="E1324" t="s">
        <v>272</v>
      </c>
      <c r="F1324" t="s">
        <v>290</v>
      </c>
      <c r="G1324" s="7">
        <v>3</v>
      </c>
      <c r="H1324" s="3">
        <v>24051.43</v>
      </c>
      <c r="I1324" s="3">
        <v>72154.289999999994</v>
      </c>
    </row>
    <row r="1325" spans="1:9" x14ac:dyDescent="0.3">
      <c r="A1325" s="5" t="s">
        <v>223</v>
      </c>
      <c r="B1325" t="s">
        <v>259</v>
      </c>
      <c r="C1325" t="s">
        <v>261</v>
      </c>
      <c r="D1325" t="s">
        <v>268</v>
      </c>
      <c r="E1325" t="s">
        <v>274</v>
      </c>
      <c r="F1325" t="s">
        <v>280</v>
      </c>
      <c r="G1325" s="7">
        <v>5</v>
      </c>
      <c r="H1325" s="3">
        <v>34878.54</v>
      </c>
      <c r="I1325" s="3">
        <v>174392.7</v>
      </c>
    </row>
    <row r="1326" spans="1:9" x14ac:dyDescent="0.3">
      <c r="A1326" s="5" t="s">
        <v>223</v>
      </c>
      <c r="B1326" t="s">
        <v>255</v>
      </c>
      <c r="C1326" t="s">
        <v>265</v>
      </c>
      <c r="D1326" t="s">
        <v>266</v>
      </c>
      <c r="E1326" t="s">
        <v>274</v>
      </c>
      <c r="F1326" t="s">
        <v>284</v>
      </c>
      <c r="G1326" s="7">
        <v>1</v>
      </c>
      <c r="H1326" s="3">
        <v>36101.26</v>
      </c>
      <c r="I1326" s="3">
        <v>36101.26</v>
      </c>
    </row>
    <row r="1327" spans="1:9" x14ac:dyDescent="0.3">
      <c r="A1327" s="5" t="s">
        <v>223</v>
      </c>
      <c r="B1327" t="s">
        <v>260</v>
      </c>
      <c r="C1327" t="s">
        <v>265</v>
      </c>
      <c r="D1327" t="s">
        <v>270</v>
      </c>
      <c r="E1327" t="s">
        <v>274</v>
      </c>
      <c r="F1327" t="s">
        <v>280</v>
      </c>
      <c r="G1327" s="7">
        <v>1</v>
      </c>
      <c r="H1327" s="3">
        <v>37765.870000000003</v>
      </c>
      <c r="I1327" s="3">
        <v>37765.870000000003</v>
      </c>
    </row>
    <row r="1328" spans="1:9" x14ac:dyDescent="0.3">
      <c r="A1328" s="5" t="s">
        <v>223</v>
      </c>
      <c r="B1328" t="s">
        <v>260</v>
      </c>
      <c r="C1328" t="s">
        <v>263</v>
      </c>
      <c r="D1328" t="s">
        <v>267</v>
      </c>
      <c r="E1328" t="s">
        <v>271</v>
      </c>
      <c r="F1328" t="s">
        <v>285</v>
      </c>
      <c r="G1328" s="7">
        <v>5</v>
      </c>
      <c r="H1328" s="3">
        <v>7415.41</v>
      </c>
      <c r="I1328" s="3">
        <v>37077.050000000003</v>
      </c>
    </row>
    <row r="1329" spans="1:9" x14ac:dyDescent="0.3">
      <c r="A1329" s="5" t="s">
        <v>224</v>
      </c>
      <c r="B1329" t="s">
        <v>255</v>
      </c>
      <c r="C1329" t="s">
        <v>264</v>
      </c>
      <c r="D1329" t="s">
        <v>267</v>
      </c>
      <c r="E1329" t="s">
        <v>272</v>
      </c>
      <c r="F1329" t="s">
        <v>276</v>
      </c>
      <c r="G1329" s="7">
        <v>9</v>
      </c>
      <c r="H1329" s="3">
        <v>29177.21</v>
      </c>
      <c r="I1329" s="3">
        <v>262594.89</v>
      </c>
    </row>
    <row r="1330" spans="1:9" x14ac:dyDescent="0.3">
      <c r="A1330" s="5" t="s">
        <v>224</v>
      </c>
      <c r="B1330" t="s">
        <v>259</v>
      </c>
      <c r="C1330" t="s">
        <v>261</v>
      </c>
      <c r="D1330" t="s">
        <v>270</v>
      </c>
      <c r="E1330" t="s">
        <v>274</v>
      </c>
      <c r="F1330" t="s">
        <v>289</v>
      </c>
      <c r="G1330" s="7">
        <v>1</v>
      </c>
      <c r="H1330" s="3">
        <v>34052.75</v>
      </c>
      <c r="I1330" s="3">
        <v>34052.75</v>
      </c>
    </row>
    <row r="1331" spans="1:9" x14ac:dyDescent="0.3">
      <c r="A1331" s="5" t="s">
        <v>224</v>
      </c>
      <c r="B1331" t="s">
        <v>255</v>
      </c>
      <c r="C1331" t="s">
        <v>264</v>
      </c>
      <c r="D1331" t="s">
        <v>268</v>
      </c>
      <c r="E1331" t="s">
        <v>273</v>
      </c>
      <c r="F1331" t="s">
        <v>278</v>
      </c>
      <c r="G1331" s="7">
        <v>1</v>
      </c>
      <c r="H1331" s="3">
        <v>41294.25</v>
      </c>
      <c r="I1331" s="3">
        <v>41294.25</v>
      </c>
    </row>
    <row r="1332" spans="1:9" x14ac:dyDescent="0.3">
      <c r="A1332" s="5" t="s">
        <v>224</v>
      </c>
      <c r="B1332" t="s">
        <v>259</v>
      </c>
      <c r="C1332" t="s">
        <v>263</v>
      </c>
      <c r="D1332" t="s">
        <v>266</v>
      </c>
      <c r="E1332" t="s">
        <v>273</v>
      </c>
      <c r="F1332" t="s">
        <v>283</v>
      </c>
      <c r="G1332" s="7">
        <v>4</v>
      </c>
      <c r="H1332" s="3">
        <v>44054.1</v>
      </c>
      <c r="I1332" s="3">
        <v>176216.4</v>
      </c>
    </row>
    <row r="1333" spans="1:9" x14ac:dyDescent="0.3">
      <c r="A1333" s="5" t="s">
        <v>224</v>
      </c>
      <c r="B1333" t="s">
        <v>259</v>
      </c>
      <c r="C1333" t="s">
        <v>265</v>
      </c>
      <c r="D1333" t="s">
        <v>266</v>
      </c>
      <c r="E1333" t="s">
        <v>271</v>
      </c>
      <c r="F1333" t="s">
        <v>285</v>
      </c>
      <c r="G1333" s="7">
        <v>4</v>
      </c>
      <c r="H1333" s="3">
        <v>8721.75</v>
      </c>
      <c r="I1333" s="3">
        <v>34887</v>
      </c>
    </row>
    <row r="1334" spans="1:9" x14ac:dyDescent="0.3">
      <c r="A1334" s="5" t="s">
        <v>224</v>
      </c>
      <c r="B1334" t="s">
        <v>253</v>
      </c>
      <c r="C1334" t="s">
        <v>264</v>
      </c>
      <c r="D1334" t="s">
        <v>267</v>
      </c>
      <c r="E1334" t="s">
        <v>273</v>
      </c>
      <c r="F1334" t="s">
        <v>278</v>
      </c>
      <c r="G1334" s="7">
        <v>2</v>
      </c>
      <c r="H1334" s="3">
        <v>53247.77</v>
      </c>
      <c r="I1334" s="3">
        <v>106495.54</v>
      </c>
    </row>
    <row r="1335" spans="1:9" x14ac:dyDescent="0.3">
      <c r="A1335" s="5" t="s">
        <v>225</v>
      </c>
      <c r="B1335" t="s">
        <v>257</v>
      </c>
      <c r="C1335" t="s">
        <v>264</v>
      </c>
      <c r="D1335" t="s">
        <v>266</v>
      </c>
      <c r="E1335" t="s">
        <v>274</v>
      </c>
      <c r="F1335" t="s">
        <v>284</v>
      </c>
      <c r="G1335" s="7">
        <v>9</v>
      </c>
      <c r="H1335" s="3">
        <v>39096.42</v>
      </c>
      <c r="I1335" s="3">
        <v>351867.78</v>
      </c>
    </row>
    <row r="1336" spans="1:9" x14ac:dyDescent="0.3">
      <c r="A1336" s="5" t="s">
        <v>225</v>
      </c>
      <c r="B1336" t="s">
        <v>254</v>
      </c>
      <c r="C1336" t="s">
        <v>265</v>
      </c>
      <c r="D1336" t="s">
        <v>270</v>
      </c>
      <c r="E1336" t="s">
        <v>273</v>
      </c>
      <c r="F1336" t="s">
        <v>283</v>
      </c>
      <c r="G1336" s="7">
        <v>9</v>
      </c>
      <c r="H1336" s="3">
        <v>49561.61</v>
      </c>
      <c r="I1336" s="3">
        <v>446054.49</v>
      </c>
    </row>
    <row r="1337" spans="1:9" x14ac:dyDescent="0.3">
      <c r="A1337" s="5" t="s">
        <v>225</v>
      </c>
      <c r="B1337" t="s">
        <v>259</v>
      </c>
      <c r="C1337" t="s">
        <v>261</v>
      </c>
      <c r="D1337" t="s">
        <v>268</v>
      </c>
      <c r="E1337" t="s">
        <v>274</v>
      </c>
      <c r="F1337" t="s">
        <v>289</v>
      </c>
      <c r="G1337" s="7">
        <v>2</v>
      </c>
      <c r="H1337" s="3">
        <v>32255.3</v>
      </c>
      <c r="I1337" s="3">
        <v>64510.6</v>
      </c>
    </row>
    <row r="1338" spans="1:9" x14ac:dyDescent="0.3">
      <c r="A1338" s="5" t="s">
        <v>225</v>
      </c>
      <c r="B1338" t="s">
        <v>256</v>
      </c>
      <c r="C1338" t="s">
        <v>265</v>
      </c>
      <c r="D1338" t="s">
        <v>270</v>
      </c>
      <c r="E1338" t="s">
        <v>273</v>
      </c>
      <c r="F1338" t="s">
        <v>279</v>
      </c>
      <c r="G1338" s="7">
        <v>9</v>
      </c>
      <c r="H1338" s="3">
        <v>42822.559999999998</v>
      </c>
      <c r="I1338" s="3">
        <v>385403.04</v>
      </c>
    </row>
    <row r="1339" spans="1:9" x14ac:dyDescent="0.3">
      <c r="A1339" s="5" t="s">
        <v>225</v>
      </c>
      <c r="B1339" t="s">
        <v>259</v>
      </c>
      <c r="C1339" t="s">
        <v>264</v>
      </c>
      <c r="D1339" t="s">
        <v>269</v>
      </c>
      <c r="E1339" t="s">
        <v>272</v>
      </c>
      <c r="F1339" t="s">
        <v>286</v>
      </c>
      <c r="G1339" s="7">
        <v>6</v>
      </c>
      <c r="H1339" s="3">
        <v>34799.910000000003</v>
      </c>
      <c r="I1339" s="3">
        <v>208799.46</v>
      </c>
    </row>
    <row r="1340" spans="1:9" x14ac:dyDescent="0.3">
      <c r="A1340" s="5" t="s">
        <v>225</v>
      </c>
      <c r="B1340" t="s">
        <v>259</v>
      </c>
      <c r="C1340" t="s">
        <v>261</v>
      </c>
      <c r="D1340" t="s">
        <v>267</v>
      </c>
      <c r="E1340" t="s">
        <v>271</v>
      </c>
      <c r="F1340" t="s">
        <v>285</v>
      </c>
      <c r="G1340" s="7">
        <v>8</v>
      </c>
      <c r="H1340" s="3">
        <v>10567.27</v>
      </c>
      <c r="I1340" s="3">
        <v>84538.16</v>
      </c>
    </row>
    <row r="1341" spans="1:9" x14ac:dyDescent="0.3">
      <c r="A1341" s="5" t="s">
        <v>226</v>
      </c>
      <c r="B1341" t="s">
        <v>259</v>
      </c>
      <c r="C1341" t="s">
        <v>261</v>
      </c>
      <c r="D1341" t="s">
        <v>266</v>
      </c>
      <c r="E1341" t="s">
        <v>271</v>
      </c>
      <c r="F1341" t="s">
        <v>281</v>
      </c>
      <c r="G1341" s="7">
        <v>4</v>
      </c>
      <c r="H1341" s="3">
        <v>10369.92</v>
      </c>
      <c r="I1341" s="3">
        <v>41479.68</v>
      </c>
    </row>
    <row r="1342" spans="1:9" x14ac:dyDescent="0.3">
      <c r="A1342" s="5" t="s">
        <v>226</v>
      </c>
      <c r="B1342" t="s">
        <v>253</v>
      </c>
      <c r="C1342" t="s">
        <v>265</v>
      </c>
      <c r="D1342" t="s">
        <v>269</v>
      </c>
      <c r="E1342" t="s">
        <v>272</v>
      </c>
      <c r="F1342" t="s">
        <v>286</v>
      </c>
      <c r="G1342" s="7">
        <v>2</v>
      </c>
      <c r="H1342" s="3">
        <v>32599.49</v>
      </c>
      <c r="I1342" s="3">
        <v>65198.98</v>
      </c>
    </row>
    <row r="1343" spans="1:9" x14ac:dyDescent="0.3">
      <c r="A1343" s="5" t="s">
        <v>226</v>
      </c>
      <c r="B1343" t="s">
        <v>257</v>
      </c>
      <c r="C1343" t="s">
        <v>264</v>
      </c>
      <c r="D1343" t="s">
        <v>266</v>
      </c>
      <c r="E1343" t="s">
        <v>272</v>
      </c>
      <c r="F1343" t="s">
        <v>290</v>
      </c>
      <c r="G1343" s="7">
        <v>2</v>
      </c>
      <c r="H1343" s="3">
        <v>27448.73</v>
      </c>
      <c r="I1343" s="3">
        <v>54897.46</v>
      </c>
    </row>
    <row r="1344" spans="1:9" x14ac:dyDescent="0.3">
      <c r="A1344" s="5" t="s">
        <v>226</v>
      </c>
      <c r="B1344" t="s">
        <v>253</v>
      </c>
      <c r="C1344" t="s">
        <v>263</v>
      </c>
      <c r="D1344" t="s">
        <v>268</v>
      </c>
      <c r="E1344" t="s">
        <v>271</v>
      </c>
      <c r="F1344" t="s">
        <v>275</v>
      </c>
      <c r="G1344" s="7">
        <v>9</v>
      </c>
      <c r="H1344" s="3">
        <v>10002.799999999999</v>
      </c>
      <c r="I1344" s="3">
        <v>90025.2</v>
      </c>
    </row>
    <row r="1345" spans="1:9" x14ac:dyDescent="0.3">
      <c r="A1345" s="5" t="s">
        <v>226</v>
      </c>
      <c r="B1345" t="s">
        <v>260</v>
      </c>
      <c r="C1345" t="s">
        <v>264</v>
      </c>
      <c r="D1345" t="s">
        <v>268</v>
      </c>
      <c r="E1345" t="s">
        <v>272</v>
      </c>
      <c r="F1345" t="s">
        <v>276</v>
      </c>
      <c r="G1345" s="7">
        <v>1</v>
      </c>
      <c r="H1345" s="3">
        <v>28378.48</v>
      </c>
      <c r="I1345" s="3">
        <v>28378.48</v>
      </c>
    </row>
    <row r="1346" spans="1:9" x14ac:dyDescent="0.3">
      <c r="A1346" s="5" t="s">
        <v>226</v>
      </c>
      <c r="B1346" t="s">
        <v>253</v>
      </c>
      <c r="C1346" t="s">
        <v>262</v>
      </c>
      <c r="D1346" t="s">
        <v>268</v>
      </c>
      <c r="E1346" t="s">
        <v>274</v>
      </c>
      <c r="F1346" t="s">
        <v>287</v>
      </c>
      <c r="G1346" s="7">
        <v>7</v>
      </c>
      <c r="H1346" s="3">
        <v>31382.7</v>
      </c>
      <c r="I1346" s="3">
        <v>219678.9</v>
      </c>
    </row>
    <row r="1347" spans="1:9" x14ac:dyDescent="0.3">
      <c r="A1347" s="5" t="s">
        <v>227</v>
      </c>
      <c r="B1347" t="s">
        <v>256</v>
      </c>
      <c r="C1347" t="s">
        <v>263</v>
      </c>
      <c r="D1347" t="s">
        <v>266</v>
      </c>
      <c r="E1347" t="s">
        <v>273</v>
      </c>
      <c r="F1347" t="s">
        <v>278</v>
      </c>
      <c r="G1347" s="7">
        <v>3</v>
      </c>
      <c r="H1347" s="3">
        <v>51657.58</v>
      </c>
      <c r="I1347" s="3">
        <v>154972.74</v>
      </c>
    </row>
    <row r="1348" spans="1:9" x14ac:dyDescent="0.3">
      <c r="A1348" s="5" t="s">
        <v>227</v>
      </c>
      <c r="B1348" t="s">
        <v>256</v>
      </c>
      <c r="C1348" t="s">
        <v>261</v>
      </c>
      <c r="D1348" t="s">
        <v>269</v>
      </c>
      <c r="E1348" t="s">
        <v>271</v>
      </c>
      <c r="F1348" t="s">
        <v>281</v>
      </c>
      <c r="G1348" s="7">
        <v>3</v>
      </c>
      <c r="H1348" s="3">
        <v>7495.82</v>
      </c>
      <c r="I1348" s="3">
        <v>22487.46</v>
      </c>
    </row>
    <row r="1349" spans="1:9" x14ac:dyDescent="0.3">
      <c r="A1349" s="5" t="s">
        <v>227</v>
      </c>
      <c r="B1349" t="s">
        <v>253</v>
      </c>
      <c r="C1349" t="s">
        <v>263</v>
      </c>
      <c r="D1349" t="s">
        <v>268</v>
      </c>
      <c r="E1349" t="s">
        <v>272</v>
      </c>
      <c r="F1349" t="s">
        <v>286</v>
      </c>
      <c r="G1349" s="7">
        <v>2</v>
      </c>
      <c r="H1349" s="3">
        <v>24343.9</v>
      </c>
      <c r="I1349" s="3">
        <v>48687.8</v>
      </c>
    </row>
    <row r="1350" spans="1:9" x14ac:dyDescent="0.3">
      <c r="A1350" s="5" t="s">
        <v>227</v>
      </c>
      <c r="B1350" t="s">
        <v>257</v>
      </c>
      <c r="C1350" t="s">
        <v>261</v>
      </c>
      <c r="D1350" t="s">
        <v>269</v>
      </c>
      <c r="E1350" t="s">
        <v>274</v>
      </c>
      <c r="F1350" t="s">
        <v>287</v>
      </c>
      <c r="G1350" s="7">
        <v>6</v>
      </c>
      <c r="H1350" s="3">
        <v>32933.81</v>
      </c>
      <c r="I1350" s="3">
        <v>197602.86</v>
      </c>
    </row>
    <row r="1351" spans="1:9" x14ac:dyDescent="0.3">
      <c r="A1351" s="5" t="s">
        <v>227</v>
      </c>
      <c r="B1351" t="s">
        <v>255</v>
      </c>
      <c r="C1351" t="s">
        <v>261</v>
      </c>
      <c r="D1351" t="s">
        <v>266</v>
      </c>
      <c r="E1351" t="s">
        <v>271</v>
      </c>
      <c r="F1351" t="s">
        <v>285</v>
      </c>
      <c r="G1351" s="7">
        <v>2</v>
      </c>
      <c r="H1351" s="3">
        <v>8740.17</v>
      </c>
      <c r="I1351" s="3">
        <v>17480.34</v>
      </c>
    </row>
    <row r="1352" spans="1:9" x14ac:dyDescent="0.3">
      <c r="A1352" s="5" t="s">
        <v>227</v>
      </c>
      <c r="B1352" t="s">
        <v>254</v>
      </c>
      <c r="C1352" t="s">
        <v>263</v>
      </c>
      <c r="D1352" t="s">
        <v>269</v>
      </c>
      <c r="E1352" t="s">
        <v>272</v>
      </c>
      <c r="F1352" t="s">
        <v>290</v>
      </c>
      <c r="G1352" s="7">
        <v>4</v>
      </c>
      <c r="H1352" s="3">
        <v>33831.21</v>
      </c>
      <c r="I1352" s="3">
        <v>135324.84</v>
      </c>
    </row>
    <row r="1353" spans="1:9" x14ac:dyDescent="0.3">
      <c r="A1353" s="5" t="s">
        <v>228</v>
      </c>
      <c r="B1353" t="s">
        <v>257</v>
      </c>
      <c r="C1353" t="s">
        <v>261</v>
      </c>
      <c r="D1353" t="s">
        <v>266</v>
      </c>
      <c r="E1353" t="s">
        <v>271</v>
      </c>
      <c r="F1353" t="s">
        <v>282</v>
      </c>
      <c r="G1353" s="7">
        <v>9</v>
      </c>
      <c r="H1353" s="3">
        <v>7653.92</v>
      </c>
      <c r="I1353" s="3">
        <v>68885.279999999999</v>
      </c>
    </row>
    <row r="1354" spans="1:9" x14ac:dyDescent="0.3">
      <c r="A1354" s="5" t="s">
        <v>228</v>
      </c>
      <c r="B1354" t="s">
        <v>253</v>
      </c>
      <c r="C1354" t="s">
        <v>261</v>
      </c>
      <c r="D1354" t="s">
        <v>266</v>
      </c>
      <c r="E1354" t="s">
        <v>272</v>
      </c>
      <c r="F1354" t="s">
        <v>276</v>
      </c>
      <c r="G1354" s="7">
        <v>9</v>
      </c>
      <c r="H1354" s="3">
        <v>25180.78</v>
      </c>
      <c r="I1354" s="3">
        <v>226627.02</v>
      </c>
    </row>
    <row r="1355" spans="1:9" x14ac:dyDescent="0.3">
      <c r="A1355" s="5" t="s">
        <v>228</v>
      </c>
      <c r="B1355" t="s">
        <v>259</v>
      </c>
      <c r="C1355" t="s">
        <v>262</v>
      </c>
      <c r="D1355" t="s">
        <v>267</v>
      </c>
      <c r="E1355" t="s">
        <v>271</v>
      </c>
      <c r="F1355" t="s">
        <v>285</v>
      </c>
      <c r="G1355" s="7">
        <v>6</v>
      </c>
      <c r="H1355" s="3">
        <v>7726.34</v>
      </c>
      <c r="I1355" s="3">
        <v>46358.04</v>
      </c>
    </row>
    <row r="1356" spans="1:9" x14ac:dyDescent="0.3">
      <c r="A1356" s="5" t="s">
        <v>228</v>
      </c>
      <c r="B1356" t="s">
        <v>258</v>
      </c>
      <c r="C1356" t="s">
        <v>264</v>
      </c>
      <c r="D1356" t="s">
        <v>266</v>
      </c>
      <c r="E1356" t="s">
        <v>274</v>
      </c>
      <c r="F1356" t="s">
        <v>289</v>
      </c>
      <c r="G1356" s="7">
        <v>4</v>
      </c>
      <c r="H1356" s="3">
        <v>27580.62</v>
      </c>
      <c r="I1356" s="3">
        <v>110322.48</v>
      </c>
    </row>
    <row r="1357" spans="1:9" x14ac:dyDescent="0.3">
      <c r="A1357" s="5" t="s">
        <v>228</v>
      </c>
      <c r="B1357" t="s">
        <v>254</v>
      </c>
      <c r="C1357" t="s">
        <v>264</v>
      </c>
      <c r="D1357" t="s">
        <v>266</v>
      </c>
      <c r="E1357" t="s">
        <v>274</v>
      </c>
      <c r="F1357" t="s">
        <v>280</v>
      </c>
      <c r="G1357" s="7">
        <v>7</v>
      </c>
      <c r="H1357" s="3">
        <v>28118.17</v>
      </c>
      <c r="I1357" s="3">
        <v>196827.19</v>
      </c>
    </row>
    <row r="1358" spans="1:9" x14ac:dyDescent="0.3">
      <c r="A1358" s="5" t="s">
        <v>228</v>
      </c>
      <c r="B1358" t="s">
        <v>254</v>
      </c>
      <c r="C1358" t="s">
        <v>262</v>
      </c>
      <c r="D1358" t="s">
        <v>270</v>
      </c>
      <c r="E1358" t="s">
        <v>273</v>
      </c>
      <c r="F1358" t="s">
        <v>283</v>
      </c>
      <c r="G1358" s="7">
        <v>1</v>
      </c>
      <c r="H1358" s="3">
        <v>50127.66</v>
      </c>
      <c r="I1358" s="3">
        <v>50127.66</v>
      </c>
    </row>
    <row r="1359" spans="1:9" x14ac:dyDescent="0.3">
      <c r="A1359" s="5" t="s">
        <v>228</v>
      </c>
      <c r="B1359" t="s">
        <v>256</v>
      </c>
      <c r="C1359" t="s">
        <v>263</v>
      </c>
      <c r="D1359" t="s">
        <v>268</v>
      </c>
      <c r="E1359" t="s">
        <v>271</v>
      </c>
      <c r="F1359" t="s">
        <v>281</v>
      </c>
      <c r="G1359" s="7">
        <v>4</v>
      </c>
      <c r="H1359" s="3">
        <v>8692.39</v>
      </c>
      <c r="I1359" s="3">
        <v>34769.56</v>
      </c>
    </row>
    <row r="1360" spans="1:9" x14ac:dyDescent="0.3">
      <c r="A1360" s="5" t="s">
        <v>229</v>
      </c>
      <c r="B1360" t="s">
        <v>254</v>
      </c>
      <c r="C1360" t="s">
        <v>265</v>
      </c>
      <c r="D1360" t="s">
        <v>267</v>
      </c>
      <c r="E1360" t="s">
        <v>273</v>
      </c>
      <c r="F1360" t="s">
        <v>279</v>
      </c>
      <c r="G1360" s="7">
        <v>5</v>
      </c>
      <c r="H1360" s="3">
        <v>51994.86</v>
      </c>
      <c r="I1360" s="3">
        <v>259974.3</v>
      </c>
    </row>
    <row r="1361" spans="1:9" x14ac:dyDescent="0.3">
      <c r="A1361" s="5" t="s">
        <v>229</v>
      </c>
      <c r="B1361" t="s">
        <v>253</v>
      </c>
      <c r="C1361" t="s">
        <v>265</v>
      </c>
      <c r="D1361" t="s">
        <v>267</v>
      </c>
      <c r="E1361" t="s">
        <v>271</v>
      </c>
      <c r="F1361" t="s">
        <v>282</v>
      </c>
      <c r="G1361" s="7">
        <v>8</v>
      </c>
      <c r="H1361" s="3">
        <v>10599.83</v>
      </c>
      <c r="I1361" s="3">
        <v>84798.64</v>
      </c>
    </row>
    <row r="1362" spans="1:9" x14ac:dyDescent="0.3">
      <c r="A1362" s="5" t="s">
        <v>229</v>
      </c>
      <c r="B1362" t="s">
        <v>259</v>
      </c>
      <c r="C1362" t="s">
        <v>265</v>
      </c>
      <c r="D1362" t="s">
        <v>267</v>
      </c>
      <c r="E1362" t="s">
        <v>272</v>
      </c>
      <c r="F1362" t="s">
        <v>286</v>
      </c>
      <c r="G1362" s="7">
        <v>2</v>
      </c>
      <c r="H1362" s="3">
        <v>31181.19</v>
      </c>
      <c r="I1362" s="3">
        <v>62362.38</v>
      </c>
    </row>
    <row r="1363" spans="1:9" x14ac:dyDescent="0.3">
      <c r="A1363" s="5" t="s">
        <v>229</v>
      </c>
      <c r="B1363" t="s">
        <v>259</v>
      </c>
      <c r="C1363" t="s">
        <v>262</v>
      </c>
      <c r="D1363" t="s">
        <v>270</v>
      </c>
      <c r="E1363" t="s">
        <v>272</v>
      </c>
      <c r="F1363" t="s">
        <v>290</v>
      </c>
      <c r="G1363" s="7">
        <v>5</v>
      </c>
      <c r="H1363" s="3">
        <v>24365.1</v>
      </c>
      <c r="I1363" s="3">
        <v>121825.5</v>
      </c>
    </row>
    <row r="1364" spans="1:9" x14ac:dyDescent="0.3">
      <c r="A1364" s="5" t="s">
        <v>229</v>
      </c>
      <c r="B1364" t="s">
        <v>260</v>
      </c>
      <c r="C1364" t="s">
        <v>262</v>
      </c>
      <c r="D1364" t="s">
        <v>266</v>
      </c>
      <c r="E1364" t="s">
        <v>273</v>
      </c>
      <c r="F1364" t="s">
        <v>278</v>
      </c>
      <c r="G1364" s="7">
        <v>6</v>
      </c>
      <c r="H1364" s="3">
        <v>40132.129999999997</v>
      </c>
      <c r="I1364" s="3">
        <v>240792.78</v>
      </c>
    </row>
    <row r="1365" spans="1:9" x14ac:dyDescent="0.3">
      <c r="A1365" s="5" t="s">
        <v>229</v>
      </c>
      <c r="B1365" t="s">
        <v>259</v>
      </c>
      <c r="C1365" t="s">
        <v>261</v>
      </c>
      <c r="D1365" t="s">
        <v>268</v>
      </c>
      <c r="E1365" t="s">
        <v>271</v>
      </c>
      <c r="F1365" t="s">
        <v>285</v>
      </c>
      <c r="G1365" s="7">
        <v>5</v>
      </c>
      <c r="H1365" s="3">
        <v>10220.41</v>
      </c>
      <c r="I1365" s="3">
        <v>51102.05</v>
      </c>
    </row>
    <row r="1366" spans="1:9" x14ac:dyDescent="0.3">
      <c r="A1366" s="5" t="s">
        <v>230</v>
      </c>
      <c r="B1366" t="s">
        <v>257</v>
      </c>
      <c r="C1366" t="s">
        <v>265</v>
      </c>
      <c r="D1366" t="s">
        <v>269</v>
      </c>
      <c r="E1366" t="s">
        <v>273</v>
      </c>
      <c r="F1366" t="s">
        <v>288</v>
      </c>
      <c r="G1366" s="7">
        <v>9</v>
      </c>
      <c r="H1366" s="3">
        <v>47744.93</v>
      </c>
      <c r="I1366" s="3">
        <v>429704.37</v>
      </c>
    </row>
    <row r="1367" spans="1:9" x14ac:dyDescent="0.3">
      <c r="A1367" s="5" t="s">
        <v>230</v>
      </c>
      <c r="B1367" t="s">
        <v>259</v>
      </c>
      <c r="C1367" t="s">
        <v>263</v>
      </c>
      <c r="D1367" t="s">
        <v>266</v>
      </c>
      <c r="E1367" t="s">
        <v>274</v>
      </c>
      <c r="F1367" t="s">
        <v>284</v>
      </c>
      <c r="G1367" s="7">
        <v>1</v>
      </c>
      <c r="H1367" s="3">
        <v>37757.919999999998</v>
      </c>
      <c r="I1367" s="3">
        <v>37757.919999999998</v>
      </c>
    </row>
    <row r="1368" spans="1:9" x14ac:dyDescent="0.3">
      <c r="A1368" s="5" t="s">
        <v>230</v>
      </c>
      <c r="B1368" t="s">
        <v>256</v>
      </c>
      <c r="C1368" t="s">
        <v>263</v>
      </c>
      <c r="D1368" t="s">
        <v>270</v>
      </c>
      <c r="E1368" t="s">
        <v>273</v>
      </c>
      <c r="F1368" t="s">
        <v>288</v>
      </c>
      <c r="G1368" s="7">
        <v>3</v>
      </c>
      <c r="H1368" s="3">
        <v>53669.02</v>
      </c>
      <c r="I1368" s="3">
        <v>161007.06</v>
      </c>
    </row>
    <row r="1369" spans="1:9" x14ac:dyDescent="0.3">
      <c r="A1369" s="5" t="s">
        <v>230</v>
      </c>
      <c r="B1369" t="s">
        <v>259</v>
      </c>
      <c r="C1369" t="s">
        <v>265</v>
      </c>
      <c r="D1369" t="s">
        <v>266</v>
      </c>
      <c r="E1369" t="s">
        <v>273</v>
      </c>
      <c r="F1369" t="s">
        <v>288</v>
      </c>
      <c r="G1369" s="7">
        <v>2</v>
      </c>
      <c r="H1369" s="3">
        <v>54948.14</v>
      </c>
      <c r="I1369" s="3">
        <v>109896.28</v>
      </c>
    </row>
    <row r="1370" spans="1:9" x14ac:dyDescent="0.3">
      <c r="A1370" s="5" t="s">
        <v>230</v>
      </c>
      <c r="B1370" t="s">
        <v>260</v>
      </c>
      <c r="C1370" t="s">
        <v>265</v>
      </c>
      <c r="D1370" t="s">
        <v>266</v>
      </c>
      <c r="E1370" t="s">
        <v>272</v>
      </c>
      <c r="F1370" t="s">
        <v>277</v>
      </c>
      <c r="G1370" s="7">
        <v>3</v>
      </c>
      <c r="H1370" s="3">
        <v>34438.089999999997</v>
      </c>
      <c r="I1370" s="3">
        <v>103314.27</v>
      </c>
    </row>
    <row r="1371" spans="1:9" x14ac:dyDescent="0.3">
      <c r="A1371" s="5" t="s">
        <v>230</v>
      </c>
      <c r="B1371" t="s">
        <v>258</v>
      </c>
      <c r="C1371" t="s">
        <v>265</v>
      </c>
      <c r="D1371" t="s">
        <v>270</v>
      </c>
      <c r="E1371" t="s">
        <v>273</v>
      </c>
      <c r="F1371" t="s">
        <v>278</v>
      </c>
      <c r="G1371" s="7">
        <v>9</v>
      </c>
      <c r="H1371" s="3">
        <v>48236.86</v>
      </c>
      <c r="I1371" s="3">
        <v>434131.74</v>
      </c>
    </row>
    <row r="1372" spans="1:9" x14ac:dyDescent="0.3">
      <c r="A1372" s="5" t="s">
        <v>231</v>
      </c>
      <c r="B1372" t="s">
        <v>253</v>
      </c>
      <c r="C1372" t="s">
        <v>262</v>
      </c>
      <c r="D1372" t="s">
        <v>267</v>
      </c>
      <c r="E1372" t="s">
        <v>271</v>
      </c>
      <c r="F1372" t="s">
        <v>281</v>
      </c>
      <c r="G1372" s="7">
        <v>9</v>
      </c>
      <c r="H1372" s="3">
        <v>8384.4699999999993</v>
      </c>
      <c r="I1372" s="3">
        <v>75460.23</v>
      </c>
    </row>
    <row r="1373" spans="1:9" x14ac:dyDescent="0.3">
      <c r="A1373" s="5" t="s">
        <v>231</v>
      </c>
      <c r="B1373" t="s">
        <v>256</v>
      </c>
      <c r="C1373" t="s">
        <v>262</v>
      </c>
      <c r="D1373" t="s">
        <v>267</v>
      </c>
      <c r="E1373" t="s">
        <v>272</v>
      </c>
      <c r="F1373" t="s">
        <v>276</v>
      </c>
      <c r="G1373" s="7">
        <v>2</v>
      </c>
      <c r="H1373" s="3">
        <v>34572.89</v>
      </c>
      <c r="I1373" s="3">
        <v>69145.78</v>
      </c>
    </row>
    <row r="1374" spans="1:9" x14ac:dyDescent="0.3">
      <c r="A1374" s="5" t="s">
        <v>231</v>
      </c>
      <c r="B1374" t="s">
        <v>257</v>
      </c>
      <c r="C1374" t="s">
        <v>262</v>
      </c>
      <c r="D1374" t="s">
        <v>268</v>
      </c>
      <c r="E1374" t="s">
        <v>273</v>
      </c>
      <c r="F1374" t="s">
        <v>279</v>
      </c>
      <c r="G1374" s="7">
        <v>3</v>
      </c>
      <c r="H1374" s="3">
        <v>48103.32</v>
      </c>
      <c r="I1374" s="3">
        <v>144309.96</v>
      </c>
    </row>
    <row r="1375" spans="1:9" x14ac:dyDescent="0.3">
      <c r="A1375" s="5" t="s">
        <v>231</v>
      </c>
      <c r="B1375" t="s">
        <v>258</v>
      </c>
      <c r="C1375" t="s">
        <v>264</v>
      </c>
      <c r="D1375" t="s">
        <v>268</v>
      </c>
      <c r="E1375" t="s">
        <v>274</v>
      </c>
      <c r="F1375" t="s">
        <v>287</v>
      </c>
      <c r="G1375" s="7">
        <v>4</v>
      </c>
      <c r="H1375" s="3">
        <v>28022.43</v>
      </c>
      <c r="I1375" s="3">
        <v>112089.72</v>
      </c>
    </row>
    <row r="1376" spans="1:9" x14ac:dyDescent="0.3">
      <c r="A1376" s="5" t="s">
        <v>231</v>
      </c>
      <c r="B1376" t="s">
        <v>256</v>
      </c>
      <c r="C1376" t="s">
        <v>263</v>
      </c>
      <c r="D1376" t="s">
        <v>267</v>
      </c>
      <c r="E1376" t="s">
        <v>273</v>
      </c>
      <c r="F1376" t="s">
        <v>288</v>
      </c>
      <c r="G1376" s="7">
        <v>9</v>
      </c>
      <c r="H1376" s="3">
        <v>49819.98</v>
      </c>
      <c r="I1376" s="3">
        <v>448379.82</v>
      </c>
    </row>
    <row r="1377" spans="1:9" x14ac:dyDescent="0.3">
      <c r="A1377" s="5" t="s">
        <v>231</v>
      </c>
      <c r="B1377" t="s">
        <v>255</v>
      </c>
      <c r="C1377" t="s">
        <v>263</v>
      </c>
      <c r="D1377" t="s">
        <v>269</v>
      </c>
      <c r="E1377" t="s">
        <v>273</v>
      </c>
      <c r="F1377" t="s">
        <v>288</v>
      </c>
      <c r="G1377" s="7">
        <v>3</v>
      </c>
      <c r="H1377" s="3">
        <v>48828.33</v>
      </c>
      <c r="I1377" s="3">
        <v>146484.99</v>
      </c>
    </row>
    <row r="1378" spans="1:9" x14ac:dyDescent="0.3">
      <c r="A1378" s="5" t="s">
        <v>232</v>
      </c>
      <c r="B1378" t="s">
        <v>254</v>
      </c>
      <c r="C1378" t="s">
        <v>261</v>
      </c>
      <c r="D1378" t="s">
        <v>266</v>
      </c>
      <c r="E1378" t="s">
        <v>273</v>
      </c>
      <c r="F1378" t="s">
        <v>288</v>
      </c>
      <c r="G1378" s="7">
        <v>7</v>
      </c>
      <c r="H1378" s="3">
        <v>54374.27</v>
      </c>
      <c r="I1378" s="3">
        <v>380619.89</v>
      </c>
    </row>
    <row r="1379" spans="1:9" x14ac:dyDescent="0.3">
      <c r="A1379" s="5" t="s">
        <v>232</v>
      </c>
      <c r="B1379" t="s">
        <v>255</v>
      </c>
      <c r="C1379" t="s">
        <v>262</v>
      </c>
      <c r="D1379" t="s">
        <v>269</v>
      </c>
      <c r="E1379" t="s">
        <v>272</v>
      </c>
      <c r="F1379" t="s">
        <v>290</v>
      </c>
      <c r="G1379" s="7">
        <v>3</v>
      </c>
      <c r="H1379" s="3">
        <v>31115.7</v>
      </c>
      <c r="I1379" s="3">
        <v>93347.1</v>
      </c>
    </row>
    <row r="1380" spans="1:9" x14ac:dyDescent="0.3">
      <c r="A1380" s="5" t="s">
        <v>232</v>
      </c>
      <c r="B1380" t="s">
        <v>259</v>
      </c>
      <c r="C1380" t="s">
        <v>264</v>
      </c>
      <c r="D1380" t="s">
        <v>266</v>
      </c>
      <c r="E1380" t="s">
        <v>271</v>
      </c>
      <c r="F1380" t="s">
        <v>281</v>
      </c>
      <c r="G1380" s="7">
        <v>7</v>
      </c>
      <c r="H1380" s="3">
        <v>8411.7800000000007</v>
      </c>
      <c r="I1380" s="3">
        <v>58882.46</v>
      </c>
    </row>
    <row r="1381" spans="1:9" x14ac:dyDescent="0.3">
      <c r="A1381" s="5" t="s">
        <v>232</v>
      </c>
      <c r="B1381" t="s">
        <v>258</v>
      </c>
      <c r="C1381" t="s">
        <v>264</v>
      </c>
      <c r="D1381" t="s">
        <v>267</v>
      </c>
      <c r="E1381" t="s">
        <v>274</v>
      </c>
      <c r="F1381" t="s">
        <v>289</v>
      </c>
      <c r="G1381" s="7">
        <v>7</v>
      </c>
      <c r="H1381" s="3">
        <v>39567.69</v>
      </c>
      <c r="I1381" s="3">
        <v>276973.83</v>
      </c>
    </row>
    <row r="1382" spans="1:9" x14ac:dyDescent="0.3">
      <c r="A1382" s="5" t="s">
        <v>232</v>
      </c>
      <c r="B1382" t="s">
        <v>259</v>
      </c>
      <c r="C1382" t="s">
        <v>263</v>
      </c>
      <c r="D1382" t="s">
        <v>268</v>
      </c>
      <c r="E1382" t="s">
        <v>273</v>
      </c>
      <c r="F1382" t="s">
        <v>283</v>
      </c>
      <c r="G1382" s="7">
        <v>9</v>
      </c>
      <c r="H1382" s="3">
        <v>52679.15</v>
      </c>
      <c r="I1382" s="3">
        <v>474112.35</v>
      </c>
    </row>
    <row r="1383" spans="1:9" x14ac:dyDescent="0.3">
      <c r="A1383" s="5" t="s">
        <v>232</v>
      </c>
      <c r="B1383" t="s">
        <v>254</v>
      </c>
      <c r="C1383" t="s">
        <v>262</v>
      </c>
      <c r="D1383" t="s">
        <v>268</v>
      </c>
      <c r="E1383" t="s">
        <v>271</v>
      </c>
      <c r="F1383" t="s">
        <v>281</v>
      </c>
      <c r="G1383" s="7">
        <v>2</v>
      </c>
      <c r="H1383" s="3">
        <v>9368.42</v>
      </c>
      <c r="I1383" s="3">
        <v>18736.84</v>
      </c>
    </row>
    <row r="1384" spans="1:9" x14ac:dyDescent="0.3">
      <c r="A1384" s="5" t="s">
        <v>233</v>
      </c>
      <c r="B1384" t="s">
        <v>256</v>
      </c>
      <c r="C1384" t="s">
        <v>261</v>
      </c>
      <c r="D1384" t="s">
        <v>269</v>
      </c>
      <c r="E1384" t="s">
        <v>271</v>
      </c>
      <c r="F1384" t="s">
        <v>281</v>
      </c>
      <c r="G1384" s="7">
        <v>6</v>
      </c>
      <c r="H1384" s="3">
        <v>8220.9500000000007</v>
      </c>
      <c r="I1384" s="3">
        <v>49325.7</v>
      </c>
    </row>
    <row r="1385" spans="1:9" x14ac:dyDescent="0.3">
      <c r="A1385" s="5" t="s">
        <v>233</v>
      </c>
      <c r="B1385" t="s">
        <v>254</v>
      </c>
      <c r="C1385" t="s">
        <v>262</v>
      </c>
      <c r="D1385" t="s">
        <v>268</v>
      </c>
      <c r="E1385" t="s">
        <v>272</v>
      </c>
      <c r="F1385" t="s">
        <v>290</v>
      </c>
      <c r="G1385" s="7">
        <v>9</v>
      </c>
      <c r="H1385" s="3">
        <v>27983.65</v>
      </c>
      <c r="I1385" s="3">
        <v>251852.85</v>
      </c>
    </row>
    <row r="1386" spans="1:9" x14ac:dyDescent="0.3">
      <c r="A1386" s="5" t="s">
        <v>233</v>
      </c>
      <c r="B1386" t="s">
        <v>260</v>
      </c>
      <c r="C1386" t="s">
        <v>265</v>
      </c>
      <c r="D1386" t="s">
        <v>267</v>
      </c>
      <c r="E1386" t="s">
        <v>274</v>
      </c>
      <c r="F1386" t="s">
        <v>284</v>
      </c>
      <c r="G1386" s="7">
        <v>2</v>
      </c>
      <c r="H1386" s="3">
        <v>35775.620000000003</v>
      </c>
      <c r="I1386" s="3">
        <v>71551.240000000005</v>
      </c>
    </row>
    <row r="1387" spans="1:9" x14ac:dyDescent="0.3">
      <c r="A1387" s="5" t="s">
        <v>233</v>
      </c>
      <c r="B1387" t="s">
        <v>254</v>
      </c>
      <c r="C1387" t="s">
        <v>262</v>
      </c>
      <c r="D1387" t="s">
        <v>269</v>
      </c>
      <c r="E1387" t="s">
        <v>272</v>
      </c>
      <c r="F1387" t="s">
        <v>276</v>
      </c>
      <c r="G1387" s="7">
        <v>2</v>
      </c>
      <c r="H1387" s="3">
        <v>24606.19</v>
      </c>
      <c r="I1387" s="3">
        <v>49212.38</v>
      </c>
    </row>
    <row r="1388" spans="1:9" x14ac:dyDescent="0.3">
      <c r="A1388" s="5" t="s">
        <v>233</v>
      </c>
      <c r="B1388" t="s">
        <v>260</v>
      </c>
      <c r="C1388" t="s">
        <v>265</v>
      </c>
      <c r="D1388" t="s">
        <v>266</v>
      </c>
      <c r="E1388" t="s">
        <v>271</v>
      </c>
      <c r="F1388" t="s">
        <v>275</v>
      </c>
      <c r="G1388" s="7">
        <v>5</v>
      </c>
      <c r="H1388" s="3">
        <v>8097.71</v>
      </c>
      <c r="I1388" s="3">
        <v>40488.550000000003</v>
      </c>
    </row>
    <row r="1389" spans="1:9" x14ac:dyDescent="0.3">
      <c r="A1389" s="5" t="s">
        <v>233</v>
      </c>
      <c r="B1389" t="s">
        <v>254</v>
      </c>
      <c r="C1389" t="s">
        <v>265</v>
      </c>
      <c r="D1389" t="s">
        <v>268</v>
      </c>
      <c r="E1389" t="s">
        <v>271</v>
      </c>
      <c r="F1389" t="s">
        <v>281</v>
      </c>
      <c r="G1389" s="7">
        <v>8</v>
      </c>
      <c r="H1389" s="3">
        <v>9652.26</v>
      </c>
      <c r="I1389" s="3">
        <v>77218.080000000002</v>
      </c>
    </row>
    <row r="1390" spans="1:9" x14ac:dyDescent="0.3">
      <c r="A1390" s="5" t="s">
        <v>234</v>
      </c>
      <c r="B1390" t="s">
        <v>253</v>
      </c>
      <c r="C1390" t="s">
        <v>261</v>
      </c>
      <c r="D1390" t="s">
        <v>270</v>
      </c>
      <c r="E1390" t="s">
        <v>271</v>
      </c>
      <c r="F1390" t="s">
        <v>275</v>
      </c>
      <c r="G1390" s="7">
        <v>9</v>
      </c>
      <c r="H1390" s="3">
        <v>8857.06</v>
      </c>
      <c r="I1390" s="3">
        <v>79713.539999999994</v>
      </c>
    </row>
    <row r="1391" spans="1:9" x14ac:dyDescent="0.3">
      <c r="A1391" s="5" t="s">
        <v>234</v>
      </c>
      <c r="B1391" t="s">
        <v>260</v>
      </c>
      <c r="C1391" t="s">
        <v>263</v>
      </c>
      <c r="D1391" t="s">
        <v>268</v>
      </c>
      <c r="E1391" t="s">
        <v>272</v>
      </c>
      <c r="F1391" t="s">
        <v>277</v>
      </c>
      <c r="G1391" s="7">
        <v>2</v>
      </c>
      <c r="H1391" s="3">
        <v>28306.81</v>
      </c>
      <c r="I1391" s="3">
        <v>56613.62</v>
      </c>
    </row>
    <row r="1392" spans="1:9" x14ac:dyDescent="0.3">
      <c r="A1392" s="5" t="s">
        <v>234</v>
      </c>
      <c r="B1392" t="s">
        <v>258</v>
      </c>
      <c r="C1392" t="s">
        <v>262</v>
      </c>
      <c r="D1392" t="s">
        <v>266</v>
      </c>
      <c r="E1392" t="s">
        <v>274</v>
      </c>
      <c r="F1392" t="s">
        <v>284</v>
      </c>
      <c r="G1392" s="7">
        <v>5</v>
      </c>
      <c r="H1392" s="3">
        <v>29138.66</v>
      </c>
      <c r="I1392" s="3">
        <v>145693.29999999999</v>
      </c>
    </row>
    <row r="1393" spans="1:9" x14ac:dyDescent="0.3">
      <c r="A1393" s="5" t="s">
        <v>234</v>
      </c>
      <c r="B1393" t="s">
        <v>259</v>
      </c>
      <c r="C1393" t="s">
        <v>265</v>
      </c>
      <c r="D1393" t="s">
        <v>269</v>
      </c>
      <c r="E1393" t="s">
        <v>273</v>
      </c>
      <c r="F1393" t="s">
        <v>278</v>
      </c>
      <c r="G1393" s="7">
        <v>7</v>
      </c>
      <c r="H1393" s="3">
        <v>46203.28</v>
      </c>
      <c r="I1393" s="3">
        <v>323422.96000000002</v>
      </c>
    </row>
    <row r="1394" spans="1:9" x14ac:dyDescent="0.3">
      <c r="A1394" s="5" t="s">
        <v>234</v>
      </c>
      <c r="B1394" t="s">
        <v>257</v>
      </c>
      <c r="C1394" t="s">
        <v>262</v>
      </c>
      <c r="D1394" t="s">
        <v>266</v>
      </c>
      <c r="E1394" t="s">
        <v>272</v>
      </c>
      <c r="F1394" t="s">
        <v>290</v>
      </c>
      <c r="G1394" s="7">
        <v>6</v>
      </c>
      <c r="H1394" s="3">
        <v>32431.75</v>
      </c>
      <c r="I1394" s="3">
        <v>194590.5</v>
      </c>
    </row>
    <row r="1395" spans="1:9" x14ac:dyDescent="0.3">
      <c r="A1395" s="5" t="s">
        <v>234</v>
      </c>
      <c r="B1395" t="s">
        <v>259</v>
      </c>
      <c r="C1395" t="s">
        <v>263</v>
      </c>
      <c r="D1395" t="s">
        <v>270</v>
      </c>
      <c r="E1395" t="s">
        <v>271</v>
      </c>
      <c r="F1395" t="s">
        <v>282</v>
      </c>
      <c r="G1395" s="7">
        <v>6</v>
      </c>
      <c r="H1395" s="3">
        <v>8122.64</v>
      </c>
      <c r="I1395" s="3">
        <v>48735.839999999997</v>
      </c>
    </row>
    <row r="1396" spans="1:9" x14ac:dyDescent="0.3">
      <c r="A1396" s="5" t="s">
        <v>234</v>
      </c>
      <c r="B1396" t="s">
        <v>255</v>
      </c>
      <c r="C1396" t="s">
        <v>263</v>
      </c>
      <c r="D1396" t="s">
        <v>267</v>
      </c>
      <c r="E1396" t="s">
        <v>272</v>
      </c>
      <c r="F1396" t="s">
        <v>277</v>
      </c>
      <c r="G1396" s="7">
        <v>7</v>
      </c>
      <c r="H1396" s="3">
        <v>23860.46</v>
      </c>
      <c r="I1396" s="3">
        <v>167023.22</v>
      </c>
    </row>
    <row r="1397" spans="1:9" x14ac:dyDescent="0.3">
      <c r="A1397" s="5" t="s">
        <v>235</v>
      </c>
      <c r="B1397" t="s">
        <v>259</v>
      </c>
      <c r="C1397" t="s">
        <v>264</v>
      </c>
      <c r="D1397" t="s">
        <v>268</v>
      </c>
      <c r="E1397" t="s">
        <v>271</v>
      </c>
      <c r="F1397" t="s">
        <v>285</v>
      </c>
      <c r="G1397" s="7">
        <v>3</v>
      </c>
      <c r="H1397" s="3">
        <v>9497.92</v>
      </c>
      <c r="I1397" s="3">
        <v>28493.759999999998</v>
      </c>
    </row>
    <row r="1398" spans="1:9" x14ac:dyDescent="0.3">
      <c r="A1398" s="5" t="s">
        <v>235</v>
      </c>
      <c r="B1398" t="s">
        <v>256</v>
      </c>
      <c r="C1398" t="s">
        <v>263</v>
      </c>
      <c r="D1398" t="s">
        <v>269</v>
      </c>
      <c r="E1398" t="s">
        <v>273</v>
      </c>
      <c r="F1398" t="s">
        <v>283</v>
      </c>
      <c r="G1398" s="7">
        <v>3</v>
      </c>
      <c r="H1398" s="3">
        <v>55757.279999999999</v>
      </c>
      <c r="I1398" s="3">
        <v>167271.84</v>
      </c>
    </row>
    <row r="1399" spans="1:9" x14ac:dyDescent="0.3">
      <c r="A1399" s="5" t="s">
        <v>235</v>
      </c>
      <c r="B1399" t="s">
        <v>253</v>
      </c>
      <c r="C1399" t="s">
        <v>261</v>
      </c>
      <c r="D1399" t="s">
        <v>267</v>
      </c>
      <c r="E1399" t="s">
        <v>273</v>
      </c>
      <c r="F1399" t="s">
        <v>279</v>
      </c>
      <c r="G1399" s="7">
        <v>9</v>
      </c>
      <c r="H1399" s="3">
        <v>49172.88</v>
      </c>
      <c r="I1399" s="3">
        <v>442555.92</v>
      </c>
    </row>
    <row r="1400" spans="1:9" x14ac:dyDescent="0.3">
      <c r="A1400" s="5" t="s">
        <v>235</v>
      </c>
      <c r="B1400" t="s">
        <v>254</v>
      </c>
      <c r="C1400" t="s">
        <v>265</v>
      </c>
      <c r="D1400" t="s">
        <v>266</v>
      </c>
      <c r="E1400" t="s">
        <v>274</v>
      </c>
      <c r="F1400" t="s">
        <v>287</v>
      </c>
      <c r="G1400" s="7">
        <v>8</v>
      </c>
      <c r="H1400" s="3">
        <v>28735</v>
      </c>
      <c r="I1400" s="3">
        <v>229880</v>
      </c>
    </row>
    <row r="1401" spans="1:9" x14ac:dyDescent="0.3">
      <c r="A1401" s="5" t="s">
        <v>235</v>
      </c>
      <c r="B1401" t="s">
        <v>255</v>
      </c>
      <c r="C1401" t="s">
        <v>264</v>
      </c>
      <c r="D1401" t="s">
        <v>269</v>
      </c>
      <c r="E1401" t="s">
        <v>271</v>
      </c>
      <c r="F1401" t="s">
        <v>285</v>
      </c>
      <c r="G1401" s="7">
        <v>5</v>
      </c>
      <c r="H1401" s="3">
        <v>8315.49</v>
      </c>
      <c r="I1401" s="3">
        <v>41577.449999999997</v>
      </c>
    </row>
    <row r="1402" spans="1:9" x14ac:dyDescent="0.3">
      <c r="A1402" s="5" t="s">
        <v>235</v>
      </c>
      <c r="B1402" t="s">
        <v>256</v>
      </c>
      <c r="C1402" t="s">
        <v>261</v>
      </c>
      <c r="D1402" t="s">
        <v>267</v>
      </c>
      <c r="E1402" t="s">
        <v>274</v>
      </c>
      <c r="F1402" t="s">
        <v>280</v>
      </c>
      <c r="G1402" s="7">
        <v>6</v>
      </c>
      <c r="H1402" s="3">
        <v>38305.81</v>
      </c>
      <c r="I1402" s="3">
        <v>229834.86</v>
      </c>
    </row>
    <row r="1403" spans="1:9" x14ac:dyDescent="0.3">
      <c r="A1403" s="5" t="s">
        <v>236</v>
      </c>
      <c r="B1403" t="s">
        <v>256</v>
      </c>
      <c r="C1403" t="s">
        <v>262</v>
      </c>
      <c r="D1403" t="s">
        <v>269</v>
      </c>
      <c r="E1403" t="s">
        <v>274</v>
      </c>
      <c r="F1403" t="s">
        <v>284</v>
      </c>
      <c r="G1403" s="7">
        <v>1</v>
      </c>
      <c r="H1403" s="3">
        <v>30176.87</v>
      </c>
      <c r="I1403" s="3">
        <v>30176.87</v>
      </c>
    </row>
    <row r="1404" spans="1:9" x14ac:dyDescent="0.3">
      <c r="A1404" s="5" t="s">
        <v>236</v>
      </c>
      <c r="B1404" t="s">
        <v>260</v>
      </c>
      <c r="C1404" t="s">
        <v>265</v>
      </c>
      <c r="D1404" t="s">
        <v>270</v>
      </c>
      <c r="E1404" t="s">
        <v>273</v>
      </c>
      <c r="F1404" t="s">
        <v>279</v>
      </c>
      <c r="G1404" s="7">
        <v>1</v>
      </c>
      <c r="H1404" s="3">
        <v>49188.53</v>
      </c>
      <c r="I1404" s="3">
        <v>49188.53</v>
      </c>
    </row>
    <row r="1405" spans="1:9" x14ac:dyDescent="0.3">
      <c r="A1405" s="5" t="s">
        <v>236</v>
      </c>
      <c r="B1405" t="s">
        <v>259</v>
      </c>
      <c r="C1405" t="s">
        <v>263</v>
      </c>
      <c r="D1405" t="s">
        <v>270</v>
      </c>
      <c r="E1405" t="s">
        <v>272</v>
      </c>
      <c r="F1405" t="s">
        <v>290</v>
      </c>
      <c r="G1405" s="7">
        <v>4</v>
      </c>
      <c r="H1405" s="3">
        <v>28309.919999999998</v>
      </c>
      <c r="I1405" s="3">
        <v>113239.67999999999</v>
      </c>
    </row>
    <row r="1406" spans="1:9" x14ac:dyDescent="0.3">
      <c r="A1406" s="5" t="s">
        <v>236</v>
      </c>
      <c r="B1406" t="s">
        <v>258</v>
      </c>
      <c r="C1406" t="s">
        <v>265</v>
      </c>
      <c r="D1406" t="s">
        <v>268</v>
      </c>
      <c r="E1406" t="s">
        <v>272</v>
      </c>
      <c r="F1406" t="s">
        <v>277</v>
      </c>
      <c r="G1406" s="7">
        <v>2</v>
      </c>
      <c r="H1406" s="3">
        <v>26127.85</v>
      </c>
      <c r="I1406" s="3">
        <v>52255.7</v>
      </c>
    </row>
    <row r="1407" spans="1:9" x14ac:dyDescent="0.3">
      <c r="A1407" s="5" t="s">
        <v>236</v>
      </c>
      <c r="B1407" t="s">
        <v>257</v>
      </c>
      <c r="C1407" t="s">
        <v>262</v>
      </c>
      <c r="D1407" t="s">
        <v>268</v>
      </c>
      <c r="E1407" t="s">
        <v>274</v>
      </c>
      <c r="F1407" t="s">
        <v>287</v>
      </c>
      <c r="G1407" s="7">
        <v>7</v>
      </c>
      <c r="H1407" s="3">
        <v>37611.61</v>
      </c>
      <c r="I1407" s="3">
        <v>263281.27</v>
      </c>
    </row>
    <row r="1408" spans="1:9" x14ac:dyDescent="0.3">
      <c r="A1408" s="5" t="s">
        <v>236</v>
      </c>
      <c r="B1408" t="s">
        <v>258</v>
      </c>
      <c r="C1408" t="s">
        <v>264</v>
      </c>
      <c r="D1408" t="s">
        <v>270</v>
      </c>
      <c r="E1408" t="s">
        <v>273</v>
      </c>
      <c r="F1408" t="s">
        <v>288</v>
      </c>
      <c r="G1408" s="7">
        <v>2</v>
      </c>
      <c r="H1408" s="3">
        <v>51620.959999999999</v>
      </c>
      <c r="I1408" s="3">
        <v>103241.92</v>
      </c>
    </row>
    <row r="1409" spans="1:9" x14ac:dyDescent="0.3">
      <c r="A1409" s="5" t="s">
        <v>237</v>
      </c>
      <c r="B1409" t="s">
        <v>255</v>
      </c>
      <c r="C1409" t="s">
        <v>264</v>
      </c>
      <c r="D1409" t="s">
        <v>269</v>
      </c>
      <c r="E1409" t="s">
        <v>271</v>
      </c>
      <c r="F1409" t="s">
        <v>275</v>
      </c>
      <c r="G1409" s="7">
        <v>2</v>
      </c>
      <c r="H1409" s="3">
        <v>9474.41</v>
      </c>
      <c r="I1409" s="3">
        <v>18948.82</v>
      </c>
    </row>
    <row r="1410" spans="1:9" x14ac:dyDescent="0.3">
      <c r="A1410" s="5" t="s">
        <v>237</v>
      </c>
      <c r="B1410" t="s">
        <v>253</v>
      </c>
      <c r="C1410" t="s">
        <v>264</v>
      </c>
      <c r="D1410" t="s">
        <v>270</v>
      </c>
      <c r="E1410" t="s">
        <v>272</v>
      </c>
      <c r="F1410" t="s">
        <v>286</v>
      </c>
      <c r="G1410" s="7">
        <v>5</v>
      </c>
      <c r="H1410" s="3">
        <v>26446.97</v>
      </c>
      <c r="I1410" s="3">
        <v>132234.85</v>
      </c>
    </row>
    <row r="1411" spans="1:9" x14ac:dyDescent="0.3">
      <c r="A1411" s="5" t="s">
        <v>237</v>
      </c>
      <c r="B1411" t="s">
        <v>258</v>
      </c>
      <c r="C1411" t="s">
        <v>263</v>
      </c>
      <c r="D1411" t="s">
        <v>268</v>
      </c>
      <c r="E1411" t="s">
        <v>274</v>
      </c>
      <c r="F1411" t="s">
        <v>284</v>
      </c>
      <c r="G1411" s="7">
        <v>4</v>
      </c>
      <c r="H1411" s="3">
        <v>28452.57</v>
      </c>
      <c r="I1411" s="3">
        <v>113810.28</v>
      </c>
    </row>
    <row r="1412" spans="1:9" x14ac:dyDescent="0.3">
      <c r="A1412" s="5" t="s">
        <v>237</v>
      </c>
      <c r="B1412" t="s">
        <v>254</v>
      </c>
      <c r="C1412" t="s">
        <v>261</v>
      </c>
      <c r="D1412" t="s">
        <v>270</v>
      </c>
      <c r="E1412" t="s">
        <v>272</v>
      </c>
      <c r="F1412" t="s">
        <v>290</v>
      </c>
      <c r="G1412" s="7">
        <v>8</v>
      </c>
      <c r="H1412" s="3">
        <v>30252.98</v>
      </c>
      <c r="I1412" s="3">
        <v>242023.84</v>
      </c>
    </row>
    <row r="1413" spans="1:9" x14ac:dyDescent="0.3">
      <c r="A1413" s="5" t="s">
        <v>237</v>
      </c>
      <c r="B1413" t="s">
        <v>258</v>
      </c>
      <c r="C1413" t="s">
        <v>261</v>
      </c>
      <c r="D1413" t="s">
        <v>270</v>
      </c>
      <c r="E1413" t="s">
        <v>272</v>
      </c>
      <c r="F1413" t="s">
        <v>277</v>
      </c>
      <c r="G1413" s="7">
        <v>4</v>
      </c>
      <c r="H1413" s="3">
        <v>30001.19</v>
      </c>
      <c r="I1413" s="3">
        <v>120004.76</v>
      </c>
    </row>
    <row r="1414" spans="1:9" x14ac:dyDescent="0.3">
      <c r="A1414" s="5" t="s">
        <v>237</v>
      </c>
      <c r="B1414" t="s">
        <v>255</v>
      </c>
      <c r="C1414" t="s">
        <v>265</v>
      </c>
      <c r="D1414" t="s">
        <v>269</v>
      </c>
      <c r="E1414" t="s">
        <v>271</v>
      </c>
      <c r="F1414" t="s">
        <v>282</v>
      </c>
      <c r="G1414" s="7">
        <v>6</v>
      </c>
      <c r="H1414" s="3">
        <v>7865.51</v>
      </c>
      <c r="I1414" s="3">
        <v>47193.06</v>
      </c>
    </row>
    <row r="1415" spans="1:9" x14ac:dyDescent="0.3">
      <c r="A1415" s="5" t="s">
        <v>238</v>
      </c>
      <c r="B1415" t="s">
        <v>257</v>
      </c>
      <c r="C1415" t="s">
        <v>263</v>
      </c>
      <c r="D1415" t="s">
        <v>267</v>
      </c>
      <c r="E1415" t="s">
        <v>273</v>
      </c>
      <c r="F1415" t="s">
        <v>278</v>
      </c>
      <c r="G1415" s="7">
        <v>5</v>
      </c>
      <c r="H1415" s="3">
        <v>39262.44</v>
      </c>
      <c r="I1415" s="3">
        <v>196312.2</v>
      </c>
    </row>
    <row r="1416" spans="1:9" x14ac:dyDescent="0.3">
      <c r="A1416" s="5" t="s">
        <v>238</v>
      </c>
      <c r="B1416" t="s">
        <v>258</v>
      </c>
      <c r="C1416" t="s">
        <v>264</v>
      </c>
      <c r="D1416" t="s">
        <v>268</v>
      </c>
      <c r="E1416" t="s">
        <v>271</v>
      </c>
      <c r="F1416" t="s">
        <v>282</v>
      </c>
      <c r="G1416" s="7">
        <v>2</v>
      </c>
      <c r="H1416" s="3">
        <v>7499.41</v>
      </c>
      <c r="I1416" s="3">
        <v>14998.82</v>
      </c>
    </row>
    <row r="1417" spans="1:9" x14ac:dyDescent="0.3">
      <c r="A1417" s="5" t="s">
        <v>238</v>
      </c>
      <c r="B1417" t="s">
        <v>254</v>
      </c>
      <c r="C1417" t="s">
        <v>264</v>
      </c>
      <c r="D1417" t="s">
        <v>269</v>
      </c>
      <c r="E1417" t="s">
        <v>273</v>
      </c>
      <c r="F1417" t="s">
        <v>278</v>
      </c>
      <c r="G1417" s="7">
        <v>8</v>
      </c>
      <c r="H1417" s="3">
        <v>56119.88</v>
      </c>
      <c r="I1417" s="3">
        <v>448959.04</v>
      </c>
    </row>
    <row r="1418" spans="1:9" x14ac:dyDescent="0.3">
      <c r="A1418" s="5" t="s">
        <v>238</v>
      </c>
      <c r="B1418" t="s">
        <v>260</v>
      </c>
      <c r="C1418" t="s">
        <v>262</v>
      </c>
      <c r="D1418" t="s">
        <v>270</v>
      </c>
      <c r="E1418" t="s">
        <v>272</v>
      </c>
      <c r="F1418" t="s">
        <v>276</v>
      </c>
      <c r="G1418" s="7">
        <v>2</v>
      </c>
      <c r="H1418" s="3">
        <v>32576.14</v>
      </c>
      <c r="I1418" s="3">
        <v>65152.28</v>
      </c>
    </row>
    <row r="1419" spans="1:9" x14ac:dyDescent="0.3">
      <c r="A1419" s="5" t="s">
        <v>238</v>
      </c>
      <c r="B1419" t="s">
        <v>253</v>
      </c>
      <c r="C1419" t="s">
        <v>262</v>
      </c>
      <c r="D1419" t="s">
        <v>270</v>
      </c>
      <c r="E1419" t="s">
        <v>274</v>
      </c>
      <c r="F1419" t="s">
        <v>284</v>
      </c>
      <c r="G1419" s="7">
        <v>9</v>
      </c>
      <c r="H1419" s="3">
        <v>39001.440000000002</v>
      </c>
      <c r="I1419" s="3">
        <v>351012.96</v>
      </c>
    </row>
    <row r="1420" spans="1:9" x14ac:dyDescent="0.3">
      <c r="A1420" s="5" t="s">
        <v>238</v>
      </c>
      <c r="B1420" t="s">
        <v>255</v>
      </c>
      <c r="C1420" t="s">
        <v>264</v>
      </c>
      <c r="D1420" t="s">
        <v>267</v>
      </c>
      <c r="E1420" t="s">
        <v>271</v>
      </c>
      <c r="F1420" t="s">
        <v>281</v>
      </c>
      <c r="G1420" s="7">
        <v>9</v>
      </c>
      <c r="H1420" s="3">
        <v>7888.19</v>
      </c>
      <c r="I1420" s="3">
        <v>70993.710000000006</v>
      </c>
    </row>
    <row r="1421" spans="1:9" x14ac:dyDescent="0.3">
      <c r="A1421" s="5" t="s">
        <v>239</v>
      </c>
      <c r="B1421" t="s">
        <v>260</v>
      </c>
      <c r="C1421" t="s">
        <v>264</v>
      </c>
      <c r="D1421" t="s">
        <v>268</v>
      </c>
      <c r="E1421" t="s">
        <v>273</v>
      </c>
      <c r="F1421" t="s">
        <v>279</v>
      </c>
      <c r="G1421" s="7">
        <v>3</v>
      </c>
      <c r="H1421" s="3">
        <v>55540.23</v>
      </c>
      <c r="I1421" s="3">
        <v>166620.69</v>
      </c>
    </row>
    <row r="1422" spans="1:9" x14ac:dyDescent="0.3">
      <c r="A1422" s="5" t="s">
        <v>239</v>
      </c>
      <c r="B1422" t="s">
        <v>260</v>
      </c>
      <c r="C1422" t="s">
        <v>263</v>
      </c>
      <c r="D1422" t="s">
        <v>268</v>
      </c>
      <c r="E1422" t="s">
        <v>272</v>
      </c>
      <c r="F1422" t="s">
        <v>277</v>
      </c>
      <c r="G1422" s="7">
        <v>4</v>
      </c>
      <c r="H1422" s="3">
        <v>25397.73</v>
      </c>
      <c r="I1422" s="3">
        <v>101590.92</v>
      </c>
    </row>
    <row r="1423" spans="1:9" x14ac:dyDescent="0.3">
      <c r="A1423" s="5" t="s">
        <v>239</v>
      </c>
      <c r="B1423" t="s">
        <v>260</v>
      </c>
      <c r="C1423" t="s">
        <v>261</v>
      </c>
      <c r="D1423" t="s">
        <v>266</v>
      </c>
      <c r="E1423" t="s">
        <v>273</v>
      </c>
      <c r="F1423" t="s">
        <v>279</v>
      </c>
      <c r="G1423" s="7">
        <v>8</v>
      </c>
      <c r="H1423" s="3">
        <v>47413.47</v>
      </c>
      <c r="I1423" s="3">
        <v>379307.76</v>
      </c>
    </row>
    <row r="1424" spans="1:9" x14ac:dyDescent="0.3">
      <c r="A1424" s="5" t="s">
        <v>239</v>
      </c>
      <c r="B1424" t="s">
        <v>256</v>
      </c>
      <c r="C1424" t="s">
        <v>262</v>
      </c>
      <c r="D1424" t="s">
        <v>268</v>
      </c>
      <c r="E1424" t="s">
        <v>273</v>
      </c>
      <c r="F1424" t="s">
        <v>288</v>
      </c>
      <c r="G1424" s="7">
        <v>9</v>
      </c>
      <c r="H1424" s="3">
        <v>53184.52</v>
      </c>
      <c r="I1424" s="3">
        <v>478660.68</v>
      </c>
    </row>
    <row r="1425" spans="1:9" x14ac:dyDescent="0.3">
      <c r="A1425" s="5" t="s">
        <v>239</v>
      </c>
      <c r="B1425" t="s">
        <v>253</v>
      </c>
      <c r="C1425" t="s">
        <v>261</v>
      </c>
      <c r="D1425" t="s">
        <v>267</v>
      </c>
      <c r="E1425" t="s">
        <v>273</v>
      </c>
      <c r="F1425" t="s">
        <v>283</v>
      </c>
      <c r="G1425" s="7">
        <v>3</v>
      </c>
      <c r="H1425" s="3">
        <v>44546.46</v>
      </c>
      <c r="I1425" s="3">
        <v>133639.38</v>
      </c>
    </row>
    <row r="1426" spans="1:9" x14ac:dyDescent="0.3">
      <c r="A1426" s="5" t="s">
        <v>239</v>
      </c>
      <c r="B1426" t="s">
        <v>257</v>
      </c>
      <c r="C1426" t="s">
        <v>263</v>
      </c>
      <c r="D1426" t="s">
        <v>266</v>
      </c>
      <c r="E1426" t="s">
        <v>272</v>
      </c>
      <c r="F1426" t="s">
        <v>290</v>
      </c>
      <c r="G1426" s="7">
        <v>5</v>
      </c>
      <c r="H1426" s="3">
        <v>28558.080000000002</v>
      </c>
      <c r="I1426" s="3">
        <v>142790.39999999999</v>
      </c>
    </row>
    <row r="1427" spans="1:9" x14ac:dyDescent="0.3">
      <c r="A1427" s="5" t="s">
        <v>240</v>
      </c>
      <c r="B1427" t="s">
        <v>259</v>
      </c>
      <c r="C1427" t="s">
        <v>264</v>
      </c>
      <c r="D1427" t="s">
        <v>266</v>
      </c>
      <c r="E1427" t="s">
        <v>274</v>
      </c>
      <c r="F1427" t="s">
        <v>289</v>
      </c>
      <c r="G1427" s="7">
        <v>8</v>
      </c>
      <c r="H1427" s="3">
        <v>28840.77</v>
      </c>
      <c r="I1427" s="3">
        <v>230726.16</v>
      </c>
    </row>
    <row r="1428" spans="1:9" x14ac:dyDescent="0.3">
      <c r="A1428" s="5" t="s">
        <v>240</v>
      </c>
      <c r="B1428" t="s">
        <v>253</v>
      </c>
      <c r="C1428" t="s">
        <v>261</v>
      </c>
      <c r="D1428" t="s">
        <v>270</v>
      </c>
      <c r="E1428" t="s">
        <v>274</v>
      </c>
      <c r="F1428" t="s">
        <v>284</v>
      </c>
      <c r="G1428" s="7">
        <v>3</v>
      </c>
      <c r="H1428" s="3">
        <v>28773.4</v>
      </c>
      <c r="I1428" s="3">
        <v>86320.2</v>
      </c>
    </row>
    <row r="1429" spans="1:9" x14ac:dyDescent="0.3">
      <c r="A1429" s="5" t="s">
        <v>240</v>
      </c>
      <c r="B1429" t="s">
        <v>256</v>
      </c>
      <c r="C1429" t="s">
        <v>264</v>
      </c>
      <c r="D1429" t="s">
        <v>270</v>
      </c>
      <c r="E1429" t="s">
        <v>274</v>
      </c>
      <c r="F1429" t="s">
        <v>287</v>
      </c>
      <c r="G1429" s="7">
        <v>7</v>
      </c>
      <c r="H1429" s="3">
        <v>35130.47</v>
      </c>
      <c r="I1429" s="3">
        <v>245913.29</v>
      </c>
    </row>
    <row r="1430" spans="1:9" x14ac:dyDescent="0.3">
      <c r="A1430" s="5" t="s">
        <v>240</v>
      </c>
      <c r="B1430" t="s">
        <v>259</v>
      </c>
      <c r="C1430" t="s">
        <v>264</v>
      </c>
      <c r="D1430" t="s">
        <v>268</v>
      </c>
      <c r="E1430" t="s">
        <v>273</v>
      </c>
      <c r="F1430" t="s">
        <v>279</v>
      </c>
      <c r="G1430" s="7">
        <v>8</v>
      </c>
      <c r="H1430" s="3">
        <v>50409.58</v>
      </c>
      <c r="I1430" s="3">
        <v>403276.64</v>
      </c>
    </row>
    <row r="1431" spans="1:9" x14ac:dyDescent="0.3">
      <c r="A1431" s="5" t="s">
        <v>240</v>
      </c>
      <c r="B1431" t="s">
        <v>253</v>
      </c>
      <c r="C1431" t="s">
        <v>265</v>
      </c>
      <c r="D1431" t="s">
        <v>266</v>
      </c>
      <c r="E1431" t="s">
        <v>272</v>
      </c>
      <c r="F1431" t="s">
        <v>290</v>
      </c>
      <c r="G1431" s="7">
        <v>3</v>
      </c>
      <c r="H1431" s="3">
        <v>32506.12</v>
      </c>
      <c r="I1431" s="3">
        <v>97518.36</v>
      </c>
    </row>
    <row r="1432" spans="1:9" x14ac:dyDescent="0.3">
      <c r="A1432" s="5" t="s">
        <v>240</v>
      </c>
      <c r="B1432" t="s">
        <v>260</v>
      </c>
      <c r="C1432" t="s">
        <v>261</v>
      </c>
      <c r="D1432" t="s">
        <v>270</v>
      </c>
      <c r="E1432" t="s">
        <v>273</v>
      </c>
      <c r="F1432" t="s">
        <v>278</v>
      </c>
      <c r="G1432" s="7">
        <v>2</v>
      </c>
      <c r="H1432" s="3">
        <v>48270.28</v>
      </c>
      <c r="I1432" s="3">
        <v>96540.56</v>
      </c>
    </row>
    <row r="1433" spans="1:9" x14ac:dyDescent="0.3">
      <c r="A1433" s="5" t="s">
        <v>240</v>
      </c>
      <c r="B1433" t="s">
        <v>255</v>
      </c>
      <c r="C1433" t="s">
        <v>261</v>
      </c>
      <c r="D1433" t="s">
        <v>267</v>
      </c>
      <c r="E1433" t="s">
        <v>274</v>
      </c>
      <c r="F1433" t="s">
        <v>289</v>
      </c>
      <c r="G1433" s="7">
        <v>7</v>
      </c>
      <c r="H1433" s="3">
        <v>35465.72</v>
      </c>
      <c r="I1433" s="3">
        <v>248260.04</v>
      </c>
    </row>
    <row r="1434" spans="1:9" x14ac:dyDescent="0.3">
      <c r="A1434" s="5" t="s">
        <v>241</v>
      </c>
      <c r="B1434" t="s">
        <v>259</v>
      </c>
      <c r="C1434" t="s">
        <v>264</v>
      </c>
      <c r="D1434" t="s">
        <v>270</v>
      </c>
      <c r="E1434" t="s">
        <v>274</v>
      </c>
      <c r="F1434" t="s">
        <v>284</v>
      </c>
      <c r="G1434" s="7">
        <v>9</v>
      </c>
      <c r="H1434" s="3">
        <v>27373.02</v>
      </c>
      <c r="I1434" s="3">
        <v>246357.18</v>
      </c>
    </row>
    <row r="1435" spans="1:9" x14ac:dyDescent="0.3">
      <c r="A1435" s="5" t="s">
        <v>241</v>
      </c>
      <c r="B1435" t="s">
        <v>254</v>
      </c>
      <c r="C1435" t="s">
        <v>263</v>
      </c>
      <c r="D1435" t="s">
        <v>270</v>
      </c>
      <c r="E1435" t="s">
        <v>272</v>
      </c>
      <c r="F1435" t="s">
        <v>277</v>
      </c>
      <c r="G1435" s="7">
        <v>1</v>
      </c>
      <c r="H1435" s="3">
        <v>25616.31</v>
      </c>
      <c r="I1435" s="3">
        <v>25616.31</v>
      </c>
    </row>
    <row r="1436" spans="1:9" x14ac:dyDescent="0.3">
      <c r="A1436" s="5" t="s">
        <v>241</v>
      </c>
      <c r="B1436" t="s">
        <v>254</v>
      </c>
      <c r="C1436" t="s">
        <v>265</v>
      </c>
      <c r="D1436" t="s">
        <v>266</v>
      </c>
      <c r="E1436" t="s">
        <v>273</v>
      </c>
      <c r="F1436" t="s">
        <v>283</v>
      </c>
      <c r="G1436" s="7">
        <v>3</v>
      </c>
      <c r="H1436" s="3">
        <v>55978.47</v>
      </c>
      <c r="I1436" s="3">
        <v>167935.41</v>
      </c>
    </row>
    <row r="1437" spans="1:9" x14ac:dyDescent="0.3">
      <c r="A1437" s="5" t="s">
        <v>241</v>
      </c>
      <c r="B1437" t="s">
        <v>258</v>
      </c>
      <c r="C1437" t="s">
        <v>264</v>
      </c>
      <c r="D1437" t="s">
        <v>266</v>
      </c>
      <c r="E1437" t="s">
        <v>271</v>
      </c>
      <c r="F1437" t="s">
        <v>285</v>
      </c>
      <c r="G1437" s="7">
        <v>5</v>
      </c>
      <c r="H1437" s="3">
        <v>7483.38</v>
      </c>
      <c r="I1437" s="3">
        <v>37416.9</v>
      </c>
    </row>
    <row r="1438" spans="1:9" x14ac:dyDescent="0.3">
      <c r="A1438" s="5" t="s">
        <v>241</v>
      </c>
      <c r="B1438" t="s">
        <v>259</v>
      </c>
      <c r="C1438" t="s">
        <v>262</v>
      </c>
      <c r="D1438" t="s">
        <v>269</v>
      </c>
      <c r="E1438" t="s">
        <v>271</v>
      </c>
      <c r="F1438" t="s">
        <v>281</v>
      </c>
      <c r="G1438" s="7">
        <v>3</v>
      </c>
      <c r="H1438" s="3">
        <v>9532.8799999999992</v>
      </c>
      <c r="I1438" s="3">
        <v>28598.639999999999</v>
      </c>
    </row>
    <row r="1439" spans="1:9" x14ac:dyDescent="0.3">
      <c r="A1439" s="5" t="s">
        <v>241</v>
      </c>
      <c r="B1439" t="s">
        <v>255</v>
      </c>
      <c r="C1439" t="s">
        <v>262</v>
      </c>
      <c r="D1439" t="s">
        <v>267</v>
      </c>
      <c r="E1439" t="s">
        <v>274</v>
      </c>
      <c r="F1439" t="s">
        <v>284</v>
      </c>
      <c r="G1439" s="7">
        <v>1</v>
      </c>
      <c r="H1439" s="3">
        <v>29453.86</v>
      </c>
      <c r="I1439" s="3">
        <v>29453.86</v>
      </c>
    </row>
    <row r="1440" spans="1:9" x14ac:dyDescent="0.3">
      <c r="A1440" s="5" t="s">
        <v>242</v>
      </c>
      <c r="B1440" t="s">
        <v>257</v>
      </c>
      <c r="C1440" t="s">
        <v>265</v>
      </c>
      <c r="D1440" t="s">
        <v>266</v>
      </c>
      <c r="E1440" t="s">
        <v>272</v>
      </c>
      <c r="F1440" t="s">
        <v>286</v>
      </c>
      <c r="G1440" s="7">
        <v>7</v>
      </c>
      <c r="H1440" s="3">
        <v>31827.25</v>
      </c>
      <c r="I1440" s="3">
        <v>222790.75</v>
      </c>
    </row>
    <row r="1441" spans="1:9" x14ac:dyDescent="0.3">
      <c r="A1441" s="5" t="s">
        <v>242</v>
      </c>
      <c r="B1441" t="s">
        <v>256</v>
      </c>
      <c r="C1441" t="s">
        <v>263</v>
      </c>
      <c r="D1441" t="s">
        <v>268</v>
      </c>
      <c r="E1441" t="s">
        <v>273</v>
      </c>
      <c r="F1441" t="s">
        <v>283</v>
      </c>
      <c r="G1441" s="7">
        <v>7</v>
      </c>
      <c r="H1441" s="3">
        <v>50957.83</v>
      </c>
      <c r="I1441" s="3">
        <v>356704.81</v>
      </c>
    </row>
    <row r="1442" spans="1:9" x14ac:dyDescent="0.3">
      <c r="A1442" s="5" t="s">
        <v>242</v>
      </c>
      <c r="B1442" t="s">
        <v>260</v>
      </c>
      <c r="C1442" t="s">
        <v>264</v>
      </c>
      <c r="D1442" t="s">
        <v>267</v>
      </c>
      <c r="E1442" t="s">
        <v>273</v>
      </c>
      <c r="F1442" t="s">
        <v>283</v>
      </c>
      <c r="G1442" s="7">
        <v>8</v>
      </c>
      <c r="H1442" s="3">
        <v>42465.58</v>
      </c>
      <c r="I1442" s="3">
        <v>339724.64</v>
      </c>
    </row>
    <row r="1443" spans="1:9" x14ac:dyDescent="0.3">
      <c r="A1443" s="5" t="s">
        <v>242</v>
      </c>
      <c r="B1443" t="s">
        <v>258</v>
      </c>
      <c r="C1443" t="s">
        <v>261</v>
      </c>
      <c r="D1443" t="s">
        <v>267</v>
      </c>
      <c r="E1443" t="s">
        <v>274</v>
      </c>
      <c r="F1443" t="s">
        <v>284</v>
      </c>
      <c r="G1443" s="7">
        <v>5</v>
      </c>
      <c r="H1443" s="3">
        <v>30651.32</v>
      </c>
      <c r="I1443" s="3">
        <v>153256.6</v>
      </c>
    </row>
    <row r="1444" spans="1:9" x14ac:dyDescent="0.3">
      <c r="A1444" s="5" t="s">
        <v>242</v>
      </c>
      <c r="B1444" t="s">
        <v>254</v>
      </c>
      <c r="C1444" t="s">
        <v>265</v>
      </c>
      <c r="D1444" t="s">
        <v>266</v>
      </c>
      <c r="E1444" t="s">
        <v>274</v>
      </c>
      <c r="F1444" t="s">
        <v>280</v>
      </c>
      <c r="G1444" s="7">
        <v>5</v>
      </c>
      <c r="H1444" s="3">
        <v>35581.07</v>
      </c>
      <c r="I1444" s="3">
        <v>177905.35</v>
      </c>
    </row>
    <row r="1445" spans="1:9" x14ac:dyDescent="0.3">
      <c r="A1445" s="5" t="s">
        <v>242</v>
      </c>
      <c r="B1445" t="s">
        <v>256</v>
      </c>
      <c r="C1445" t="s">
        <v>263</v>
      </c>
      <c r="D1445" t="s">
        <v>267</v>
      </c>
      <c r="E1445" t="s">
        <v>273</v>
      </c>
      <c r="F1445" t="s">
        <v>279</v>
      </c>
      <c r="G1445" s="7">
        <v>5</v>
      </c>
      <c r="H1445" s="3">
        <v>45271.55</v>
      </c>
      <c r="I1445" s="3">
        <v>226357.75</v>
      </c>
    </row>
    <row r="1446" spans="1:9" x14ac:dyDescent="0.3">
      <c r="A1446" s="5" t="s">
        <v>243</v>
      </c>
      <c r="B1446" t="s">
        <v>256</v>
      </c>
      <c r="C1446" t="s">
        <v>261</v>
      </c>
      <c r="D1446" t="s">
        <v>266</v>
      </c>
      <c r="E1446" t="s">
        <v>273</v>
      </c>
      <c r="F1446" t="s">
        <v>288</v>
      </c>
      <c r="G1446" s="7">
        <v>1</v>
      </c>
      <c r="H1446" s="3">
        <v>41751.86</v>
      </c>
      <c r="I1446" s="3">
        <v>41751.86</v>
      </c>
    </row>
    <row r="1447" spans="1:9" x14ac:dyDescent="0.3">
      <c r="A1447" s="5" t="s">
        <v>243</v>
      </c>
      <c r="B1447" t="s">
        <v>260</v>
      </c>
      <c r="C1447" t="s">
        <v>262</v>
      </c>
      <c r="D1447" t="s">
        <v>270</v>
      </c>
      <c r="E1447" t="s">
        <v>274</v>
      </c>
      <c r="F1447" t="s">
        <v>289</v>
      </c>
      <c r="G1447" s="7">
        <v>5</v>
      </c>
      <c r="H1447" s="3">
        <v>36565.5</v>
      </c>
      <c r="I1447" s="3">
        <v>182827.5</v>
      </c>
    </row>
    <row r="1448" spans="1:9" x14ac:dyDescent="0.3">
      <c r="A1448" s="5" t="s">
        <v>243</v>
      </c>
      <c r="B1448" t="s">
        <v>257</v>
      </c>
      <c r="C1448" t="s">
        <v>262</v>
      </c>
      <c r="D1448" t="s">
        <v>269</v>
      </c>
      <c r="E1448" t="s">
        <v>273</v>
      </c>
      <c r="F1448" t="s">
        <v>283</v>
      </c>
      <c r="G1448" s="7">
        <v>6</v>
      </c>
      <c r="H1448" s="3">
        <v>41024.660000000003</v>
      </c>
      <c r="I1448" s="3">
        <v>246147.96</v>
      </c>
    </row>
    <row r="1449" spans="1:9" x14ac:dyDescent="0.3">
      <c r="A1449" s="5" t="s">
        <v>243</v>
      </c>
      <c r="B1449" t="s">
        <v>257</v>
      </c>
      <c r="C1449" t="s">
        <v>261</v>
      </c>
      <c r="D1449" t="s">
        <v>270</v>
      </c>
      <c r="E1449" t="s">
        <v>271</v>
      </c>
      <c r="F1449" t="s">
        <v>281</v>
      </c>
      <c r="G1449" s="7">
        <v>1</v>
      </c>
      <c r="H1449" s="3">
        <v>10134.19</v>
      </c>
      <c r="I1449" s="3">
        <v>10134.19</v>
      </c>
    </row>
    <row r="1450" spans="1:9" x14ac:dyDescent="0.3">
      <c r="A1450" s="5" t="s">
        <v>243</v>
      </c>
      <c r="B1450" t="s">
        <v>259</v>
      </c>
      <c r="C1450" t="s">
        <v>265</v>
      </c>
      <c r="D1450" t="s">
        <v>266</v>
      </c>
      <c r="E1450" t="s">
        <v>274</v>
      </c>
      <c r="F1450" t="s">
        <v>287</v>
      </c>
      <c r="G1450" s="7">
        <v>7</v>
      </c>
      <c r="H1450" s="3">
        <v>33787.769999999997</v>
      </c>
      <c r="I1450" s="3">
        <v>236514.39</v>
      </c>
    </row>
    <row r="1451" spans="1:9" x14ac:dyDescent="0.3">
      <c r="A1451" s="5" t="s">
        <v>243</v>
      </c>
      <c r="B1451" t="s">
        <v>254</v>
      </c>
      <c r="C1451" t="s">
        <v>262</v>
      </c>
      <c r="D1451" t="s">
        <v>266</v>
      </c>
      <c r="E1451" t="s">
        <v>273</v>
      </c>
      <c r="F1451" t="s">
        <v>279</v>
      </c>
      <c r="G1451" s="7">
        <v>1</v>
      </c>
      <c r="H1451" s="3">
        <v>40152.61</v>
      </c>
      <c r="I1451" s="3">
        <v>40152.61</v>
      </c>
    </row>
    <row r="1452" spans="1:9" x14ac:dyDescent="0.3">
      <c r="A1452" s="5" t="s">
        <v>244</v>
      </c>
      <c r="B1452" t="s">
        <v>257</v>
      </c>
      <c r="C1452" t="s">
        <v>264</v>
      </c>
      <c r="D1452" t="s">
        <v>270</v>
      </c>
      <c r="E1452" t="s">
        <v>274</v>
      </c>
      <c r="F1452" t="s">
        <v>280</v>
      </c>
      <c r="G1452" s="7">
        <v>2</v>
      </c>
      <c r="H1452" s="3">
        <v>36084.129999999997</v>
      </c>
      <c r="I1452" s="3">
        <v>72168.259999999995</v>
      </c>
    </row>
    <row r="1453" spans="1:9" x14ac:dyDescent="0.3">
      <c r="A1453" s="5" t="s">
        <v>244</v>
      </c>
      <c r="B1453" t="s">
        <v>255</v>
      </c>
      <c r="C1453" t="s">
        <v>261</v>
      </c>
      <c r="D1453" t="s">
        <v>268</v>
      </c>
      <c r="E1453" t="s">
        <v>272</v>
      </c>
      <c r="F1453" t="s">
        <v>277</v>
      </c>
      <c r="G1453" s="7">
        <v>2</v>
      </c>
      <c r="H1453" s="3">
        <v>29614.63</v>
      </c>
      <c r="I1453" s="3">
        <v>59229.26</v>
      </c>
    </row>
    <row r="1454" spans="1:9" x14ac:dyDescent="0.3">
      <c r="A1454" s="5" t="s">
        <v>244</v>
      </c>
      <c r="B1454" t="s">
        <v>257</v>
      </c>
      <c r="C1454" t="s">
        <v>261</v>
      </c>
      <c r="D1454" t="s">
        <v>268</v>
      </c>
      <c r="E1454" t="s">
        <v>274</v>
      </c>
      <c r="F1454" t="s">
        <v>287</v>
      </c>
      <c r="G1454" s="7">
        <v>5</v>
      </c>
      <c r="H1454" s="3">
        <v>31015.14</v>
      </c>
      <c r="I1454" s="3">
        <v>155075.70000000001</v>
      </c>
    </row>
    <row r="1455" spans="1:9" x14ac:dyDescent="0.3">
      <c r="A1455" s="5" t="s">
        <v>244</v>
      </c>
      <c r="B1455" t="s">
        <v>256</v>
      </c>
      <c r="C1455" t="s">
        <v>262</v>
      </c>
      <c r="D1455" t="s">
        <v>268</v>
      </c>
      <c r="E1455" t="s">
        <v>274</v>
      </c>
      <c r="F1455" t="s">
        <v>284</v>
      </c>
      <c r="G1455" s="7">
        <v>7</v>
      </c>
      <c r="H1455" s="3">
        <v>32608.5</v>
      </c>
      <c r="I1455" s="3">
        <v>228259.5</v>
      </c>
    </row>
    <row r="1456" spans="1:9" x14ac:dyDescent="0.3">
      <c r="A1456" s="5" t="s">
        <v>244</v>
      </c>
      <c r="B1456" t="s">
        <v>260</v>
      </c>
      <c r="C1456" t="s">
        <v>265</v>
      </c>
      <c r="D1456" t="s">
        <v>266</v>
      </c>
      <c r="E1456" t="s">
        <v>272</v>
      </c>
      <c r="F1456" t="s">
        <v>276</v>
      </c>
      <c r="G1456" s="7">
        <v>1</v>
      </c>
      <c r="H1456" s="3">
        <v>27141.38</v>
      </c>
      <c r="I1456" s="3">
        <v>27141.38</v>
      </c>
    </row>
    <row r="1457" spans="1:9" x14ac:dyDescent="0.3">
      <c r="A1457" s="5" t="s">
        <v>244</v>
      </c>
      <c r="B1457" t="s">
        <v>255</v>
      </c>
      <c r="C1457" t="s">
        <v>264</v>
      </c>
      <c r="D1457" t="s">
        <v>267</v>
      </c>
      <c r="E1457" t="s">
        <v>271</v>
      </c>
      <c r="F1457" t="s">
        <v>285</v>
      </c>
      <c r="G1457" s="7">
        <v>1</v>
      </c>
      <c r="H1457" s="3">
        <v>8119.29</v>
      </c>
      <c r="I1457" s="3">
        <v>8119.29</v>
      </c>
    </row>
    <row r="1458" spans="1:9" x14ac:dyDescent="0.3">
      <c r="A1458" s="5" t="s">
        <v>245</v>
      </c>
      <c r="B1458" t="s">
        <v>259</v>
      </c>
      <c r="C1458" t="s">
        <v>265</v>
      </c>
      <c r="D1458" t="s">
        <v>266</v>
      </c>
      <c r="E1458" t="s">
        <v>273</v>
      </c>
      <c r="F1458" t="s">
        <v>288</v>
      </c>
      <c r="G1458" s="7">
        <v>1</v>
      </c>
      <c r="H1458" s="3">
        <v>41194.949999999997</v>
      </c>
      <c r="I1458" s="3">
        <v>41194.949999999997</v>
      </c>
    </row>
    <row r="1459" spans="1:9" x14ac:dyDescent="0.3">
      <c r="A1459" s="5" t="s">
        <v>245</v>
      </c>
      <c r="B1459" t="s">
        <v>254</v>
      </c>
      <c r="C1459" t="s">
        <v>263</v>
      </c>
      <c r="D1459" t="s">
        <v>267</v>
      </c>
      <c r="E1459" t="s">
        <v>272</v>
      </c>
      <c r="F1459" t="s">
        <v>286</v>
      </c>
      <c r="G1459" s="7">
        <v>6</v>
      </c>
      <c r="H1459" s="3">
        <v>27862.99</v>
      </c>
      <c r="I1459" s="3">
        <v>167177.94</v>
      </c>
    </row>
    <row r="1460" spans="1:9" x14ac:dyDescent="0.3">
      <c r="A1460" s="5" t="s">
        <v>245</v>
      </c>
      <c r="B1460" t="s">
        <v>259</v>
      </c>
      <c r="C1460" t="s">
        <v>263</v>
      </c>
      <c r="D1460" t="s">
        <v>270</v>
      </c>
      <c r="E1460" t="s">
        <v>274</v>
      </c>
      <c r="F1460" t="s">
        <v>287</v>
      </c>
      <c r="G1460" s="7">
        <v>2</v>
      </c>
      <c r="H1460" s="3">
        <v>30412.639999999999</v>
      </c>
      <c r="I1460" s="3">
        <v>60825.279999999999</v>
      </c>
    </row>
    <row r="1461" spans="1:9" x14ac:dyDescent="0.3">
      <c r="A1461" s="5" t="s">
        <v>245</v>
      </c>
      <c r="B1461" t="s">
        <v>256</v>
      </c>
      <c r="C1461" t="s">
        <v>262</v>
      </c>
      <c r="D1461" t="s">
        <v>269</v>
      </c>
      <c r="E1461" t="s">
        <v>273</v>
      </c>
      <c r="F1461" t="s">
        <v>278</v>
      </c>
      <c r="G1461" s="7">
        <v>1</v>
      </c>
      <c r="H1461" s="3">
        <v>50551.82</v>
      </c>
      <c r="I1461" s="3">
        <v>50551.82</v>
      </c>
    </row>
    <row r="1462" spans="1:9" x14ac:dyDescent="0.3">
      <c r="A1462" s="5" t="s">
        <v>245</v>
      </c>
      <c r="B1462" t="s">
        <v>255</v>
      </c>
      <c r="C1462" t="s">
        <v>262</v>
      </c>
      <c r="D1462" t="s">
        <v>267</v>
      </c>
      <c r="E1462" t="s">
        <v>272</v>
      </c>
      <c r="F1462" t="s">
        <v>276</v>
      </c>
      <c r="G1462" s="7">
        <v>6</v>
      </c>
      <c r="H1462" s="3">
        <v>31459.42</v>
      </c>
      <c r="I1462" s="3">
        <v>188756.52</v>
      </c>
    </row>
    <row r="1463" spans="1:9" x14ac:dyDescent="0.3">
      <c r="A1463" s="5" t="s">
        <v>245</v>
      </c>
      <c r="B1463" t="s">
        <v>255</v>
      </c>
      <c r="C1463" t="s">
        <v>262</v>
      </c>
      <c r="D1463" t="s">
        <v>268</v>
      </c>
      <c r="E1463" t="s">
        <v>273</v>
      </c>
      <c r="F1463" t="s">
        <v>279</v>
      </c>
      <c r="G1463" s="7">
        <v>2</v>
      </c>
      <c r="H1463" s="3">
        <v>47283.12</v>
      </c>
      <c r="I1463" s="3">
        <v>94566.24</v>
      </c>
    </row>
    <row r="1464" spans="1:9" x14ac:dyDescent="0.3">
      <c r="A1464" s="5" t="s">
        <v>246</v>
      </c>
      <c r="B1464" t="s">
        <v>255</v>
      </c>
      <c r="C1464" t="s">
        <v>263</v>
      </c>
      <c r="D1464" t="s">
        <v>266</v>
      </c>
      <c r="E1464" t="s">
        <v>273</v>
      </c>
      <c r="F1464" t="s">
        <v>278</v>
      </c>
      <c r="G1464" s="7">
        <v>6</v>
      </c>
      <c r="H1464" s="3">
        <v>52253</v>
      </c>
      <c r="I1464" s="3">
        <v>313518</v>
      </c>
    </row>
    <row r="1465" spans="1:9" x14ac:dyDescent="0.3">
      <c r="A1465" s="5" t="s">
        <v>246</v>
      </c>
      <c r="B1465" t="s">
        <v>256</v>
      </c>
      <c r="C1465" t="s">
        <v>265</v>
      </c>
      <c r="D1465" t="s">
        <v>270</v>
      </c>
      <c r="E1465" t="s">
        <v>272</v>
      </c>
      <c r="F1465" t="s">
        <v>276</v>
      </c>
      <c r="G1465" s="7">
        <v>8</v>
      </c>
      <c r="H1465" s="3">
        <v>33223</v>
      </c>
      <c r="I1465" s="3">
        <v>265784</v>
      </c>
    </row>
    <row r="1466" spans="1:9" x14ac:dyDescent="0.3">
      <c r="A1466" s="5" t="s">
        <v>246</v>
      </c>
      <c r="B1466" t="s">
        <v>256</v>
      </c>
      <c r="C1466" t="s">
        <v>265</v>
      </c>
      <c r="D1466" t="s">
        <v>268</v>
      </c>
      <c r="E1466" t="s">
        <v>273</v>
      </c>
      <c r="F1466" t="s">
        <v>288</v>
      </c>
      <c r="G1466" s="7">
        <v>2</v>
      </c>
      <c r="H1466" s="3">
        <v>48685.8</v>
      </c>
      <c r="I1466" s="3">
        <v>97371.6</v>
      </c>
    </row>
    <row r="1467" spans="1:9" x14ac:dyDescent="0.3">
      <c r="A1467" s="5" t="s">
        <v>246</v>
      </c>
      <c r="B1467" t="s">
        <v>259</v>
      </c>
      <c r="C1467" t="s">
        <v>262</v>
      </c>
      <c r="D1467" t="s">
        <v>270</v>
      </c>
      <c r="E1467" t="s">
        <v>271</v>
      </c>
      <c r="F1467" t="s">
        <v>281</v>
      </c>
      <c r="G1467" s="7">
        <v>9</v>
      </c>
      <c r="H1467" s="3">
        <v>9329.3799999999992</v>
      </c>
      <c r="I1467" s="3">
        <v>83964.42</v>
      </c>
    </row>
    <row r="1468" spans="1:9" x14ac:dyDescent="0.3">
      <c r="A1468" s="5" t="s">
        <v>246</v>
      </c>
      <c r="B1468" t="s">
        <v>258</v>
      </c>
      <c r="C1468" t="s">
        <v>264</v>
      </c>
      <c r="D1468" t="s">
        <v>269</v>
      </c>
      <c r="E1468" t="s">
        <v>272</v>
      </c>
      <c r="F1468" t="s">
        <v>277</v>
      </c>
      <c r="G1468" s="7">
        <v>8</v>
      </c>
      <c r="H1468" s="3">
        <v>26968.32</v>
      </c>
      <c r="I1468" s="3">
        <v>215746.56</v>
      </c>
    </row>
    <row r="1469" spans="1:9" x14ac:dyDescent="0.3">
      <c r="A1469" s="5" t="s">
        <v>246</v>
      </c>
      <c r="B1469" t="s">
        <v>259</v>
      </c>
      <c r="C1469" t="s">
        <v>265</v>
      </c>
      <c r="D1469" t="s">
        <v>266</v>
      </c>
      <c r="E1469" t="s">
        <v>271</v>
      </c>
      <c r="F1469" t="s">
        <v>275</v>
      </c>
      <c r="G1469" s="7">
        <v>1</v>
      </c>
      <c r="H1469" s="3">
        <v>10267.56</v>
      </c>
      <c r="I1469" s="3">
        <v>10267.56</v>
      </c>
    </row>
    <row r="1470" spans="1:9" x14ac:dyDescent="0.3">
      <c r="A1470" s="5" t="s">
        <v>246</v>
      </c>
      <c r="B1470" t="s">
        <v>254</v>
      </c>
      <c r="C1470" t="s">
        <v>263</v>
      </c>
      <c r="D1470" t="s">
        <v>266</v>
      </c>
      <c r="E1470" t="s">
        <v>274</v>
      </c>
      <c r="F1470" t="s">
        <v>284</v>
      </c>
      <c r="G1470" s="7">
        <v>7</v>
      </c>
      <c r="H1470" s="3">
        <v>27509.84</v>
      </c>
      <c r="I1470" s="3">
        <v>192568.88</v>
      </c>
    </row>
    <row r="1471" spans="1:9" x14ac:dyDescent="0.3">
      <c r="A1471" s="5" t="s">
        <v>247</v>
      </c>
      <c r="B1471" t="s">
        <v>260</v>
      </c>
      <c r="C1471" t="s">
        <v>261</v>
      </c>
      <c r="D1471" t="s">
        <v>269</v>
      </c>
      <c r="E1471" t="s">
        <v>273</v>
      </c>
      <c r="F1471" t="s">
        <v>278</v>
      </c>
      <c r="G1471" s="7">
        <v>6</v>
      </c>
      <c r="H1471" s="3">
        <v>44524.84</v>
      </c>
      <c r="I1471" s="3">
        <v>267149.03999999998</v>
      </c>
    </row>
    <row r="1472" spans="1:9" x14ac:dyDescent="0.3">
      <c r="A1472" s="5" t="s">
        <v>247</v>
      </c>
      <c r="B1472" t="s">
        <v>255</v>
      </c>
      <c r="C1472" t="s">
        <v>261</v>
      </c>
      <c r="D1472" t="s">
        <v>266</v>
      </c>
      <c r="E1472" t="s">
        <v>274</v>
      </c>
      <c r="F1472" t="s">
        <v>289</v>
      </c>
      <c r="G1472" s="7">
        <v>6</v>
      </c>
      <c r="H1472" s="3">
        <v>36439.050000000003</v>
      </c>
      <c r="I1472" s="3">
        <v>218634.3</v>
      </c>
    </row>
    <row r="1473" spans="1:9" x14ac:dyDescent="0.3">
      <c r="A1473" s="5" t="s">
        <v>247</v>
      </c>
      <c r="B1473" t="s">
        <v>258</v>
      </c>
      <c r="C1473" t="s">
        <v>261</v>
      </c>
      <c r="D1473" t="s">
        <v>267</v>
      </c>
      <c r="E1473" t="s">
        <v>274</v>
      </c>
      <c r="F1473" t="s">
        <v>284</v>
      </c>
      <c r="G1473" s="7">
        <v>6</v>
      </c>
      <c r="H1473" s="3">
        <v>28225.15</v>
      </c>
      <c r="I1473" s="3">
        <v>169350.9</v>
      </c>
    </row>
    <row r="1474" spans="1:9" x14ac:dyDescent="0.3">
      <c r="A1474" s="5" t="s">
        <v>247</v>
      </c>
      <c r="B1474" t="s">
        <v>260</v>
      </c>
      <c r="C1474" t="s">
        <v>264</v>
      </c>
      <c r="D1474" t="s">
        <v>270</v>
      </c>
      <c r="E1474" t="s">
        <v>273</v>
      </c>
      <c r="F1474" t="s">
        <v>278</v>
      </c>
      <c r="G1474" s="7">
        <v>6</v>
      </c>
      <c r="H1474" s="3">
        <v>41547.050000000003</v>
      </c>
      <c r="I1474" s="3">
        <v>249282.3</v>
      </c>
    </row>
    <row r="1475" spans="1:9" x14ac:dyDescent="0.3">
      <c r="A1475" s="5" t="s">
        <v>247</v>
      </c>
      <c r="B1475" t="s">
        <v>258</v>
      </c>
      <c r="C1475" t="s">
        <v>262</v>
      </c>
      <c r="D1475" t="s">
        <v>268</v>
      </c>
      <c r="E1475" t="s">
        <v>272</v>
      </c>
      <c r="F1475" t="s">
        <v>286</v>
      </c>
      <c r="G1475" s="7">
        <v>7</v>
      </c>
      <c r="H1475" s="3">
        <v>30400</v>
      </c>
      <c r="I1475" s="3">
        <v>212800</v>
      </c>
    </row>
    <row r="1476" spans="1:9" x14ac:dyDescent="0.3">
      <c r="A1476" s="5" t="s">
        <v>247</v>
      </c>
      <c r="B1476" t="s">
        <v>257</v>
      </c>
      <c r="C1476" t="s">
        <v>263</v>
      </c>
      <c r="D1476" t="s">
        <v>269</v>
      </c>
      <c r="E1476" t="s">
        <v>273</v>
      </c>
      <c r="F1476" t="s">
        <v>279</v>
      </c>
      <c r="G1476" s="7">
        <v>3</v>
      </c>
      <c r="H1476" s="3">
        <v>48329.89</v>
      </c>
      <c r="I1476" s="3">
        <v>144989.67000000001</v>
      </c>
    </row>
    <row r="1477" spans="1:9" x14ac:dyDescent="0.3">
      <c r="A1477" s="5" t="s">
        <v>248</v>
      </c>
      <c r="B1477" t="s">
        <v>257</v>
      </c>
      <c r="C1477" t="s">
        <v>264</v>
      </c>
      <c r="D1477" t="s">
        <v>267</v>
      </c>
      <c r="E1477" t="s">
        <v>274</v>
      </c>
      <c r="F1477" t="s">
        <v>280</v>
      </c>
      <c r="G1477" s="7">
        <v>6</v>
      </c>
      <c r="H1477" s="3">
        <v>36658.28</v>
      </c>
      <c r="I1477" s="3">
        <v>219949.68</v>
      </c>
    </row>
    <row r="1478" spans="1:9" x14ac:dyDescent="0.3">
      <c r="A1478" s="5" t="s">
        <v>248</v>
      </c>
      <c r="B1478" t="s">
        <v>253</v>
      </c>
      <c r="C1478" t="s">
        <v>263</v>
      </c>
      <c r="D1478" t="s">
        <v>268</v>
      </c>
      <c r="E1478" t="s">
        <v>274</v>
      </c>
      <c r="F1478" t="s">
        <v>289</v>
      </c>
      <c r="G1478" s="7">
        <v>3</v>
      </c>
      <c r="H1478" s="3">
        <v>37601.440000000002</v>
      </c>
      <c r="I1478" s="3">
        <v>112804.32</v>
      </c>
    </row>
    <row r="1479" spans="1:9" x14ac:dyDescent="0.3">
      <c r="A1479" s="5" t="s">
        <v>248</v>
      </c>
      <c r="B1479" t="s">
        <v>257</v>
      </c>
      <c r="C1479" t="s">
        <v>263</v>
      </c>
      <c r="D1479" t="s">
        <v>268</v>
      </c>
      <c r="E1479" t="s">
        <v>272</v>
      </c>
      <c r="F1479" t="s">
        <v>276</v>
      </c>
      <c r="G1479" s="7">
        <v>7</v>
      </c>
      <c r="H1479" s="3">
        <v>25240.09</v>
      </c>
      <c r="I1479" s="3">
        <v>176680.63</v>
      </c>
    </row>
    <row r="1480" spans="1:9" x14ac:dyDescent="0.3">
      <c r="A1480" s="5" t="s">
        <v>248</v>
      </c>
      <c r="B1480" t="s">
        <v>259</v>
      </c>
      <c r="C1480" t="s">
        <v>262</v>
      </c>
      <c r="D1480" t="s">
        <v>269</v>
      </c>
      <c r="E1480" t="s">
        <v>273</v>
      </c>
      <c r="F1480" t="s">
        <v>288</v>
      </c>
      <c r="G1480" s="7">
        <v>7</v>
      </c>
      <c r="H1480" s="3">
        <v>38580.86</v>
      </c>
      <c r="I1480" s="3">
        <v>270066.02</v>
      </c>
    </row>
    <row r="1481" spans="1:9" x14ac:dyDescent="0.3">
      <c r="A1481" s="5" t="s">
        <v>248</v>
      </c>
      <c r="B1481" t="s">
        <v>257</v>
      </c>
      <c r="C1481" t="s">
        <v>261</v>
      </c>
      <c r="D1481" t="s">
        <v>267</v>
      </c>
      <c r="E1481" t="s">
        <v>274</v>
      </c>
      <c r="F1481" t="s">
        <v>287</v>
      </c>
      <c r="G1481" s="7">
        <v>8</v>
      </c>
      <c r="H1481" s="3">
        <v>36027.370000000003</v>
      </c>
      <c r="I1481" s="3">
        <v>288218.96000000002</v>
      </c>
    </row>
    <row r="1482" spans="1:9" x14ac:dyDescent="0.3">
      <c r="A1482" s="5" t="s">
        <v>248</v>
      </c>
      <c r="B1482" t="s">
        <v>256</v>
      </c>
      <c r="C1482" t="s">
        <v>262</v>
      </c>
      <c r="D1482" t="s">
        <v>268</v>
      </c>
      <c r="E1482" t="s">
        <v>271</v>
      </c>
      <c r="F1482" t="s">
        <v>282</v>
      </c>
      <c r="G1482" s="7">
        <v>2</v>
      </c>
      <c r="H1482" s="3">
        <v>8249.73</v>
      </c>
      <c r="I1482" s="3">
        <v>16499.46</v>
      </c>
    </row>
    <row r="1483" spans="1:9" x14ac:dyDescent="0.3">
      <c r="A1483" s="5" t="s">
        <v>249</v>
      </c>
      <c r="B1483" t="s">
        <v>255</v>
      </c>
      <c r="C1483" t="s">
        <v>264</v>
      </c>
      <c r="D1483" t="s">
        <v>268</v>
      </c>
      <c r="E1483" t="s">
        <v>274</v>
      </c>
      <c r="F1483" t="s">
        <v>287</v>
      </c>
      <c r="G1483" s="7">
        <v>9</v>
      </c>
      <c r="H1483" s="3">
        <v>35212.589999999997</v>
      </c>
      <c r="I1483" s="3">
        <v>316913.31</v>
      </c>
    </row>
    <row r="1484" spans="1:9" x14ac:dyDescent="0.3">
      <c r="A1484" s="5" t="s">
        <v>249</v>
      </c>
      <c r="B1484" t="s">
        <v>259</v>
      </c>
      <c r="C1484" t="s">
        <v>264</v>
      </c>
      <c r="D1484" t="s">
        <v>267</v>
      </c>
      <c r="E1484" t="s">
        <v>274</v>
      </c>
      <c r="F1484" t="s">
        <v>289</v>
      </c>
      <c r="G1484" s="7">
        <v>5</v>
      </c>
      <c r="H1484" s="3">
        <v>29126.97</v>
      </c>
      <c r="I1484" s="3">
        <v>145634.85</v>
      </c>
    </row>
    <row r="1485" spans="1:9" x14ac:dyDescent="0.3">
      <c r="A1485" s="5" t="s">
        <v>249</v>
      </c>
      <c r="B1485" t="s">
        <v>260</v>
      </c>
      <c r="C1485" t="s">
        <v>264</v>
      </c>
      <c r="D1485" t="s">
        <v>266</v>
      </c>
      <c r="E1485" t="s">
        <v>272</v>
      </c>
      <c r="F1485" t="s">
        <v>276</v>
      </c>
      <c r="G1485" s="7">
        <v>9</v>
      </c>
      <c r="H1485" s="3">
        <v>29053.25</v>
      </c>
      <c r="I1485" s="3">
        <v>261479.25</v>
      </c>
    </row>
    <row r="1486" spans="1:9" x14ac:dyDescent="0.3">
      <c r="A1486" s="5" t="s">
        <v>249</v>
      </c>
      <c r="B1486" t="s">
        <v>253</v>
      </c>
      <c r="C1486" t="s">
        <v>262</v>
      </c>
      <c r="D1486" t="s">
        <v>268</v>
      </c>
      <c r="E1486" t="s">
        <v>271</v>
      </c>
      <c r="F1486" t="s">
        <v>282</v>
      </c>
      <c r="G1486" s="7">
        <v>5</v>
      </c>
      <c r="H1486" s="3">
        <v>8940.0400000000009</v>
      </c>
      <c r="I1486" s="3">
        <v>44700.2</v>
      </c>
    </row>
    <row r="1487" spans="1:9" x14ac:dyDescent="0.3">
      <c r="A1487" s="5" t="s">
        <v>249</v>
      </c>
      <c r="B1487" t="s">
        <v>253</v>
      </c>
      <c r="C1487" t="s">
        <v>263</v>
      </c>
      <c r="D1487" t="s">
        <v>270</v>
      </c>
      <c r="E1487" t="s">
        <v>274</v>
      </c>
      <c r="F1487" t="s">
        <v>280</v>
      </c>
      <c r="G1487" s="7">
        <v>7</v>
      </c>
      <c r="H1487" s="3">
        <v>34689</v>
      </c>
      <c r="I1487" s="3">
        <v>242823</v>
      </c>
    </row>
    <row r="1488" spans="1:9" x14ac:dyDescent="0.3">
      <c r="A1488" s="5" t="s">
        <v>249</v>
      </c>
      <c r="B1488" t="s">
        <v>253</v>
      </c>
      <c r="C1488" t="s">
        <v>263</v>
      </c>
      <c r="D1488" t="s">
        <v>267</v>
      </c>
      <c r="E1488" t="s">
        <v>274</v>
      </c>
      <c r="F1488" t="s">
        <v>280</v>
      </c>
      <c r="G1488" s="7">
        <v>9</v>
      </c>
      <c r="H1488" s="3">
        <v>33768.58</v>
      </c>
      <c r="I1488" s="3">
        <v>303917.21999999997</v>
      </c>
    </row>
    <row r="1489" spans="1:9" x14ac:dyDescent="0.3">
      <c r="A1489" s="5" t="s">
        <v>250</v>
      </c>
      <c r="B1489" t="s">
        <v>260</v>
      </c>
      <c r="C1489" t="s">
        <v>265</v>
      </c>
      <c r="D1489" t="s">
        <v>268</v>
      </c>
      <c r="E1489" t="s">
        <v>271</v>
      </c>
      <c r="F1489" t="s">
        <v>285</v>
      </c>
      <c r="G1489" s="7">
        <v>4</v>
      </c>
      <c r="H1489" s="3">
        <v>8910.35</v>
      </c>
      <c r="I1489" s="3">
        <v>35641.4</v>
      </c>
    </row>
    <row r="1490" spans="1:9" x14ac:dyDescent="0.3">
      <c r="A1490" s="5" t="s">
        <v>250</v>
      </c>
      <c r="B1490" t="s">
        <v>260</v>
      </c>
      <c r="C1490" t="s">
        <v>264</v>
      </c>
      <c r="D1490" t="s">
        <v>269</v>
      </c>
      <c r="E1490" t="s">
        <v>273</v>
      </c>
      <c r="F1490" t="s">
        <v>279</v>
      </c>
      <c r="G1490" s="7">
        <v>2</v>
      </c>
      <c r="H1490" s="3">
        <v>44239.21</v>
      </c>
      <c r="I1490" s="3">
        <v>88478.42</v>
      </c>
    </row>
    <row r="1491" spans="1:9" x14ac:dyDescent="0.3">
      <c r="A1491" s="5" t="s">
        <v>250</v>
      </c>
      <c r="B1491" t="s">
        <v>260</v>
      </c>
      <c r="C1491" t="s">
        <v>263</v>
      </c>
      <c r="D1491" t="s">
        <v>270</v>
      </c>
      <c r="E1491" t="s">
        <v>273</v>
      </c>
      <c r="F1491" t="s">
        <v>288</v>
      </c>
      <c r="G1491" s="7">
        <v>9</v>
      </c>
      <c r="H1491" s="3">
        <v>39531.24</v>
      </c>
      <c r="I1491" s="3">
        <v>355781.16</v>
      </c>
    </row>
    <row r="1492" spans="1:9" x14ac:dyDescent="0.3">
      <c r="A1492" s="5" t="s">
        <v>250</v>
      </c>
      <c r="B1492" t="s">
        <v>260</v>
      </c>
      <c r="C1492" t="s">
        <v>265</v>
      </c>
      <c r="D1492" t="s">
        <v>268</v>
      </c>
      <c r="E1492" t="s">
        <v>274</v>
      </c>
      <c r="F1492" t="s">
        <v>287</v>
      </c>
      <c r="G1492" s="7">
        <v>2</v>
      </c>
      <c r="H1492" s="3">
        <v>28345.86</v>
      </c>
      <c r="I1492" s="3">
        <v>56691.72</v>
      </c>
    </row>
    <row r="1493" spans="1:9" x14ac:dyDescent="0.3">
      <c r="A1493" s="5" t="s">
        <v>250</v>
      </c>
      <c r="B1493" t="s">
        <v>253</v>
      </c>
      <c r="C1493" t="s">
        <v>263</v>
      </c>
      <c r="D1493" t="s">
        <v>270</v>
      </c>
      <c r="E1493" t="s">
        <v>274</v>
      </c>
      <c r="F1493" t="s">
        <v>280</v>
      </c>
      <c r="G1493" s="7">
        <v>3</v>
      </c>
      <c r="H1493" s="3">
        <v>32752.36</v>
      </c>
      <c r="I1493" s="3">
        <v>98257.08</v>
      </c>
    </row>
    <row r="1494" spans="1:9" x14ac:dyDescent="0.3">
      <c r="A1494" s="5" t="s">
        <v>250</v>
      </c>
      <c r="B1494" t="s">
        <v>253</v>
      </c>
      <c r="C1494" t="s">
        <v>264</v>
      </c>
      <c r="D1494" t="s">
        <v>270</v>
      </c>
      <c r="E1494" t="s">
        <v>273</v>
      </c>
      <c r="F1494" t="s">
        <v>279</v>
      </c>
      <c r="G1494" s="7">
        <v>2</v>
      </c>
      <c r="H1494" s="3">
        <v>44654.28</v>
      </c>
      <c r="I1494" s="3">
        <v>89308.56</v>
      </c>
    </row>
    <row r="1495" spans="1:9" x14ac:dyDescent="0.3">
      <c r="A1495" s="5" t="s">
        <v>251</v>
      </c>
      <c r="B1495" t="s">
        <v>258</v>
      </c>
      <c r="C1495" t="s">
        <v>261</v>
      </c>
      <c r="D1495" t="s">
        <v>266</v>
      </c>
      <c r="E1495" t="s">
        <v>272</v>
      </c>
      <c r="F1495" t="s">
        <v>286</v>
      </c>
      <c r="G1495" s="7">
        <v>3</v>
      </c>
      <c r="H1495" s="3">
        <v>29580.71</v>
      </c>
      <c r="I1495" s="3">
        <v>88742.13</v>
      </c>
    </row>
    <row r="1496" spans="1:9" x14ac:dyDescent="0.3">
      <c r="A1496" s="5" t="s">
        <v>251</v>
      </c>
      <c r="B1496" t="s">
        <v>259</v>
      </c>
      <c r="C1496" t="s">
        <v>264</v>
      </c>
      <c r="D1496" t="s">
        <v>270</v>
      </c>
      <c r="E1496" t="s">
        <v>271</v>
      </c>
      <c r="F1496" t="s">
        <v>275</v>
      </c>
      <c r="G1496" s="7">
        <v>6</v>
      </c>
      <c r="H1496" s="3">
        <v>8261.4500000000007</v>
      </c>
      <c r="I1496" s="3">
        <v>49568.7</v>
      </c>
    </row>
    <row r="1497" spans="1:9" x14ac:dyDescent="0.3">
      <c r="A1497" s="5" t="s">
        <v>251</v>
      </c>
      <c r="B1497" t="s">
        <v>255</v>
      </c>
      <c r="C1497" t="s">
        <v>262</v>
      </c>
      <c r="D1497" t="s">
        <v>266</v>
      </c>
      <c r="E1497" t="s">
        <v>271</v>
      </c>
      <c r="F1497" t="s">
        <v>282</v>
      </c>
      <c r="G1497" s="7">
        <v>3</v>
      </c>
      <c r="H1497" s="3">
        <v>9563.89</v>
      </c>
      <c r="I1497" s="3">
        <v>28691.67</v>
      </c>
    </row>
    <row r="1498" spans="1:9" x14ac:dyDescent="0.3">
      <c r="A1498" s="5" t="s">
        <v>251</v>
      </c>
      <c r="B1498" t="s">
        <v>257</v>
      </c>
      <c r="C1498" t="s">
        <v>263</v>
      </c>
      <c r="D1498" t="s">
        <v>267</v>
      </c>
      <c r="E1498" t="s">
        <v>272</v>
      </c>
      <c r="F1498" t="s">
        <v>277</v>
      </c>
      <c r="G1498" s="7">
        <v>8</v>
      </c>
      <c r="H1498" s="3">
        <v>33476.29</v>
      </c>
      <c r="I1498" s="3">
        <v>267810.32</v>
      </c>
    </row>
    <row r="1499" spans="1:9" x14ac:dyDescent="0.3">
      <c r="A1499" s="5" t="s">
        <v>251</v>
      </c>
      <c r="B1499" t="s">
        <v>257</v>
      </c>
      <c r="C1499" t="s">
        <v>263</v>
      </c>
      <c r="D1499" t="s">
        <v>266</v>
      </c>
      <c r="E1499" t="s">
        <v>272</v>
      </c>
      <c r="F1499" t="s">
        <v>277</v>
      </c>
      <c r="G1499" s="7">
        <v>6</v>
      </c>
      <c r="H1499" s="3">
        <v>27147.27</v>
      </c>
      <c r="I1499" s="3">
        <v>162883.62</v>
      </c>
    </row>
    <row r="1500" spans="1:9" x14ac:dyDescent="0.3">
      <c r="A1500" s="5" t="s">
        <v>251</v>
      </c>
      <c r="B1500" t="s">
        <v>256</v>
      </c>
      <c r="C1500" t="s">
        <v>262</v>
      </c>
      <c r="D1500" t="s">
        <v>269</v>
      </c>
      <c r="E1500" t="s">
        <v>272</v>
      </c>
      <c r="F1500" t="s">
        <v>277</v>
      </c>
      <c r="G1500" s="7">
        <v>7</v>
      </c>
      <c r="H1500" s="3">
        <v>25961.42</v>
      </c>
      <c r="I1500" s="3">
        <v>181729.94</v>
      </c>
    </row>
    <row r="1501" spans="1:9" x14ac:dyDescent="0.3">
      <c r="A1501" s="5" t="s">
        <v>252</v>
      </c>
      <c r="B1501" t="s">
        <v>253</v>
      </c>
      <c r="C1501" t="s">
        <v>262</v>
      </c>
      <c r="D1501" t="s">
        <v>268</v>
      </c>
      <c r="E1501" t="s">
        <v>272</v>
      </c>
      <c r="F1501" t="s">
        <v>290</v>
      </c>
      <c r="G1501" s="7">
        <v>1</v>
      </c>
      <c r="H1501" s="3">
        <v>25101.22</v>
      </c>
      <c r="I1501" s="3">
        <v>25101.22</v>
      </c>
    </row>
    <row r="1502" spans="1:9" x14ac:dyDescent="0.3">
      <c r="A1502" s="5" t="s">
        <v>9</v>
      </c>
      <c r="B1502" t="s">
        <v>253</v>
      </c>
      <c r="C1502" t="s">
        <v>261</v>
      </c>
      <c r="D1502" t="s">
        <v>266</v>
      </c>
      <c r="E1502" t="s">
        <v>271</v>
      </c>
      <c r="F1502" t="s">
        <v>275</v>
      </c>
      <c r="G1502" s="7">
        <v>4</v>
      </c>
      <c r="H1502" s="3">
        <v>9655.65</v>
      </c>
      <c r="I1502" s="3">
        <v>38622.6</v>
      </c>
    </row>
    <row r="1503" spans="1:9" x14ac:dyDescent="0.3">
      <c r="A1503" s="5" t="s">
        <v>9</v>
      </c>
      <c r="B1503" t="s">
        <v>254</v>
      </c>
      <c r="C1503" t="s">
        <v>261</v>
      </c>
      <c r="D1503" t="s">
        <v>267</v>
      </c>
      <c r="E1503" t="s">
        <v>272</v>
      </c>
      <c r="F1503" t="s">
        <v>276</v>
      </c>
      <c r="G1503" s="7">
        <v>9</v>
      </c>
      <c r="H1503" s="3">
        <v>28614.26</v>
      </c>
      <c r="I1503" s="3">
        <v>257528.34</v>
      </c>
    </row>
    <row r="1504" spans="1:9" x14ac:dyDescent="0.3">
      <c r="A1504" s="5" t="s">
        <v>9</v>
      </c>
      <c r="B1504" t="s">
        <v>255</v>
      </c>
      <c r="C1504" t="s">
        <v>261</v>
      </c>
      <c r="D1504" t="s">
        <v>267</v>
      </c>
      <c r="E1504" t="s">
        <v>272</v>
      </c>
      <c r="F1504" t="s">
        <v>277</v>
      </c>
      <c r="G1504" s="7">
        <v>7</v>
      </c>
      <c r="H1504" s="3">
        <v>27232.15</v>
      </c>
      <c r="I1504" s="3">
        <v>190625.05</v>
      </c>
    </row>
    <row r="1505" spans="1:9" x14ac:dyDescent="0.3">
      <c r="A1505" s="5" t="s">
        <v>9</v>
      </c>
      <c r="B1505" t="s">
        <v>253</v>
      </c>
      <c r="C1505" t="s">
        <v>262</v>
      </c>
      <c r="D1505" t="s">
        <v>266</v>
      </c>
      <c r="E1505" t="s">
        <v>271</v>
      </c>
      <c r="F1505" t="s">
        <v>275</v>
      </c>
      <c r="G1505" s="7">
        <v>3</v>
      </c>
      <c r="H1505" s="3">
        <v>10496.52</v>
      </c>
      <c r="I1505" s="3">
        <v>31489.56</v>
      </c>
    </row>
    <row r="1506" spans="1:9" x14ac:dyDescent="0.3">
      <c r="A1506" s="5" t="s">
        <v>9</v>
      </c>
      <c r="B1506" t="s">
        <v>256</v>
      </c>
      <c r="C1506" t="s">
        <v>263</v>
      </c>
      <c r="D1506" t="s">
        <v>268</v>
      </c>
      <c r="E1506" t="s">
        <v>273</v>
      </c>
      <c r="F1506" t="s">
        <v>278</v>
      </c>
      <c r="G1506" s="7">
        <v>7</v>
      </c>
      <c r="H1506" s="3">
        <v>55610.79</v>
      </c>
      <c r="I1506" s="3">
        <v>389275.53</v>
      </c>
    </row>
    <row r="1507" spans="1:9" x14ac:dyDescent="0.3">
      <c r="A1507" s="5" t="s">
        <v>9</v>
      </c>
      <c r="B1507" t="s">
        <v>257</v>
      </c>
      <c r="C1507" t="s">
        <v>264</v>
      </c>
      <c r="D1507" t="s">
        <v>266</v>
      </c>
      <c r="E1507" t="s">
        <v>272</v>
      </c>
      <c r="F1507" t="s">
        <v>276</v>
      </c>
      <c r="G1507" s="7">
        <v>1</v>
      </c>
      <c r="H1507" s="3">
        <v>27041.69</v>
      </c>
      <c r="I1507" s="3">
        <v>27041.69</v>
      </c>
    </row>
    <row r="1508" spans="1:9" x14ac:dyDescent="0.3">
      <c r="A1508" s="5" t="s">
        <v>9</v>
      </c>
      <c r="B1508" t="s">
        <v>255</v>
      </c>
      <c r="C1508" t="s">
        <v>265</v>
      </c>
      <c r="D1508" t="s">
        <v>269</v>
      </c>
      <c r="E1508" t="s">
        <v>273</v>
      </c>
      <c r="F1508" t="s">
        <v>279</v>
      </c>
      <c r="G1508" s="7">
        <v>3</v>
      </c>
      <c r="H1508" s="3">
        <v>46883.25</v>
      </c>
      <c r="I1508" s="3">
        <v>140649.75</v>
      </c>
    </row>
    <row r="1509" spans="1:9" x14ac:dyDescent="0.3">
      <c r="A1509" s="5" t="s">
        <v>10</v>
      </c>
      <c r="B1509" t="s">
        <v>255</v>
      </c>
      <c r="C1509" t="s">
        <v>263</v>
      </c>
      <c r="D1509" t="s">
        <v>267</v>
      </c>
      <c r="E1509" t="s">
        <v>272</v>
      </c>
      <c r="F1509" t="s">
        <v>277</v>
      </c>
      <c r="G1509" s="7">
        <v>6</v>
      </c>
      <c r="H1509" s="3">
        <v>34695.85</v>
      </c>
      <c r="I1509" s="3">
        <v>208175.1</v>
      </c>
    </row>
    <row r="1510" spans="1:9" x14ac:dyDescent="0.3">
      <c r="A1510" s="5" t="s">
        <v>10</v>
      </c>
      <c r="B1510" t="s">
        <v>253</v>
      </c>
      <c r="C1510" t="s">
        <v>261</v>
      </c>
      <c r="D1510" t="s">
        <v>270</v>
      </c>
      <c r="E1510" t="s">
        <v>274</v>
      </c>
      <c r="F1510" t="s">
        <v>280</v>
      </c>
      <c r="G1510" s="7">
        <v>4</v>
      </c>
      <c r="H1510" s="3">
        <v>27262.32</v>
      </c>
      <c r="I1510" s="3">
        <v>109049.28</v>
      </c>
    </row>
    <row r="1511" spans="1:9" x14ac:dyDescent="0.3">
      <c r="A1511" s="5" t="s">
        <v>10</v>
      </c>
      <c r="B1511" t="s">
        <v>258</v>
      </c>
      <c r="C1511" t="s">
        <v>263</v>
      </c>
      <c r="D1511" t="s">
        <v>269</v>
      </c>
      <c r="E1511" t="s">
        <v>272</v>
      </c>
      <c r="F1511" t="s">
        <v>276</v>
      </c>
      <c r="G1511" s="7">
        <v>7</v>
      </c>
      <c r="H1511" s="3">
        <v>28422</v>
      </c>
      <c r="I1511" s="3">
        <v>198954</v>
      </c>
    </row>
    <row r="1512" spans="1:9" x14ac:dyDescent="0.3">
      <c r="A1512" s="5" t="s">
        <v>10</v>
      </c>
      <c r="B1512" t="s">
        <v>256</v>
      </c>
      <c r="C1512" t="s">
        <v>264</v>
      </c>
      <c r="D1512" t="s">
        <v>267</v>
      </c>
      <c r="E1512" t="s">
        <v>271</v>
      </c>
      <c r="F1512" t="s">
        <v>281</v>
      </c>
      <c r="G1512" s="7">
        <v>3</v>
      </c>
      <c r="H1512" s="3">
        <v>7566.56</v>
      </c>
      <c r="I1512" s="3">
        <v>22699.68</v>
      </c>
    </row>
    <row r="1513" spans="1:9" x14ac:dyDescent="0.3">
      <c r="A1513" s="5" t="s">
        <v>10</v>
      </c>
      <c r="B1513" t="s">
        <v>253</v>
      </c>
      <c r="C1513" t="s">
        <v>265</v>
      </c>
      <c r="D1513" t="s">
        <v>266</v>
      </c>
      <c r="E1513" t="s">
        <v>271</v>
      </c>
      <c r="F1513" t="s">
        <v>282</v>
      </c>
      <c r="G1513" s="7">
        <v>1</v>
      </c>
      <c r="H1513" s="3">
        <v>8956.14</v>
      </c>
      <c r="I1513" s="3">
        <v>8956.14</v>
      </c>
    </row>
    <row r="1514" spans="1:9" x14ac:dyDescent="0.3">
      <c r="A1514" s="5" t="s">
        <v>10</v>
      </c>
      <c r="B1514" t="s">
        <v>256</v>
      </c>
      <c r="C1514" t="s">
        <v>265</v>
      </c>
      <c r="D1514" t="s">
        <v>269</v>
      </c>
      <c r="E1514" t="s">
        <v>273</v>
      </c>
      <c r="F1514" t="s">
        <v>283</v>
      </c>
      <c r="G1514" s="7">
        <v>9</v>
      </c>
      <c r="H1514" s="3">
        <v>38694.06</v>
      </c>
      <c r="I1514" s="3">
        <v>348246.54</v>
      </c>
    </row>
    <row r="1515" spans="1:9" x14ac:dyDescent="0.3">
      <c r="A1515" s="5" t="s">
        <v>11</v>
      </c>
      <c r="B1515" t="s">
        <v>256</v>
      </c>
      <c r="C1515" t="s">
        <v>264</v>
      </c>
      <c r="D1515" t="s">
        <v>267</v>
      </c>
      <c r="E1515" t="s">
        <v>272</v>
      </c>
      <c r="F1515" t="s">
        <v>277</v>
      </c>
      <c r="G1515" s="7">
        <v>6</v>
      </c>
      <c r="H1515" s="3">
        <v>28357.26</v>
      </c>
      <c r="I1515" s="3">
        <v>170143.56</v>
      </c>
    </row>
    <row r="1516" spans="1:9" x14ac:dyDescent="0.3">
      <c r="A1516" s="5" t="s">
        <v>11</v>
      </c>
      <c r="B1516" t="s">
        <v>257</v>
      </c>
      <c r="C1516" t="s">
        <v>264</v>
      </c>
      <c r="D1516" t="s">
        <v>268</v>
      </c>
      <c r="E1516" t="s">
        <v>273</v>
      </c>
      <c r="F1516" t="s">
        <v>283</v>
      </c>
      <c r="G1516" s="7">
        <v>8</v>
      </c>
      <c r="H1516" s="3">
        <v>42222.58</v>
      </c>
      <c r="I1516" s="3">
        <v>337780.64</v>
      </c>
    </row>
    <row r="1517" spans="1:9" x14ac:dyDescent="0.3">
      <c r="A1517" s="5" t="s">
        <v>11</v>
      </c>
      <c r="B1517" t="s">
        <v>255</v>
      </c>
      <c r="C1517" t="s">
        <v>261</v>
      </c>
      <c r="D1517" t="s">
        <v>268</v>
      </c>
      <c r="E1517" t="s">
        <v>273</v>
      </c>
      <c r="F1517" t="s">
        <v>283</v>
      </c>
      <c r="G1517" s="7">
        <v>3</v>
      </c>
      <c r="H1517" s="3">
        <v>47849.55</v>
      </c>
      <c r="I1517" s="3">
        <v>143548.65</v>
      </c>
    </row>
    <row r="1518" spans="1:9" x14ac:dyDescent="0.3">
      <c r="A1518" s="5" t="s">
        <v>11</v>
      </c>
      <c r="B1518" t="s">
        <v>254</v>
      </c>
      <c r="C1518" t="s">
        <v>265</v>
      </c>
      <c r="D1518" t="s">
        <v>270</v>
      </c>
      <c r="E1518" t="s">
        <v>274</v>
      </c>
      <c r="F1518" t="s">
        <v>284</v>
      </c>
      <c r="G1518" s="7">
        <v>8</v>
      </c>
      <c r="H1518" s="3">
        <v>39948.720000000001</v>
      </c>
      <c r="I1518" s="3">
        <v>319589.76000000001</v>
      </c>
    </row>
    <row r="1519" spans="1:9" x14ac:dyDescent="0.3">
      <c r="A1519" s="5" t="s">
        <v>11</v>
      </c>
      <c r="B1519" t="s">
        <v>257</v>
      </c>
      <c r="C1519" t="s">
        <v>263</v>
      </c>
      <c r="D1519" t="s">
        <v>267</v>
      </c>
      <c r="E1519" t="s">
        <v>274</v>
      </c>
      <c r="F1519" t="s">
        <v>284</v>
      </c>
      <c r="G1519" s="7">
        <v>2</v>
      </c>
      <c r="H1519" s="3">
        <v>37446.86</v>
      </c>
      <c r="I1519" s="3">
        <v>74893.72</v>
      </c>
    </row>
    <row r="1520" spans="1:9" x14ac:dyDescent="0.3">
      <c r="A1520" s="5" t="s">
        <v>11</v>
      </c>
      <c r="B1520" t="s">
        <v>257</v>
      </c>
      <c r="C1520" t="s">
        <v>262</v>
      </c>
      <c r="D1520" t="s">
        <v>268</v>
      </c>
      <c r="E1520" t="s">
        <v>271</v>
      </c>
      <c r="F1520" t="s">
        <v>285</v>
      </c>
      <c r="G1520" s="7">
        <v>4</v>
      </c>
      <c r="H1520" s="3">
        <v>10100.18</v>
      </c>
      <c r="I1520" s="3">
        <v>40400.720000000001</v>
      </c>
    </row>
    <row r="1521" spans="1:9" x14ac:dyDescent="0.3">
      <c r="A1521" s="5" t="s">
        <v>12</v>
      </c>
      <c r="B1521" t="s">
        <v>256</v>
      </c>
      <c r="C1521" t="s">
        <v>262</v>
      </c>
      <c r="D1521" t="s">
        <v>266</v>
      </c>
      <c r="E1521" t="s">
        <v>273</v>
      </c>
      <c r="F1521" t="s">
        <v>279</v>
      </c>
      <c r="G1521" s="7">
        <v>3</v>
      </c>
      <c r="H1521" s="3">
        <v>49684.77</v>
      </c>
      <c r="I1521" s="3">
        <v>149054.31</v>
      </c>
    </row>
    <row r="1522" spans="1:9" x14ac:dyDescent="0.3">
      <c r="A1522" s="5" t="s">
        <v>12</v>
      </c>
      <c r="B1522" t="s">
        <v>259</v>
      </c>
      <c r="C1522" t="s">
        <v>264</v>
      </c>
      <c r="D1522" t="s">
        <v>267</v>
      </c>
      <c r="E1522" t="s">
        <v>271</v>
      </c>
      <c r="F1522" t="s">
        <v>275</v>
      </c>
      <c r="G1522" s="7">
        <v>1</v>
      </c>
      <c r="H1522" s="3">
        <v>7366.3</v>
      </c>
      <c r="I1522" s="3">
        <v>7366.3</v>
      </c>
    </row>
    <row r="1523" spans="1:9" x14ac:dyDescent="0.3">
      <c r="A1523" s="5" t="s">
        <v>12</v>
      </c>
      <c r="B1523" t="s">
        <v>255</v>
      </c>
      <c r="C1523" t="s">
        <v>261</v>
      </c>
      <c r="D1523" t="s">
        <v>266</v>
      </c>
      <c r="E1523" t="s">
        <v>272</v>
      </c>
      <c r="F1523" t="s">
        <v>286</v>
      </c>
      <c r="G1523" s="7">
        <v>7</v>
      </c>
      <c r="H1523" s="3">
        <v>26116.13</v>
      </c>
      <c r="I1523" s="3">
        <v>182812.91</v>
      </c>
    </row>
    <row r="1524" spans="1:9" x14ac:dyDescent="0.3">
      <c r="A1524" s="5" t="s">
        <v>12</v>
      </c>
      <c r="B1524" t="s">
        <v>258</v>
      </c>
      <c r="C1524" t="s">
        <v>262</v>
      </c>
      <c r="D1524" t="s">
        <v>266</v>
      </c>
      <c r="E1524" t="s">
        <v>273</v>
      </c>
      <c r="F1524" t="s">
        <v>278</v>
      </c>
      <c r="G1524" s="7">
        <v>2</v>
      </c>
      <c r="H1524" s="3">
        <v>54901.16</v>
      </c>
      <c r="I1524" s="3">
        <v>109802.32</v>
      </c>
    </row>
    <row r="1525" spans="1:9" x14ac:dyDescent="0.3">
      <c r="A1525" s="5" t="s">
        <v>12</v>
      </c>
      <c r="B1525" t="s">
        <v>257</v>
      </c>
      <c r="C1525" t="s">
        <v>265</v>
      </c>
      <c r="D1525" t="s">
        <v>268</v>
      </c>
      <c r="E1525" t="s">
        <v>273</v>
      </c>
      <c r="F1525" t="s">
        <v>279</v>
      </c>
      <c r="G1525" s="7">
        <v>4</v>
      </c>
      <c r="H1525" s="3">
        <v>44840.04</v>
      </c>
      <c r="I1525" s="3">
        <v>179360.16</v>
      </c>
    </row>
    <row r="1526" spans="1:9" x14ac:dyDescent="0.3">
      <c r="A1526" s="5" t="s">
        <v>12</v>
      </c>
      <c r="B1526" t="s">
        <v>254</v>
      </c>
      <c r="C1526" t="s">
        <v>264</v>
      </c>
      <c r="D1526" t="s">
        <v>267</v>
      </c>
      <c r="E1526" t="s">
        <v>272</v>
      </c>
      <c r="F1526" t="s">
        <v>277</v>
      </c>
      <c r="G1526" s="7">
        <v>9</v>
      </c>
      <c r="H1526" s="3">
        <v>24960.73</v>
      </c>
      <c r="I1526" s="3">
        <v>224646.57</v>
      </c>
    </row>
    <row r="1527" spans="1:9" x14ac:dyDescent="0.3">
      <c r="A1527" s="5" t="s">
        <v>13</v>
      </c>
      <c r="B1527" t="s">
        <v>259</v>
      </c>
      <c r="C1527" t="s">
        <v>263</v>
      </c>
      <c r="D1527" t="s">
        <v>269</v>
      </c>
      <c r="E1527" t="s">
        <v>272</v>
      </c>
      <c r="F1527" t="s">
        <v>277</v>
      </c>
      <c r="G1527" s="7">
        <v>6</v>
      </c>
      <c r="H1527" s="3">
        <v>31666.94</v>
      </c>
      <c r="I1527" s="3">
        <v>190001.64</v>
      </c>
    </row>
    <row r="1528" spans="1:9" x14ac:dyDescent="0.3">
      <c r="A1528" s="5" t="s">
        <v>13</v>
      </c>
      <c r="B1528" t="s">
        <v>259</v>
      </c>
      <c r="C1528" t="s">
        <v>264</v>
      </c>
      <c r="D1528" t="s">
        <v>268</v>
      </c>
      <c r="E1528" t="s">
        <v>271</v>
      </c>
      <c r="F1528" t="s">
        <v>285</v>
      </c>
      <c r="G1528" s="7">
        <v>8</v>
      </c>
      <c r="H1528" s="3">
        <v>8243.16</v>
      </c>
      <c r="I1528" s="3">
        <v>65945.279999999999</v>
      </c>
    </row>
    <row r="1529" spans="1:9" x14ac:dyDescent="0.3">
      <c r="A1529" s="5" t="s">
        <v>13</v>
      </c>
      <c r="B1529" t="s">
        <v>258</v>
      </c>
      <c r="C1529" t="s">
        <v>263</v>
      </c>
      <c r="D1529" t="s">
        <v>268</v>
      </c>
      <c r="E1529" t="s">
        <v>271</v>
      </c>
      <c r="F1529" t="s">
        <v>282</v>
      </c>
      <c r="G1529" s="7">
        <v>2</v>
      </c>
      <c r="H1529" s="3">
        <v>8139.11</v>
      </c>
      <c r="I1529" s="3">
        <v>16278.22</v>
      </c>
    </row>
    <row r="1530" spans="1:9" x14ac:dyDescent="0.3">
      <c r="A1530" s="5" t="s">
        <v>13</v>
      </c>
      <c r="B1530" t="s">
        <v>257</v>
      </c>
      <c r="C1530" t="s">
        <v>264</v>
      </c>
      <c r="D1530" t="s">
        <v>267</v>
      </c>
      <c r="E1530" t="s">
        <v>272</v>
      </c>
      <c r="F1530" t="s">
        <v>286</v>
      </c>
      <c r="G1530" s="7">
        <v>7</v>
      </c>
      <c r="H1530" s="3">
        <v>34977.35</v>
      </c>
      <c r="I1530" s="3">
        <v>244841.45</v>
      </c>
    </row>
    <row r="1531" spans="1:9" x14ac:dyDescent="0.3">
      <c r="A1531" s="5" t="s">
        <v>13</v>
      </c>
      <c r="B1531" t="s">
        <v>254</v>
      </c>
      <c r="C1531" t="s">
        <v>264</v>
      </c>
      <c r="D1531" t="s">
        <v>267</v>
      </c>
      <c r="E1531" t="s">
        <v>271</v>
      </c>
      <c r="F1531" t="s">
        <v>281</v>
      </c>
      <c r="G1531" s="7">
        <v>6</v>
      </c>
      <c r="H1531" s="3">
        <v>10142.67</v>
      </c>
      <c r="I1531" s="3">
        <v>60856.02</v>
      </c>
    </row>
    <row r="1532" spans="1:9" x14ac:dyDescent="0.3">
      <c r="A1532" s="5" t="s">
        <v>13</v>
      </c>
      <c r="B1532" t="s">
        <v>255</v>
      </c>
      <c r="C1532" t="s">
        <v>264</v>
      </c>
      <c r="D1532" t="s">
        <v>266</v>
      </c>
      <c r="E1532" t="s">
        <v>272</v>
      </c>
      <c r="F1532" t="s">
        <v>286</v>
      </c>
      <c r="G1532" s="7">
        <v>9</v>
      </c>
      <c r="H1532" s="3">
        <v>28368.9</v>
      </c>
      <c r="I1532" s="3">
        <v>255320.1</v>
      </c>
    </row>
    <row r="1533" spans="1:9" x14ac:dyDescent="0.3">
      <c r="A1533" s="5" t="s">
        <v>14</v>
      </c>
      <c r="B1533" t="s">
        <v>260</v>
      </c>
      <c r="C1533" t="s">
        <v>263</v>
      </c>
      <c r="D1533" t="s">
        <v>267</v>
      </c>
      <c r="E1533" t="s">
        <v>273</v>
      </c>
      <c r="F1533" t="s">
        <v>278</v>
      </c>
      <c r="G1533" s="7">
        <v>7</v>
      </c>
      <c r="H1533" s="3">
        <v>55894.7</v>
      </c>
      <c r="I1533" s="3">
        <v>391262.9</v>
      </c>
    </row>
    <row r="1534" spans="1:9" x14ac:dyDescent="0.3">
      <c r="A1534" s="5" t="s">
        <v>14</v>
      </c>
      <c r="B1534" t="s">
        <v>254</v>
      </c>
      <c r="C1534" t="s">
        <v>263</v>
      </c>
      <c r="D1534" t="s">
        <v>266</v>
      </c>
      <c r="E1534" t="s">
        <v>273</v>
      </c>
      <c r="F1534" t="s">
        <v>283</v>
      </c>
      <c r="G1534" s="7">
        <v>1</v>
      </c>
      <c r="H1534" s="3">
        <v>49952.04</v>
      </c>
      <c r="I1534" s="3">
        <v>49952.04</v>
      </c>
    </row>
    <row r="1535" spans="1:9" x14ac:dyDescent="0.3">
      <c r="A1535" s="5" t="s">
        <v>14</v>
      </c>
      <c r="B1535" t="s">
        <v>258</v>
      </c>
      <c r="C1535" t="s">
        <v>264</v>
      </c>
      <c r="D1535" t="s">
        <v>268</v>
      </c>
      <c r="E1535" t="s">
        <v>274</v>
      </c>
      <c r="F1535" t="s">
        <v>287</v>
      </c>
      <c r="G1535" s="7">
        <v>8</v>
      </c>
      <c r="H1535" s="3">
        <v>36697.89</v>
      </c>
      <c r="I1535" s="3">
        <v>293583.12</v>
      </c>
    </row>
    <row r="1536" spans="1:9" x14ac:dyDescent="0.3">
      <c r="A1536" s="5" t="s">
        <v>14</v>
      </c>
      <c r="B1536" t="s">
        <v>259</v>
      </c>
      <c r="C1536" t="s">
        <v>262</v>
      </c>
      <c r="D1536" t="s">
        <v>270</v>
      </c>
      <c r="E1536" t="s">
        <v>273</v>
      </c>
      <c r="F1536" t="s">
        <v>279</v>
      </c>
      <c r="G1536" s="7">
        <v>3</v>
      </c>
      <c r="H1536" s="3">
        <v>38817.230000000003</v>
      </c>
      <c r="I1536" s="3">
        <v>116451.69</v>
      </c>
    </row>
    <row r="1537" spans="1:9" x14ac:dyDescent="0.3">
      <c r="A1537" s="5" t="s">
        <v>14</v>
      </c>
      <c r="B1537" t="s">
        <v>255</v>
      </c>
      <c r="C1537" t="s">
        <v>261</v>
      </c>
      <c r="D1537" t="s">
        <v>269</v>
      </c>
      <c r="E1537" t="s">
        <v>272</v>
      </c>
      <c r="F1537" t="s">
        <v>286</v>
      </c>
      <c r="G1537" s="7">
        <v>2</v>
      </c>
      <c r="H1537" s="3">
        <v>25161.98</v>
      </c>
      <c r="I1537" s="3">
        <v>50323.96</v>
      </c>
    </row>
    <row r="1538" spans="1:9" x14ac:dyDescent="0.3">
      <c r="A1538" s="5" t="s">
        <v>14</v>
      </c>
      <c r="B1538" t="s">
        <v>254</v>
      </c>
      <c r="C1538" t="s">
        <v>261</v>
      </c>
      <c r="D1538" t="s">
        <v>268</v>
      </c>
      <c r="E1538" t="s">
        <v>271</v>
      </c>
      <c r="F1538" t="s">
        <v>281</v>
      </c>
      <c r="G1538" s="7">
        <v>3</v>
      </c>
      <c r="H1538" s="3">
        <v>9377.49</v>
      </c>
      <c r="I1538" s="3">
        <v>28132.47</v>
      </c>
    </row>
    <row r="1539" spans="1:9" x14ac:dyDescent="0.3">
      <c r="A1539" s="5" t="s">
        <v>14</v>
      </c>
      <c r="B1539" t="s">
        <v>260</v>
      </c>
      <c r="C1539" t="s">
        <v>261</v>
      </c>
      <c r="D1539" t="s">
        <v>267</v>
      </c>
      <c r="E1539" t="s">
        <v>274</v>
      </c>
      <c r="F1539" t="s">
        <v>280</v>
      </c>
      <c r="G1539" s="7">
        <v>6</v>
      </c>
      <c r="H1539" s="3">
        <v>38707.51</v>
      </c>
      <c r="I1539" s="3">
        <v>232245.06</v>
      </c>
    </row>
    <row r="1540" spans="1:9" x14ac:dyDescent="0.3">
      <c r="A1540" s="5" t="s">
        <v>15</v>
      </c>
      <c r="B1540" t="s">
        <v>260</v>
      </c>
      <c r="C1540" t="s">
        <v>263</v>
      </c>
      <c r="D1540" t="s">
        <v>269</v>
      </c>
      <c r="E1540" t="s">
        <v>271</v>
      </c>
      <c r="F1540" t="s">
        <v>275</v>
      </c>
      <c r="G1540" s="7">
        <v>3</v>
      </c>
      <c r="H1540" s="3">
        <v>9345.73</v>
      </c>
      <c r="I1540" s="3">
        <v>28037.19</v>
      </c>
    </row>
    <row r="1541" spans="1:9" x14ac:dyDescent="0.3">
      <c r="A1541" s="5" t="s">
        <v>15</v>
      </c>
      <c r="B1541" t="s">
        <v>256</v>
      </c>
      <c r="C1541" t="s">
        <v>263</v>
      </c>
      <c r="D1541" t="s">
        <v>270</v>
      </c>
      <c r="E1541" t="s">
        <v>272</v>
      </c>
      <c r="F1541" t="s">
        <v>277</v>
      </c>
      <c r="G1541" s="7">
        <v>5</v>
      </c>
      <c r="H1541" s="3">
        <v>25301.08</v>
      </c>
      <c r="I1541" s="3">
        <v>126505.4</v>
      </c>
    </row>
    <row r="1542" spans="1:9" x14ac:dyDescent="0.3">
      <c r="A1542" s="5" t="s">
        <v>15</v>
      </c>
      <c r="B1542" t="s">
        <v>256</v>
      </c>
      <c r="C1542" t="s">
        <v>262</v>
      </c>
      <c r="D1542" t="s">
        <v>270</v>
      </c>
      <c r="E1542" t="s">
        <v>273</v>
      </c>
      <c r="F1542" t="s">
        <v>283</v>
      </c>
      <c r="G1542" s="7">
        <v>6</v>
      </c>
      <c r="H1542" s="3">
        <v>40333.68</v>
      </c>
      <c r="I1542" s="3">
        <v>242002.08</v>
      </c>
    </row>
    <row r="1543" spans="1:9" x14ac:dyDescent="0.3">
      <c r="A1543" s="5" t="s">
        <v>15</v>
      </c>
      <c r="B1543" t="s">
        <v>253</v>
      </c>
      <c r="C1543" t="s">
        <v>261</v>
      </c>
      <c r="D1543" t="s">
        <v>266</v>
      </c>
      <c r="E1543" t="s">
        <v>274</v>
      </c>
      <c r="F1543" t="s">
        <v>280</v>
      </c>
      <c r="G1543" s="7">
        <v>8</v>
      </c>
      <c r="H1543" s="3">
        <v>38005.58</v>
      </c>
      <c r="I1543" s="3">
        <v>304044.64</v>
      </c>
    </row>
    <row r="1544" spans="1:9" x14ac:dyDescent="0.3">
      <c r="A1544" s="5" t="s">
        <v>15</v>
      </c>
      <c r="B1544" t="s">
        <v>258</v>
      </c>
      <c r="C1544" t="s">
        <v>261</v>
      </c>
      <c r="D1544" t="s">
        <v>269</v>
      </c>
      <c r="E1544" t="s">
        <v>272</v>
      </c>
      <c r="F1544" t="s">
        <v>286</v>
      </c>
      <c r="G1544" s="7">
        <v>7</v>
      </c>
      <c r="H1544" s="3">
        <v>25360.19</v>
      </c>
      <c r="I1544" s="3">
        <v>177521.33</v>
      </c>
    </row>
    <row r="1545" spans="1:9" x14ac:dyDescent="0.3">
      <c r="A1545" s="5" t="s">
        <v>15</v>
      </c>
      <c r="B1545" t="s">
        <v>257</v>
      </c>
      <c r="C1545" t="s">
        <v>264</v>
      </c>
      <c r="D1545" t="s">
        <v>266</v>
      </c>
      <c r="E1545" t="s">
        <v>274</v>
      </c>
      <c r="F1545" t="s">
        <v>280</v>
      </c>
      <c r="G1545" s="7">
        <v>8</v>
      </c>
      <c r="H1545" s="3">
        <v>33858.97</v>
      </c>
      <c r="I1545" s="3">
        <v>270871.76</v>
      </c>
    </row>
    <row r="1546" spans="1:9" x14ac:dyDescent="0.3">
      <c r="A1546" s="5" t="s">
        <v>16</v>
      </c>
      <c r="B1546" t="s">
        <v>254</v>
      </c>
      <c r="C1546" t="s">
        <v>263</v>
      </c>
      <c r="D1546" t="s">
        <v>268</v>
      </c>
      <c r="E1546" t="s">
        <v>274</v>
      </c>
      <c r="F1546" t="s">
        <v>284</v>
      </c>
      <c r="G1546" s="7">
        <v>3</v>
      </c>
      <c r="H1546" s="3">
        <v>27675.05</v>
      </c>
      <c r="I1546" s="3">
        <v>83025.149999999994</v>
      </c>
    </row>
    <row r="1547" spans="1:9" x14ac:dyDescent="0.3">
      <c r="A1547" s="5" t="s">
        <v>16</v>
      </c>
      <c r="B1547" t="s">
        <v>254</v>
      </c>
      <c r="C1547" t="s">
        <v>261</v>
      </c>
      <c r="D1547" t="s">
        <v>269</v>
      </c>
      <c r="E1547" t="s">
        <v>273</v>
      </c>
      <c r="F1547" t="s">
        <v>288</v>
      </c>
      <c r="G1547" s="7">
        <v>4</v>
      </c>
      <c r="H1547" s="3">
        <v>39702.06</v>
      </c>
      <c r="I1547" s="3">
        <v>158808.24</v>
      </c>
    </row>
    <row r="1548" spans="1:9" x14ac:dyDescent="0.3">
      <c r="A1548" s="5" t="s">
        <v>16</v>
      </c>
      <c r="B1548" t="s">
        <v>257</v>
      </c>
      <c r="C1548" t="s">
        <v>262</v>
      </c>
      <c r="D1548" t="s">
        <v>268</v>
      </c>
      <c r="E1548" t="s">
        <v>272</v>
      </c>
      <c r="F1548" t="s">
        <v>277</v>
      </c>
      <c r="G1548" s="7">
        <v>6</v>
      </c>
      <c r="H1548" s="3">
        <v>31330.3</v>
      </c>
      <c r="I1548" s="3">
        <v>187981.8</v>
      </c>
    </row>
    <row r="1549" spans="1:9" x14ac:dyDescent="0.3">
      <c r="A1549" s="5" t="s">
        <v>16</v>
      </c>
      <c r="B1549" t="s">
        <v>253</v>
      </c>
      <c r="C1549" t="s">
        <v>262</v>
      </c>
      <c r="D1549" t="s">
        <v>266</v>
      </c>
      <c r="E1549" t="s">
        <v>271</v>
      </c>
      <c r="F1549" t="s">
        <v>281</v>
      </c>
      <c r="G1549" s="7">
        <v>7</v>
      </c>
      <c r="H1549" s="3">
        <v>9568.2199999999993</v>
      </c>
      <c r="I1549" s="3">
        <v>66977.539999999994</v>
      </c>
    </row>
    <row r="1550" spans="1:9" x14ac:dyDescent="0.3">
      <c r="A1550" s="5" t="s">
        <v>16</v>
      </c>
      <c r="B1550" t="s">
        <v>259</v>
      </c>
      <c r="C1550" t="s">
        <v>261</v>
      </c>
      <c r="D1550" t="s">
        <v>269</v>
      </c>
      <c r="E1550" t="s">
        <v>274</v>
      </c>
      <c r="F1550" t="s">
        <v>284</v>
      </c>
      <c r="G1550" s="7">
        <v>9</v>
      </c>
      <c r="H1550" s="3">
        <v>31570.81</v>
      </c>
      <c r="I1550" s="3">
        <v>284137.28999999998</v>
      </c>
    </row>
    <row r="1551" spans="1:9" x14ac:dyDescent="0.3">
      <c r="A1551" s="5" t="s">
        <v>16</v>
      </c>
      <c r="B1551" t="s">
        <v>259</v>
      </c>
      <c r="C1551" t="s">
        <v>263</v>
      </c>
      <c r="D1551" t="s">
        <v>266</v>
      </c>
      <c r="E1551" t="s">
        <v>274</v>
      </c>
      <c r="F1551" t="s">
        <v>289</v>
      </c>
      <c r="G1551" s="7">
        <v>1</v>
      </c>
      <c r="H1551" s="3">
        <v>29959.8</v>
      </c>
      <c r="I1551" s="3">
        <v>29959.8</v>
      </c>
    </row>
    <row r="1552" spans="1:9" x14ac:dyDescent="0.3">
      <c r="A1552" s="5" t="s">
        <v>17</v>
      </c>
      <c r="B1552" t="s">
        <v>253</v>
      </c>
      <c r="C1552" t="s">
        <v>262</v>
      </c>
      <c r="D1552" t="s">
        <v>269</v>
      </c>
      <c r="E1552" t="s">
        <v>271</v>
      </c>
      <c r="F1552" t="s">
        <v>275</v>
      </c>
      <c r="G1552" s="7">
        <v>8</v>
      </c>
      <c r="H1552" s="3">
        <v>9991.61</v>
      </c>
      <c r="I1552" s="3">
        <v>79932.88</v>
      </c>
    </row>
    <row r="1553" spans="1:9" x14ac:dyDescent="0.3">
      <c r="A1553" s="5" t="s">
        <v>17</v>
      </c>
      <c r="B1553" t="s">
        <v>259</v>
      </c>
      <c r="C1553" t="s">
        <v>264</v>
      </c>
      <c r="D1553" t="s">
        <v>266</v>
      </c>
      <c r="E1553" t="s">
        <v>272</v>
      </c>
      <c r="F1553" t="s">
        <v>276</v>
      </c>
      <c r="G1553" s="7">
        <v>8</v>
      </c>
      <c r="H1553" s="3">
        <v>26231.56</v>
      </c>
      <c r="I1553" s="3">
        <v>209852.48</v>
      </c>
    </row>
    <row r="1554" spans="1:9" x14ac:dyDescent="0.3">
      <c r="A1554" s="5" t="s">
        <v>17</v>
      </c>
      <c r="B1554" t="s">
        <v>256</v>
      </c>
      <c r="C1554" t="s">
        <v>262</v>
      </c>
      <c r="D1554" t="s">
        <v>270</v>
      </c>
      <c r="E1554" t="s">
        <v>274</v>
      </c>
      <c r="F1554" t="s">
        <v>289</v>
      </c>
      <c r="G1554" s="7">
        <v>6</v>
      </c>
      <c r="H1554" s="3">
        <v>34137.949999999997</v>
      </c>
      <c r="I1554" s="3">
        <v>204827.7</v>
      </c>
    </row>
    <row r="1555" spans="1:9" x14ac:dyDescent="0.3">
      <c r="A1555" s="5" t="s">
        <v>17</v>
      </c>
      <c r="B1555" t="s">
        <v>254</v>
      </c>
      <c r="C1555" t="s">
        <v>265</v>
      </c>
      <c r="D1555" t="s">
        <v>266</v>
      </c>
      <c r="E1555" t="s">
        <v>274</v>
      </c>
      <c r="F1555" t="s">
        <v>280</v>
      </c>
      <c r="G1555" s="7">
        <v>4</v>
      </c>
      <c r="H1555" s="3">
        <v>39593.07</v>
      </c>
      <c r="I1555" s="3">
        <v>158372.28</v>
      </c>
    </row>
    <row r="1556" spans="1:9" x14ac:dyDescent="0.3">
      <c r="A1556" s="5" t="s">
        <v>17</v>
      </c>
      <c r="B1556" t="s">
        <v>253</v>
      </c>
      <c r="C1556" t="s">
        <v>265</v>
      </c>
      <c r="D1556" t="s">
        <v>270</v>
      </c>
      <c r="E1556" t="s">
        <v>274</v>
      </c>
      <c r="F1556" t="s">
        <v>280</v>
      </c>
      <c r="G1556" s="7">
        <v>3</v>
      </c>
      <c r="H1556" s="3">
        <v>29092.51</v>
      </c>
      <c r="I1556" s="3">
        <v>87277.53</v>
      </c>
    </row>
    <row r="1557" spans="1:9" x14ac:dyDescent="0.3">
      <c r="A1557" s="5" t="s">
        <v>17</v>
      </c>
      <c r="B1557" t="s">
        <v>254</v>
      </c>
      <c r="C1557" t="s">
        <v>263</v>
      </c>
      <c r="D1557" t="s">
        <v>266</v>
      </c>
      <c r="E1557" t="s">
        <v>272</v>
      </c>
      <c r="F1557" t="s">
        <v>276</v>
      </c>
      <c r="G1557" s="7">
        <v>3</v>
      </c>
      <c r="H1557" s="3">
        <v>34337.81</v>
      </c>
      <c r="I1557" s="3">
        <v>103013.43</v>
      </c>
    </row>
    <row r="1558" spans="1:9" x14ac:dyDescent="0.3">
      <c r="A1558" s="5" t="s">
        <v>18</v>
      </c>
      <c r="B1558" t="s">
        <v>257</v>
      </c>
      <c r="C1558" t="s">
        <v>261</v>
      </c>
      <c r="D1558" t="s">
        <v>269</v>
      </c>
      <c r="E1558" t="s">
        <v>272</v>
      </c>
      <c r="F1558" t="s">
        <v>276</v>
      </c>
      <c r="G1558" s="7">
        <v>6</v>
      </c>
      <c r="H1558" s="3">
        <v>25848.400000000001</v>
      </c>
      <c r="I1558" s="3">
        <v>155090.4</v>
      </c>
    </row>
    <row r="1559" spans="1:9" x14ac:dyDescent="0.3">
      <c r="A1559" s="5" t="s">
        <v>18</v>
      </c>
      <c r="B1559" t="s">
        <v>260</v>
      </c>
      <c r="C1559" t="s">
        <v>263</v>
      </c>
      <c r="D1559" t="s">
        <v>269</v>
      </c>
      <c r="E1559" t="s">
        <v>271</v>
      </c>
      <c r="F1559" t="s">
        <v>275</v>
      </c>
      <c r="G1559" s="7">
        <v>8</v>
      </c>
      <c r="H1559" s="3">
        <v>9154.31</v>
      </c>
      <c r="I1559" s="3">
        <v>73234.48</v>
      </c>
    </row>
    <row r="1560" spans="1:9" x14ac:dyDescent="0.3">
      <c r="A1560" s="5" t="s">
        <v>18</v>
      </c>
      <c r="B1560" t="s">
        <v>256</v>
      </c>
      <c r="C1560" t="s">
        <v>263</v>
      </c>
      <c r="D1560" t="s">
        <v>269</v>
      </c>
      <c r="E1560" t="s">
        <v>272</v>
      </c>
      <c r="F1560" t="s">
        <v>290</v>
      </c>
      <c r="G1560" s="7">
        <v>7</v>
      </c>
      <c r="H1560" s="3">
        <v>28022.49</v>
      </c>
      <c r="I1560" s="3">
        <v>196157.43</v>
      </c>
    </row>
    <row r="1561" spans="1:9" x14ac:dyDescent="0.3">
      <c r="A1561" s="5" t="s">
        <v>18</v>
      </c>
      <c r="B1561" t="s">
        <v>255</v>
      </c>
      <c r="C1561" t="s">
        <v>263</v>
      </c>
      <c r="D1561" t="s">
        <v>267</v>
      </c>
      <c r="E1561" t="s">
        <v>272</v>
      </c>
      <c r="F1561" t="s">
        <v>276</v>
      </c>
      <c r="G1561" s="7">
        <v>1</v>
      </c>
      <c r="H1561" s="3">
        <v>34607.199999999997</v>
      </c>
      <c r="I1561" s="3">
        <v>34607.199999999997</v>
      </c>
    </row>
    <row r="1562" spans="1:9" x14ac:dyDescent="0.3">
      <c r="A1562" s="5" t="s">
        <v>18</v>
      </c>
      <c r="B1562" t="s">
        <v>256</v>
      </c>
      <c r="C1562" t="s">
        <v>263</v>
      </c>
      <c r="D1562" t="s">
        <v>268</v>
      </c>
      <c r="E1562" t="s">
        <v>273</v>
      </c>
      <c r="F1562" t="s">
        <v>278</v>
      </c>
      <c r="G1562" s="7">
        <v>6</v>
      </c>
      <c r="H1562" s="3">
        <v>43173.760000000002</v>
      </c>
      <c r="I1562" s="3">
        <v>259042.56</v>
      </c>
    </row>
    <row r="1563" spans="1:9" x14ac:dyDescent="0.3">
      <c r="A1563" s="5" t="s">
        <v>18</v>
      </c>
      <c r="B1563" t="s">
        <v>253</v>
      </c>
      <c r="C1563" t="s">
        <v>264</v>
      </c>
      <c r="D1563" t="s">
        <v>269</v>
      </c>
      <c r="E1563" t="s">
        <v>271</v>
      </c>
      <c r="F1563" t="s">
        <v>282</v>
      </c>
      <c r="G1563" s="7">
        <v>7</v>
      </c>
      <c r="H1563" s="3">
        <v>8583.84</v>
      </c>
      <c r="I1563" s="3">
        <v>60086.879999999997</v>
      </c>
    </row>
    <row r="1564" spans="1:9" x14ac:dyDescent="0.3">
      <c r="A1564" s="5" t="s">
        <v>19</v>
      </c>
      <c r="B1564" t="s">
        <v>255</v>
      </c>
      <c r="C1564" t="s">
        <v>264</v>
      </c>
      <c r="D1564" t="s">
        <v>270</v>
      </c>
      <c r="E1564" t="s">
        <v>274</v>
      </c>
      <c r="F1564" t="s">
        <v>280</v>
      </c>
      <c r="G1564" s="7">
        <v>7</v>
      </c>
      <c r="H1564" s="3">
        <v>39780.61</v>
      </c>
      <c r="I1564" s="3">
        <v>278464.27</v>
      </c>
    </row>
    <row r="1565" spans="1:9" x14ac:dyDescent="0.3">
      <c r="A1565" s="5" t="s">
        <v>19</v>
      </c>
      <c r="B1565" t="s">
        <v>260</v>
      </c>
      <c r="C1565" t="s">
        <v>262</v>
      </c>
      <c r="D1565" t="s">
        <v>269</v>
      </c>
      <c r="E1565" t="s">
        <v>272</v>
      </c>
      <c r="F1565" t="s">
        <v>276</v>
      </c>
      <c r="G1565" s="7">
        <v>9</v>
      </c>
      <c r="H1565" s="3">
        <v>29808.47</v>
      </c>
      <c r="I1565" s="3">
        <v>268276.23</v>
      </c>
    </row>
    <row r="1566" spans="1:9" x14ac:dyDescent="0.3">
      <c r="A1566" s="5" t="s">
        <v>19</v>
      </c>
      <c r="B1566" t="s">
        <v>253</v>
      </c>
      <c r="C1566" t="s">
        <v>265</v>
      </c>
      <c r="D1566" t="s">
        <v>267</v>
      </c>
      <c r="E1566" t="s">
        <v>274</v>
      </c>
      <c r="F1566" t="s">
        <v>280</v>
      </c>
      <c r="G1566" s="7">
        <v>5</v>
      </c>
      <c r="H1566" s="3">
        <v>33633.67</v>
      </c>
      <c r="I1566" s="3">
        <v>168168.35</v>
      </c>
    </row>
    <row r="1567" spans="1:9" x14ac:dyDescent="0.3">
      <c r="A1567" s="5" t="s">
        <v>19</v>
      </c>
      <c r="B1567" t="s">
        <v>258</v>
      </c>
      <c r="C1567" t="s">
        <v>263</v>
      </c>
      <c r="D1567" t="s">
        <v>270</v>
      </c>
      <c r="E1567" t="s">
        <v>274</v>
      </c>
      <c r="F1567" t="s">
        <v>280</v>
      </c>
      <c r="G1567" s="7">
        <v>1</v>
      </c>
      <c r="H1567" s="3">
        <v>30499.56</v>
      </c>
      <c r="I1567" s="3">
        <v>30499.56</v>
      </c>
    </row>
    <row r="1568" spans="1:9" x14ac:dyDescent="0.3">
      <c r="A1568" s="5" t="s">
        <v>19</v>
      </c>
      <c r="B1568" t="s">
        <v>254</v>
      </c>
      <c r="C1568" t="s">
        <v>262</v>
      </c>
      <c r="D1568" t="s">
        <v>267</v>
      </c>
      <c r="E1568" t="s">
        <v>273</v>
      </c>
      <c r="F1568" t="s">
        <v>279</v>
      </c>
      <c r="G1568" s="7">
        <v>2</v>
      </c>
      <c r="H1568" s="3">
        <v>50874.54</v>
      </c>
      <c r="I1568" s="3">
        <v>101749.08</v>
      </c>
    </row>
    <row r="1569" spans="1:9" x14ac:dyDescent="0.3">
      <c r="A1569" s="5" t="s">
        <v>19</v>
      </c>
      <c r="B1569" t="s">
        <v>260</v>
      </c>
      <c r="C1569" t="s">
        <v>265</v>
      </c>
      <c r="D1569" t="s">
        <v>270</v>
      </c>
      <c r="E1569" t="s">
        <v>272</v>
      </c>
      <c r="F1569" t="s">
        <v>276</v>
      </c>
      <c r="G1569" s="7">
        <v>4</v>
      </c>
      <c r="H1569" s="3">
        <v>23960.98</v>
      </c>
      <c r="I1569" s="3">
        <v>95843.92</v>
      </c>
    </row>
    <row r="1570" spans="1:9" x14ac:dyDescent="0.3">
      <c r="A1570" s="5" t="s">
        <v>20</v>
      </c>
      <c r="B1570" t="s">
        <v>254</v>
      </c>
      <c r="C1570" t="s">
        <v>261</v>
      </c>
      <c r="D1570" t="s">
        <v>266</v>
      </c>
      <c r="E1570" t="s">
        <v>271</v>
      </c>
      <c r="F1570" t="s">
        <v>282</v>
      </c>
      <c r="G1570" s="7">
        <v>5</v>
      </c>
      <c r="H1570" s="3">
        <v>7393.34</v>
      </c>
      <c r="I1570" s="3">
        <v>36966.699999999997</v>
      </c>
    </row>
    <row r="1571" spans="1:9" x14ac:dyDescent="0.3">
      <c r="A1571" s="5" t="s">
        <v>20</v>
      </c>
      <c r="B1571" t="s">
        <v>259</v>
      </c>
      <c r="C1571" t="s">
        <v>264</v>
      </c>
      <c r="D1571" t="s">
        <v>268</v>
      </c>
      <c r="E1571" t="s">
        <v>272</v>
      </c>
      <c r="F1571" t="s">
        <v>290</v>
      </c>
      <c r="G1571" s="7">
        <v>9</v>
      </c>
      <c r="H1571" s="3">
        <v>30512.82</v>
      </c>
      <c r="I1571" s="3">
        <v>274615.38</v>
      </c>
    </row>
    <row r="1572" spans="1:9" x14ac:dyDescent="0.3">
      <c r="A1572" s="5" t="s">
        <v>20</v>
      </c>
      <c r="B1572" t="s">
        <v>258</v>
      </c>
      <c r="C1572" t="s">
        <v>265</v>
      </c>
      <c r="D1572" t="s">
        <v>268</v>
      </c>
      <c r="E1572" t="s">
        <v>274</v>
      </c>
      <c r="F1572" t="s">
        <v>284</v>
      </c>
      <c r="G1572" s="7">
        <v>1</v>
      </c>
      <c r="H1572" s="3">
        <v>31573.43</v>
      </c>
      <c r="I1572" s="3">
        <v>31573.43</v>
      </c>
    </row>
    <row r="1573" spans="1:9" x14ac:dyDescent="0.3">
      <c r="A1573" s="5" t="s">
        <v>20</v>
      </c>
      <c r="B1573" t="s">
        <v>258</v>
      </c>
      <c r="C1573" t="s">
        <v>261</v>
      </c>
      <c r="D1573" t="s">
        <v>267</v>
      </c>
      <c r="E1573" t="s">
        <v>271</v>
      </c>
      <c r="F1573" t="s">
        <v>281</v>
      </c>
      <c r="G1573" s="7">
        <v>3</v>
      </c>
      <c r="H1573" s="3">
        <v>10466.280000000001</v>
      </c>
      <c r="I1573" s="3">
        <v>31398.84</v>
      </c>
    </row>
    <row r="1574" spans="1:9" x14ac:dyDescent="0.3">
      <c r="A1574" s="5" t="s">
        <v>20</v>
      </c>
      <c r="B1574" t="s">
        <v>260</v>
      </c>
      <c r="C1574" t="s">
        <v>265</v>
      </c>
      <c r="D1574" t="s">
        <v>268</v>
      </c>
      <c r="E1574" t="s">
        <v>272</v>
      </c>
      <c r="F1574" t="s">
        <v>276</v>
      </c>
      <c r="G1574" s="7">
        <v>5</v>
      </c>
      <c r="H1574" s="3">
        <v>33915.74</v>
      </c>
      <c r="I1574" s="3">
        <v>169578.7</v>
      </c>
    </row>
    <row r="1575" spans="1:9" x14ac:dyDescent="0.3">
      <c r="A1575" s="5" t="s">
        <v>20</v>
      </c>
      <c r="B1575" t="s">
        <v>258</v>
      </c>
      <c r="C1575" t="s">
        <v>264</v>
      </c>
      <c r="D1575" t="s">
        <v>267</v>
      </c>
      <c r="E1575" t="s">
        <v>274</v>
      </c>
      <c r="F1575" t="s">
        <v>289</v>
      </c>
      <c r="G1575" s="7">
        <v>3</v>
      </c>
      <c r="H1575" s="3">
        <v>36335.440000000002</v>
      </c>
      <c r="I1575" s="3">
        <v>109006.32</v>
      </c>
    </row>
    <row r="1576" spans="1:9" x14ac:dyDescent="0.3">
      <c r="A1576" s="5" t="s">
        <v>20</v>
      </c>
      <c r="B1576" t="s">
        <v>255</v>
      </c>
      <c r="C1576" t="s">
        <v>264</v>
      </c>
      <c r="D1576" t="s">
        <v>267</v>
      </c>
      <c r="E1576" t="s">
        <v>274</v>
      </c>
      <c r="F1576" t="s">
        <v>289</v>
      </c>
      <c r="G1576" s="7">
        <v>4</v>
      </c>
      <c r="H1576" s="3">
        <v>37672.26</v>
      </c>
      <c r="I1576" s="3">
        <v>150689.04</v>
      </c>
    </row>
    <row r="1577" spans="1:9" x14ac:dyDescent="0.3">
      <c r="A1577" s="5" t="s">
        <v>21</v>
      </c>
      <c r="B1577" t="s">
        <v>258</v>
      </c>
      <c r="C1577" t="s">
        <v>262</v>
      </c>
      <c r="D1577" t="s">
        <v>267</v>
      </c>
      <c r="E1577" t="s">
        <v>273</v>
      </c>
      <c r="F1577" t="s">
        <v>288</v>
      </c>
      <c r="G1577" s="7">
        <v>3</v>
      </c>
      <c r="H1577" s="3">
        <v>50261.97</v>
      </c>
      <c r="I1577" s="3">
        <v>150785.91</v>
      </c>
    </row>
    <row r="1578" spans="1:9" x14ac:dyDescent="0.3">
      <c r="A1578" s="5" t="s">
        <v>21</v>
      </c>
      <c r="B1578" t="s">
        <v>254</v>
      </c>
      <c r="C1578" t="s">
        <v>263</v>
      </c>
      <c r="D1578" t="s">
        <v>268</v>
      </c>
      <c r="E1578" t="s">
        <v>273</v>
      </c>
      <c r="F1578" t="s">
        <v>288</v>
      </c>
      <c r="G1578" s="7">
        <v>4</v>
      </c>
      <c r="H1578" s="3">
        <v>40510.480000000003</v>
      </c>
      <c r="I1578" s="3">
        <v>162041.92000000001</v>
      </c>
    </row>
    <row r="1579" spans="1:9" x14ac:dyDescent="0.3">
      <c r="A1579" s="5" t="s">
        <v>21</v>
      </c>
      <c r="B1579" t="s">
        <v>254</v>
      </c>
      <c r="C1579" t="s">
        <v>265</v>
      </c>
      <c r="D1579" t="s">
        <v>267</v>
      </c>
      <c r="E1579" t="s">
        <v>273</v>
      </c>
      <c r="F1579" t="s">
        <v>288</v>
      </c>
      <c r="G1579" s="7">
        <v>1</v>
      </c>
      <c r="H1579" s="3">
        <v>52029.78</v>
      </c>
      <c r="I1579" s="3">
        <v>52029.78</v>
      </c>
    </row>
    <row r="1580" spans="1:9" x14ac:dyDescent="0.3">
      <c r="A1580" s="5" t="s">
        <v>21</v>
      </c>
      <c r="B1580" t="s">
        <v>253</v>
      </c>
      <c r="C1580" t="s">
        <v>265</v>
      </c>
      <c r="D1580" t="s">
        <v>268</v>
      </c>
      <c r="E1580" t="s">
        <v>274</v>
      </c>
      <c r="F1580" t="s">
        <v>284</v>
      </c>
      <c r="G1580" s="7">
        <v>8</v>
      </c>
      <c r="H1580" s="3">
        <v>29890.46</v>
      </c>
      <c r="I1580" s="3">
        <v>239123.68</v>
      </c>
    </row>
    <row r="1581" spans="1:9" x14ac:dyDescent="0.3">
      <c r="A1581" s="5" t="s">
        <v>21</v>
      </c>
      <c r="B1581" t="s">
        <v>254</v>
      </c>
      <c r="C1581" t="s">
        <v>261</v>
      </c>
      <c r="D1581" t="s">
        <v>267</v>
      </c>
      <c r="E1581" t="s">
        <v>272</v>
      </c>
      <c r="F1581" t="s">
        <v>290</v>
      </c>
      <c r="G1581" s="7">
        <v>4</v>
      </c>
      <c r="H1581" s="3">
        <v>27422.560000000001</v>
      </c>
      <c r="I1581" s="3">
        <v>109690.24000000001</v>
      </c>
    </row>
    <row r="1582" spans="1:9" x14ac:dyDescent="0.3">
      <c r="A1582" s="5" t="s">
        <v>21</v>
      </c>
      <c r="B1582" t="s">
        <v>253</v>
      </c>
      <c r="C1582" t="s">
        <v>264</v>
      </c>
      <c r="D1582" t="s">
        <v>269</v>
      </c>
      <c r="E1582" t="s">
        <v>273</v>
      </c>
      <c r="F1582" t="s">
        <v>278</v>
      </c>
      <c r="G1582" s="7">
        <v>7</v>
      </c>
      <c r="H1582" s="3">
        <v>52996.22</v>
      </c>
      <c r="I1582" s="3">
        <v>370973.54</v>
      </c>
    </row>
    <row r="1583" spans="1:9" x14ac:dyDescent="0.3">
      <c r="A1583" s="5" t="s">
        <v>22</v>
      </c>
      <c r="B1583" t="s">
        <v>254</v>
      </c>
      <c r="C1583" t="s">
        <v>265</v>
      </c>
      <c r="D1583" t="s">
        <v>267</v>
      </c>
      <c r="E1583" t="s">
        <v>272</v>
      </c>
      <c r="F1583" t="s">
        <v>276</v>
      </c>
      <c r="G1583" s="7">
        <v>2</v>
      </c>
      <c r="H1583" s="3">
        <v>29809.09</v>
      </c>
      <c r="I1583" s="3">
        <v>59618.18</v>
      </c>
    </row>
    <row r="1584" spans="1:9" x14ac:dyDescent="0.3">
      <c r="A1584" s="5" t="s">
        <v>22</v>
      </c>
      <c r="B1584" t="s">
        <v>255</v>
      </c>
      <c r="C1584" t="s">
        <v>264</v>
      </c>
      <c r="D1584" t="s">
        <v>270</v>
      </c>
      <c r="E1584" t="s">
        <v>273</v>
      </c>
      <c r="F1584" t="s">
        <v>283</v>
      </c>
      <c r="G1584" s="7">
        <v>2</v>
      </c>
      <c r="H1584" s="3">
        <v>53728.93</v>
      </c>
      <c r="I1584" s="3">
        <v>107457.86</v>
      </c>
    </row>
    <row r="1585" spans="1:9" x14ac:dyDescent="0.3">
      <c r="A1585" s="5" t="s">
        <v>22</v>
      </c>
      <c r="B1585" t="s">
        <v>257</v>
      </c>
      <c r="C1585" t="s">
        <v>265</v>
      </c>
      <c r="D1585" t="s">
        <v>267</v>
      </c>
      <c r="E1585" t="s">
        <v>271</v>
      </c>
      <c r="F1585" t="s">
        <v>282</v>
      </c>
      <c r="G1585" s="7">
        <v>6</v>
      </c>
      <c r="H1585" s="3">
        <v>7949.32</v>
      </c>
      <c r="I1585" s="3">
        <v>47695.92</v>
      </c>
    </row>
    <row r="1586" spans="1:9" x14ac:dyDescent="0.3">
      <c r="A1586" s="5" t="s">
        <v>22</v>
      </c>
      <c r="B1586" t="s">
        <v>253</v>
      </c>
      <c r="C1586" t="s">
        <v>262</v>
      </c>
      <c r="D1586" t="s">
        <v>266</v>
      </c>
      <c r="E1586" t="s">
        <v>271</v>
      </c>
      <c r="F1586" t="s">
        <v>275</v>
      </c>
      <c r="G1586" s="7">
        <v>2</v>
      </c>
      <c r="H1586" s="3">
        <v>9291.4500000000007</v>
      </c>
      <c r="I1586" s="3">
        <v>18582.900000000001</v>
      </c>
    </row>
    <row r="1587" spans="1:9" x14ac:dyDescent="0.3">
      <c r="A1587" s="5" t="s">
        <v>22</v>
      </c>
      <c r="B1587" t="s">
        <v>256</v>
      </c>
      <c r="C1587" t="s">
        <v>263</v>
      </c>
      <c r="D1587" t="s">
        <v>267</v>
      </c>
      <c r="E1587" t="s">
        <v>273</v>
      </c>
      <c r="F1587" t="s">
        <v>288</v>
      </c>
      <c r="G1587" s="7">
        <v>6</v>
      </c>
      <c r="H1587" s="3">
        <v>39758.239999999998</v>
      </c>
      <c r="I1587" s="3">
        <v>238549.44</v>
      </c>
    </row>
    <row r="1588" spans="1:9" x14ac:dyDescent="0.3">
      <c r="A1588" s="5" t="s">
        <v>22</v>
      </c>
      <c r="B1588" t="s">
        <v>259</v>
      </c>
      <c r="C1588" t="s">
        <v>265</v>
      </c>
      <c r="D1588" t="s">
        <v>270</v>
      </c>
      <c r="E1588" t="s">
        <v>274</v>
      </c>
      <c r="F1588" t="s">
        <v>284</v>
      </c>
      <c r="G1588" s="7">
        <v>2</v>
      </c>
      <c r="H1588" s="3">
        <v>35431.18</v>
      </c>
      <c r="I1588" s="3">
        <v>70862.36</v>
      </c>
    </row>
    <row r="1589" spans="1:9" x14ac:dyDescent="0.3">
      <c r="A1589" s="5" t="s">
        <v>23</v>
      </c>
      <c r="B1589" t="s">
        <v>260</v>
      </c>
      <c r="C1589" t="s">
        <v>264</v>
      </c>
      <c r="D1589" t="s">
        <v>270</v>
      </c>
      <c r="E1589" t="s">
        <v>273</v>
      </c>
      <c r="F1589" t="s">
        <v>279</v>
      </c>
      <c r="G1589" s="7">
        <v>4</v>
      </c>
      <c r="H1589" s="3">
        <v>51975.61</v>
      </c>
      <c r="I1589" s="3">
        <v>207902.44</v>
      </c>
    </row>
    <row r="1590" spans="1:9" x14ac:dyDescent="0.3">
      <c r="A1590" s="5" t="s">
        <v>23</v>
      </c>
      <c r="B1590" t="s">
        <v>254</v>
      </c>
      <c r="C1590" t="s">
        <v>262</v>
      </c>
      <c r="D1590" t="s">
        <v>268</v>
      </c>
      <c r="E1590" t="s">
        <v>273</v>
      </c>
      <c r="F1590" t="s">
        <v>278</v>
      </c>
      <c r="G1590" s="7">
        <v>7</v>
      </c>
      <c r="H1590" s="3">
        <v>48778.76</v>
      </c>
      <c r="I1590" s="3">
        <v>341451.32</v>
      </c>
    </row>
    <row r="1591" spans="1:9" x14ac:dyDescent="0.3">
      <c r="A1591" s="5" t="s">
        <v>23</v>
      </c>
      <c r="B1591" t="s">
        <v>258</v>
      </c>
      <c r="C1591" t="s">
        <v>265</v>
      </c>
      <c r="D1591" t="s">
        <v>269</v>
      </c>
      <c r="E1591" t="s">
        <v>274</v>
      </c>
      <c r="F1591" t="s">
        <v>289</v>
      </c>
      <c r="G1591" s="7">
        <v>8</v>
      </c>
      <c r="H1591" s="3">
        <v>30607.759999999998</v>
      </c>
      <c r="I1591" s="3">
        <v>244862.07999999999</v>
      </c>
    </row>
    <row r="1592" spans="1:9" x14ac:dyDescent="0.3">
      <c r="A1592" s="5" t="s">
        <v>23</v>
      </c>
      <c r="B1592" t="s">
        <v>257</v>
      </c>
      <c r="C1592" t="s">
        <v>261</v>
      </c>
      <c r="D1592" t="s">
        <v>267</v>
      </c>
      <c r="E1592" t="s">
        <v>271</v>
      </c>
      <c r="F1592" t="s">
        <v>282</v>
      </c>
      <c r="G1592" s="7">
        <v>3</v>
      </c>
      <c r="H1592" s="3">
        <v>7331.57</v>
      </c>
      <c r="I1592" s="3">
        <v>21994.71</v>
      </c>
    </row>
    <row r="1593" spans="1:9" x14ac:dyDescent="0.3">
      <c r="A1593" s="5" t="s">
        <v>23</v>
      </c>
      <c r="B1593" t="s">
        <v>254</v>
      </c>
      <c r="C1593" t="s">
        <v>263</v>
      </c>
      <c r="D1593" t="s">
        <v>268</v>
      </c>
      <c r="E1593" t="s">
        <v>272</v>
      </c>
      <c r="F1593" t="s">
        <v>277</v>
      </c>
      <c r="G1593" s="7">
        <v>9</v>
      </c>
      <c r="H1593" s="3">
        <v>25137.83</v>
      </c>
      <c r="I1593" s="3">
        <v>226240.47</v>
      </c>
    </row>
    <row r="1594" spans="1:9" x14ac:dyDescent="0.3">
      <c r="A1594" s="5" t="s">
        <v>23</v>
      </c>
      <c r="B1594" t="s">
        <v>258</v>
      </c>
      <c r="C1594" t="s">
        <v>265</v>
      </c>
      <c r="D1594" t="s">
        <v>269</v>
      </c>
      <c r="E1594" t="s">
        <v>273</v>
      </c>
      <c r="F1594" t="s">
        <v>288</v>
      </c>
      <c r="G1594" s="7">
        <v>2</v>
      </c>
      <c r="H1594" s="3">
        <v>49451.45</v>
      </c>
      <c r="I1594" s="3">
        <v>98902.9</v>
      </c>
    </row>
    <row r="1595" spans="1:9" x14ac:dyDescent="0.3">
      <c r="A1595" s="5" t="s">
        <v>24</v>
      </c>
      <c r="B1595" t="s">
        <v>259</v>
      </c>
      <c r="C1595" t="s">
        <v>262</v>
      </c>
      <c r="D1595" t="s">
        <v>267</v>
      </c>
      <c r="E1595" t="s">
        <v>274</v>
      </c>
      <c r="F1595" t="s">
        <v>284</v>
      </c>
      <c r="G1595" s="7">
        <v>8</v>
      </c>
      <c r="H1595" s="3">
        <v>39160.58</v>
      </c>
      <c r="I1595" s="3">
        <v>313284.64</v>
      </c>
    </row>
    <row r="1596" spans="1:9" x14ac:dyDescent="0.3">
      <c r="A1596" s="5" t="s">
        <v>24</v>
      </c>
      <c r="B1596" t="s">
        <v>259</v>
      </c>
      <c r="C1596" t="s">
        <v>261</v>
      </c>
      <c r="D1596" t="s">
        <v>266</v>
      </c>
      <c r="E1596" t="s">
        <v>273</v>
      </c>
      <c r="F1596" t="s">
        <v>288</v>
      </c>
      <c r="G1596" s="7">
        <v>8</v>
      </c>
      <c r="H1596" s="3">
        <v>41967.62</v>
      </c>
      <c r="I1596" s="3">
        <v>335740.96</v>
      </c>
    </row>
    <row r="1597" spans="1:9" x14ac:dyDescent="0.3">
      <c r="A1597" s="5" t="s">
        <v>24</v>
      </c>
      <c r="B1597" t="s">
        <v>259</v>
      </c>
      <c r="C1597" t="s">
        <v>262</v>
      </c>
      <c r="D1597" t="s">
        <v>267</v>
      </c>
      <c r="E1597" t="s">
        <v>274</v>
      </c>
      <c r="F1597" t="s">
        <v>280</v>
      </c>
      <c r="G1597" s="7">
        <v>4</v>
      </c>
      <c r="H1597" s="3">
        <v>36608.33</v>
      </c>
      <c r="I1597" s="3">
        <v>146433.32</v>
      </c>
    </row>
    <row r="1598" spans="1:9" x14ac:dyDescent="0.3">
      <c r="A1598" s="5" t="s">
        <v>24</v>
      </c>
      <c r="B1598" t="s">
        <v>258</v>
      </c>
      <c r="C1598" t="s">
        <v>262</v>
      </c>
      <c r="D1598" t="s">
        <v>270</v>
      </c>
      <c r="E1598" t="s">
        <v>272</v>
      </c>
      <c r="F1598" t="s">
        <v>277</v>
      </c>
      <c r="G1598" s="7">
        <v>1</v>
      </c>
      <c r="H1598" s="3">
        <v>33504.25</v>
      </c>
      <c r="I1598" s="3">
        <v>33504.25</v>
      </c>
    </row>
    <row r="1599" spans="1:9" x14ac:dyDescent="0.3">
      <c r="A1599" s="5" t="s">
        <v>24</v>
      </c>
      <c r="B1599" t="s">
        <v>254</v>
      </c>
      <c r="C1599" t="s">
        <v>261</v>
      </c>
      <c r="D1599" t="s">
        <v>270</v>
      </c>
      <c r="E1599" t="s">
        <v>272</v>
      </c>
      <c r="F1599" t="s">
        <v>290</v>
      </c>
      <c r="G1599" s="7">
        <v>1</v>
      </c>
      <c r="H1599" s="3">
        <v>29633.88</v>
      </c>
      <c r="I1599" s="3">
        <v>29633.88</v>
      </c>
    </row>
    <row r="1600" spans="1:9" x14ac:dyDescent="0.3">
      <c r="A1600" s="5" t="s">
        <v>24</v>
      </c>
      <c r="B1600" t="s">
        <v>259</v>
      </c>
      <c r="C1600" t="s">
        <v>262</v>
      </c>
      <c r="D1600" t="s">
        <v>266</v>
      </c>
      <c r="E1600" t="s">
        <v>271</v>
      </c>
      <c r="F1600" t="s">
        <v>275</v>
      </c>
      <c r="G1600" s="7">
        <v>2</v>
      </c>
      <c r="H1600" s="3">
        <v>9500.5</v>
      </c>
      <c r="I1600" s="3">
        <v>19001</v>
      </c>
    </row>
    <row r="1601" spans="1:9" x14ac:dyDescent="0.3">
      <c r="A1601" s="5" t="s">
        <v>25</v>
      </c>
      <c r="B1601" t="s">
        <v>255</v>
      </c>
      <c r="C1601" t="s">
        <v>261</v>
      </c>
      <c r="D1601" t="s">
        <v>268</v>
      </c>
      <c r="E1601" t="s">
        <v>274</v>
      </c>
      <c r="F1601" t="s">
        <v>289</v>
      </c>
      <c r="G1601" s="7">
        <v>9</v>
      </c>
      <c r="H1601" s="3">
        <v>37632.199999999997</v>
      </c>
      <c r="I1601" s="3">
        <v>338689.8</v>
      </c>
    </row>
    <row r="1602" spans="1:9" x14ac:dyDescent="0.3">
      <c r="A1602" s="5" t="s">
        <v>25</v>
      </c>
      <c r="B1602" t="s">
        <v>253</v>
      </c>
      <c r="C1602" t="s">
        <v>265</v>
      </c>
      <c r="D1602" t="s">
        <v>269</v>
      </c>
      <c r="E1602" t="s">
        <v>274</v>
      </c>
      <c r="F1602" t="s">
        <v>280</v>
      </c>
      <c r="G1602" s="7">
        <v>2</v>
      </c>
      <c r="H1602" s="3">
        <v>30536.639999999999</v>
      </c>
      <c r="I1602" s="3">
        <v>61073.279999999999</v>
      </c>
    </row>
    <row r="1603" spans="1:9" x14ac:dyDescent="0.3">
      <c r="A1603" s="5" t="s">
        <v>25</v>
      </c>
      <c r="B1603" t="s">
        <v>258</v>
      </c>
      <c r="C1603" t="s">
        <v>261</v>
      </c>
      <c r="D1603" t="s">
        <v>267</v>
      </c>
      <c r="E1603" t="s">
        <v>271</v>
      </c>
      <c r="F1603" t="s">
        <v>282</v>
      </c>
      <c r="G1603" s="7">
        <v>2</v>
      </c>
      <c r="H1603" s="3">
        <v>8234.4500000000007</v>
      </c>
      <c r="I1603" s="3">
        <v>16468.900000000001</v>
      </c>
    </row>
    <row r="1604" spans="1:9" x14ac:dyDescent="0.3">
      <c r="A1604" s="5" t="s">
        <v>25</v>
      </c>
      <c r="B1604" t="s">
        <v>258</v>
      </c>
      <c r="C1604" t="s">
        <v>261</v>
      </c>
      <c r="D1604" t="s">
        <v>270</v>
      </c>
      <c r="E1604" t="s">
        <v>271</v>
      </c>
      <c r="F1604" t="s">
        <v>282</v>
      </c>
      <c r="G1604" s="7">
        <v>6</v>
      </c>
      <c r="H1604" s="3">
        <v>7227.13</v>
      </c>
      <c r="I1604" s="3">
        <v>43362.78</v>
      </c>
    </row>
    <row r="1605" spans="1:9" x14ac:dyDescent="0.3">
      <c r="A1605" s="5" t="s">
        <v>25</v>
      </c>
      <c r="B1605" t="s">
        <v>254</v>
      </c>
      <c r="C1605" t="s">
        <v>263</v>
      </c>
      <c r="D1605" t="s">
        <v>268</v>
      </c>
      <c r="E1605" t="s">
        <v>274</v>
      </c>
      <c r="F1605" t="s">
        <v>287</v>
      </c>
      <c r="G1605" s="7">
        <v>7</v>
      </c>
      <c r="H1605" s="3">
        <v>39527.599999999999</v>
      </c>
      <c r="I1605" s="3">
        <v>276693.2</v>
      </c>
    </row>
    <row r="1606" spans="1:9" x14ac:dyDescent="0.3">
      <c r="A1606" s="5" t="s">
        <v>25</v>
      </c>
      <c r="B1606" t="s">
        <v>258</v>
      </c>
      <c r="C1606" t="s">
        <v>261</v>
      </c>
      <c r="D1606" t="s">
        <v>266</v>
      </c>
      <c r="E1606" t="s">
        <v>271</v>
      </c>
      <c r="F1606" t="s">
        <v>281</v>
      </c>
      <c r="G1606" s="7">
        <v>7</v>
      </c>
      <c r="H1606" s="3">
        <v>10344.65</v>
      </c>
      <c r="I1606" s="3">
        <v>72412.55</v>
      </c>
    </row>
    <row r="1607" spans="1:9" x14ac:dyDescent="0.3">
      <c r="A1607" s="5" t="s">
        <v>26</v>
      </c>
      <c r="B1607" t="s">
        <v>258</v>
      </c>
      <c r="C1607" t="s">
        <v>261</v>
      </c>
      <c r="D1607" t="s">
        <v>270</v>
      </c>
      <c r="E1607" t="s">
        <v>272</v>
      </c>
      <c r="F1607" t="s">
        <v>286</v>
      </c>
      <c r="G1607" s="7">
        <v>9</v>
      </c>
      <c r="H1607" s="3">
        <v>32363.16</v>
      </c>
      <c r="I1607" s="3">
        <v>291268.44</v>
      </c>
    </row>
    <row r="1608" spans="1:9" x14ac:dyDescent="0.3">
      <c r="A1608" s="5" t="s">
        <v>26</v>
      </c>
      <c r="B1608" t="s">
        <v>259</v>
      </c>
      <c r="C1608" t="s">
        <v>265</v>
      </c>
      <c r="D1608" t="s">
        <v>266</v>
      </c>
      <c r="E1608" t="s">
        <v>273</v>
      </c>
      <c r="F1608" t="s">
        <v>283</v>
      </c>
      <c r="G1608" s="7">
        <v>6</v>
      </c>
      <c r="H1608" s="3">
        <v>39673.370000000003</v>
      </c>
      <c r="I1608" s="3">
        <v>238040.22</v>
      </c>
    </row>
    <row r="1609" spans="1:9" x14ac:dyDescent="0.3">
      <c r="A1609" s="5" t="s">
        <v>26</v>
      </c>
      <c r="B1609" t="s">
        <v>254</v>
      </c>
      <c r="C1609" t="s">
        <v>263</v>
      </c>
      <c r="D1609" t="s">
        <v>267</v>
      </c>
      <c r="E1609" t="s">
        <v>272</v>
      </c>
      <c r="F1609" t="s">
        <v>290</v>
      </c>
      <c r="G1609" s="7">
        <v>8</v>
      </c>
      <c r="H1609" s="3">
        <v>28812.03</v>
      </c>
      <c r="I1609" s="3">
        <v>230496.24</v>
      </c>
    </row>
    <row r="1610" spans="1:9" x14ac:dyDescent="0.3">
      <c r="A1610" s="5" t="s">
        <v>26</v>
      </c>
      <c r="B1610" t="s">
        <v>259</v>
      </c>
      <c r="C1610" t="s">
        <v>264</v>
      </c>
      <c r="D1610" t="s">
        <v>269</v>
      </c>
      <c r="E1610" t="s">
        <v>271</v>
      </c>
      <c r="F1610" t="s">
        <v>285</v>
      </c>
      <c r="G1610" s="7">
        <v>6</v>
      </c>
      <c r="H1610" s="3">
        <v>7571.43</v>
      </c>
      <c r="I1610" s="3">
        <v>45428.58</v>
      </c>
    </row>
    <row r="1611" spans="1:9" x14ac:dyDescent="0.3">
      <c r="A1611" s="5" t="s">
        <v>26</v>
      </c>
      <c r="B1611" t="s">
        <v>253</v>
      </c>
      <c r="C1611" t="s">
        <v>265</v>
      </c>
      <c r="D1611" t="s">
        <v>270</v>
      </c>
      <c r="E1611" t="s">
        <v>274</v>
      </c>
      <c r="F1611" t="s">
        <v>289</v>
      </c>
      <c r="G1611" s="7">
        <v>2</v>
      </c>
      <c r="H1611" s="3">
        <v>27403.78</v>
      </c>
      <c r="I1611" s="3">
        <v>54807.56</v>
      </c>
    </row>
    <row r="1612" spans="1:9" x14ac:dyDescent="0.3">
      <c r="A1612" s="5" t="s">
        <v>26</v>
      </c>
      <c r="B1612" t="s">
        <v>257</v>
      </c>
      <c r="C1612" t="s">
        <v>265</v>
      </c>
      <c r="D1612" t="s">
        <v>270</v>
      </c>
      <c r="E1612" t="s">
        <v>274</v>
      </c>
      <c r="F1612" t="s">
        <v>280</v>
      </c>
      <c r="G1612" s="7">
        <v>1</v>
      </c>
      <c r="H1612" s="3">
        <v>35087.14</v>
      </c>
      <c r="I1612" s="3">
        <v>35087.14</v>
      </c>
    </row>
    <row r="1613" spans="1:9" x14ac:dyDescent="0.3">
      <c r="A1613" s="5" t="s">
        <v>26</v>
      </c>
      <c r="B1613" t="s">
        <v>253</v>
      </c>
      <c r="C1613" t="s">
        <v>264</v>
      </c>
      <c r="D1613" t="s">
        <v>267</v>
      </c>
      <c r="E1613" t="s">
        <v>272</v>
      </c>
      <c r="F1613" t="s">
        <v>286</v>
      </c>
      <c r="G1613" s="7">
        <v>5</v>
      </c>
      <c r="H1613" s="3">
        <v>34561.29</v>
      </c>
      <c r="I1613" s="3">
        <v>172806.45</v>
      </c>
    </row>
    <row r="1614" spans="1:9" x14ac:dyDescent="0.3">
      <c r="A1614" s="5" t="s">
        <v>27</v>
      </c>
      <c r="B1614" t="s">
        <v>257</v>
      </c>
      <c r="C1614" t="s">
        <v>261</v>
      </c>
      <c r="D1614" t="s">
        <v>268</v>
      </c>
      <c r="E1614" t="s">
        <v>274</v>
      </c>
      <c r="F1614" t="s">
        <v>280</v>
      </c>
      <c r="G1614" s="7">
        <v>9</v>
      </c>
      <c r="H1614" s="3">
        <v>38756.71</v>
      </c>
      <c r="I1614" s="3">
        <v>348810.39</v>
      </c>
    </row>
    <row r="1615" spans="1:9" x14ac:dyDescent="0.3">
      <c r="A1615" s="5" t="s">
        <v>27</v>
      </c>
      <c r="B1615" t="s">
        <v>259</v>
      </c>
      <c r="C1615" t="s">
        <v>262</v>
      </c>
      <c r="D1615" t="s">
        <v>269</v>
      </c>
      <c r="E1615" t="s">
        <v>271</v>
      </c>
      <c r="F1615" t="s">
        <v>281</v>
      </c>
      <c r="G1615" s="7">
        <v>8</v>
      </c>
      <c r="H1615" s="3">
        <v>9593.9699999999993</v>
      </c>
      <c r="I1615" s="3">
        <v>76751.759999999995</v>
      </c>
    </row>
    <row r="1616" spans="1:9" x14ac:dyDescent="0.3">
      <c r="A1616" s="5" t="s">
        <v>27</v>
      </c>
      <c r="B1616" t="s">
        <v>253</v>
      </c>
      <c r="C1616" t="s">
        <v>263</v>
      </c>
      <c r="D1616" t="s">
        <v>270</v>
      </c>
      <c r="E1616" t="s">
        <v>272</v>
      </c>
      <c r="F1616" t="s">
        <v>276</v>
      </c>
      <c r="G1616" s="7">
        <v>4</v>
      </c>
      <c r="H1616" s="3">
        <v>24882.37</v>
      </c>
      <c r="I1616" s="3">
        <v>99529.48</v>
      </c>
    </row>
    <row r="1617" spans="1:9" x14ac:dyDescent="0.3">
      <c r="A1617" s="5" t="s">
        <v>27</v>
      </c>
      <c r="B1617" t="s">
        <v>254</v>
      </c>
      <c r="C1617" t="s">
        <v>262</v>
      </c>
      <c r="D1617" t="s">
        <v>269</v>
      </c>
      <c r="E1617" t="s">
        <v>274</v>
      </c>
      <c r="F1617" t="s">
        <v>287</v>
      </c>
      <c r="G1617" s="7">
        <v>5</v>
      </c>
      <c r="H1617" s="3">
        <v>30709.3</v>
      </c>
      <c r="I1617" s="3">
        <v>153546.5</v>
      </c>
    </row>
    <row r="1618" spans="1:9" x14ac:dyDescent="0.3">
      <c r="A1618" s="5" t="s">
        <v>27</v>
      </c>
      <c r="B1618" t="s">
        <v>260</v>
      </c>
      <c r="C1618" t="s">
        <v>264</v>
      </c>
      <c r="D1618" t="s">
        <v>270</v>
      </c>
      <c r="E1618" t="s">
        <v>273</v>
      </c>
      <c r="F1618" t="s">
        <v>279</v>
      </c>
      <c r="G1618" s="7">
        <v>5</v>
      </c>
      <c r="H1618" s="3">
        <v>44011.02</v>
      </c>
      <c r="I1618" s="3">
        <v>220055.1</v>
      </c>
    </row>
    <row r="1619" spans="1:9" x14ac:dyDescent="0.3">
      <c r="A1619" s="5" t="s">
        <v>27</v>
      </c>
      <c r="B1619" t="s">
        <v>259</v>
      </c>
      <c r="C1619" t="s">
        <v>265</v>
      </c>
      <c r="D1619" t="s">
        <v>269</v>
      </c>
      <c r="E1619" t="s">
        <v>273</v>
      </c>
      <c r="F1619" t="s">
        <v>288</v>
      </c>
      <c r="G1619" s="7">
        <v>6</v>
      </c>
      <c r="H1619" s="3">
        <v>51986.7</v>
      </c>
      <c r="I1619" s="3">
        <v>311920.2</v>
      </c>
    </row>
    <row r="1620" spans="1:9" x14ac:dyDescent="0.3">
      <c r="A1620" s="5" t="s">
        <v>28</v>
      </c>
      <c r="B1620" t="s">
        <v>257</v>
      </c>
      <c r="C1620" t="s">
        <v>265</v>
      </c>
      <c r="D1620" t="s">
        <v>266</v>
      </c>
      <c r="E1620" t="s">
        <v>271</v>
      </c>
      <c r="F1620" t="s">
        <v>275</v>
      </c>
      <c r="G1620" s="7">
        <v>3</v>
      </c>
      <c r="H1620" s="3">
        <v>9952.65</v>
      </c>
      <c r="I1620" s="3">
        <v>29857.95</v>
      </c>
    </row>
    <row r="1621" spans="1:9" x14ac:dyDescent="0.3">
      <c r="A1621" s="5" t="s">
        <v>28</v>
      </c>
      <c r="B1621" t="s">
        <v>255</v>
      </c>
      <c r="C1621" t="s">
        <v>263</v>
      </c>
      <c r="D1621" t="s">
        <v>270</v>
      </c>
      <c r="E1621" t="s">
        <v>274</v>
      </c>
      <c r="F1621" t="s">
        <v>287</v>
      </c>
      <c r="G1621" s="7">
        <v>5</v>
      </c>
      <c r="H1621" s="3">
        <v>32129.360000000001</v>
      </c>
      <c r="I1621" s="3">
        <v>160646.79999999999</v>
      </c>
    </row>
    <row r="1622" spans="1:9" x14ac:dyDescent="0.3">
      <c r="A1622" s="5" t="s">
        <v>28</v>
      </c>
      <c r="B1622" t="s">
        <v>257</v>
      </c>
      <c r="C1622" t="s">
        <v>265</v>
      </c>
      <c r="D1622" t="s">
        <v>269</v>
      </c>
      <c r="E1622" t="s">
        <v>271</v>
      </c>
      <c r="F1622" t="s">
        <v>285</v>
      </c>
      <c r="G1622" s="7">
        <v>2</v>
      </c>
      <c r="H1622" s="3">
        <v>8645.81</v>
      </c>
      <c r="I1622" s="3">
        <v>17291.62</v>
      </c>
    </row>
    <row r="1623" spans="1:9" x14ac:dyDescent="0.3">
      <c r="A1623" s="5" t="s">
        <v>28</v>
      </c>
      <c r="B1623" t="s">
        <v>255</v>
      </c>
      <c r="C1623" t="s">
        <v>265</v>
      </c>
      <c r="D1623" t="s">
        <v>268</v>
      </c>
      <c r="E1623" t="s">
        <v>272</v>
      </c>
      <c r="F1623" t="s">
        <v>277</v>
      </c>
      <c r="G1623" s="7">
        <v>1</v>
      </c>
      <c r="H1623" s="3">
        <v>24298.5</v>
      </c>
      <c r="I1623" s="3">
        <v>24298.5</v>
      </c>
    </row>
    <row r="1624" spans="1:9" x14ac:dyDescent="0.3">
      <c r="A1624" s="5" t="s">
        <v>28</v>
      </c>
      <c r="B1624" t="s">
        <v>258</v>
      </c>
      <c r="C1624" t="s">
        <v>263</v>
      </c>
      <c r="D1624" t="s">
        <v>266</v>
      </c>
      <c r="E1624" t="s">
        <v>273</v>
      </c>
      <c r="F1624" t="s">
        <v>283</v>
      </c>
      <c r="G1624" s="7">
        <v>1</v>
      </c>
      <c r="H1624" s="3">
        <v>43454.46</v>
      </c>
      <c r="I1624" s="3">
        <v>43454.46</v>
      </c>
    </row>
    <row r="1625" spans="1:9" x14ac:dyDescent="0.3">
      <c r="A1625" s="5" t="s">
        <v>28</v>
      </c>
      <c r="B1625" t="s">
        <v>253</v>
      </c>
      <c r="C1625" t="s">
        <v>263</v>
      </c>
      <c r="D1625" t="s">
        <v>266</v>
      </c>
      <c r="E1625" t="s">
        <v>272</v>
      </c>
      <c r="F1625" t="s">
        <v>276</v>
      </c>
      <c r="G1625" s="7">
        <v>7</v>
      </c>
      <c r="H1625" s="3">
        <v>28854.39</v>
      </c>
      <c r="I1625" s="3">
        <v>201980.73</v>
      </c>
    </row>
    <row r="1626" spans="1:9" x14ac:dyDescent="0.3">
      <c r="A1626" s="5" t="s">
        <v>29</v>
      </c>
      <c r="B1626" t="s">
        <v>255</v>
      </c>
      <c r="C1626" t="s">
        <v>264</v>
      </c>
      <c r="D1626" t="s">
        <v>268</v>
      </c>
      <c r="E1626" t="s">
        <v>274</v>
      </c>
      <c r="F1626" t="s">
        <v>280</v>
      </c>
      <c r="G1626" s="7">
        <v>2</v>
      </c>
      <c r="H1626" s="3">
        <v>28697.38</v>
      </c>
      <c r="I1626" s="3">
        <v>57394.76</v>
      </c>
    </row>
    <row r="1627" spans="1:9" x14ac:dyDescent="0.3">
      <c r="A1627" s="5" t="s">
        <v>29</v>
      </c>
      <c r="B1627" t="s">
        <v>257</v>
      </c>
      <c r="C1627" t="s">
        <v>265</v>
      </c>
      <c r="D1627" t="s">
        <v>269</v>
      </c>
      <c r="E1627" t="s">
        <v>271</v>
      </c>
      <c r="F1627" t="s">
        <v>285</v>
      </c>
      <c r="G1627" s="7">
        <v>4</v>
      </c>
      <c r="H1627" s="3">
        <v>8766.11</v>
      </c>
      <c r="I1627" s="3">
        <v>35064.44</v>
      </c>
    </row>
    <row r="1628" spans="1:9" x14ac:dyDescent="0.3">
      <c r="A1628" s="5" t="s">
        <v>29</v>
      </c>
      <c r="B1628" t="s">
        <v>258</v>
      </c>
      <c r="C1628" t="s">
        <v>265</v>
      </c>
      <c r="D1628" t="s">
        <v>267</v>
      </c>
      <c r="E1628" t="s">
        <v>271</v>
      </c>
      <c r="F1628" t="s">
        <v>285</v>
      </c>
      <c r="G1628" s="7">
        <v>5</v>
      </c>
      <c r="H1628" s="3">
        <v>10125.799999999999</v>
      </c>
      <c r="I1628" s="3">
        <v>50629</v>
      </c>
    </row>
    <row r="1629" spans="1:9" x14ac:dyDescent="0.3">
      <c r="A1629" s="5" t="s">
        <v>29</v>
      </c>
      <c r="B1629" t="s">
        <v>260</v>
      </c>
      <c r="C1629" t="s">
        <v>264</v>
      </c>
      <c r="D1629" t="s">
        <v>268</v>
      </c>
      <c r="E1629" t="s">
        <v>271</v>
      </c>
      <c r="F1629" t="s">
        <v>275</v>
      </c>
      <c r="G1629" s="7">
        <v>7</v>
      </c>
      <c r="H1629" s="3">
        <v>9201.49</v>
      </c>
      <c r="I1629" s="3">
        <v>64410.43</v>
      </c>
    </row>
    <row r="1630" spans="1:9" x14ac:dyDescent="0.3">
      <c r="A1630" s="5" t="s">
        <v>29</v>
      </c>
      <c r="B1630" t="s">
        <v>254</v>
      </c>
      <c r="C1630" t="s">
        <v>261</v>
      </c>
      <c r="D1630" t="s">
        <v>269</v>
      </c>
      <c r="E1630" t="s">
        <v>272</v>
      </c>
      <c r="F1630" t="s">
        <v>290</v>
      </c>
      <c r="G1630" s="7">
        <v>2</v>
      </c>
      <c r="H1630" s="3">
        <v>24684.01</v>
      </c>
      <c r="I1630" s="3">
        <v>49368.02</v>
      </c>
    </row>
    <row r="1631" spans="1:9" x14ac:dyDescent="0.3">
      <c r="A1631" s="5" t="s">
        <v>29</v>
      </c>
      <c r="B1631" t="s">
        <v>254</v>
      </c>
      <c r="C1631" t="s">
        <v>261</v>
      </c>
      <c r="D1631" t="s">
        <v>268</v>
      </c>
      <c r="E1631" t="s">
        <v>273</v>
      </c>
      <c r="F1631" t="s">
        <v>283</v>
      </c>
      <c r="G1631" s="7">
        <v>6</v>
      </c>
      <c r="H1631" s="3">
        <v>41700.080000000002</v>
      </c>
      <c r="I1631" s="3">
        <v>250200.48</v>
      </c>
    </row>
    <row r="1632" spans="1:9" x14ac:dyDescent="0.3">
      <c r="A1632" s="5" t="s">
        <v>30</v>
      </c>
      <c r="B1632" t="s">
        <v>254</v>
      </c>
      <c r="C1632" t="s">
        <v>261</v>
      </c>
      <c r="D1632" t="s">
        <v>268</v>
      </c>
      <c r="E1632" t="s">
        <v>272</v>
      </c>
      <c r="F1632" t="s">
        <v>286</v>
      </c>
      <c r="G1632" s="7">
        <v>1</v>
      </c>
      <c r="H1632" s="3">
        <v>29114.9</v>
      </c>
      <c r="I1632" s="3">
        <v>29114.9</v>
      </c>
    </row>
    <row r="1633" spans="1:9" x14ac:dyDescent="0.3">
      <c r="A1633" s="5" t="s">
        <v>30</v>
      </c>
      <c r="B1633" t="s">
        <v>255</v>
      </c>
      <c r="C1633" t="s">
        <v>264</v>
      </c>
      <c r="D1633" t="s">
        <v>270</v>
      </c>
      <c r="E1633" t="s">
        <v>272</v>
      </c>
      <c r="F1633" t="s">
        <v>277</v>
      </c>
      <c r="G1633" s="7">
        <v>7</v>
      </c>
      <c r="H1633" s="3">
        <v>27848.66</v>
      </c>
      <c r="I1633" s="3">
        <v>194940.62</v>
      </c>
    </row>
    <row r="1634" spans="1:9" x14ac:dyDescent="0.3">
      <c r="A1634" s="5" t="s">
        <v>30</v>
      </c>
      <c r="B1634" t="s">
        <v>260</v>
      </c>
      <c r="C1634" t="s">
        <v>265</v>
      </c>
      <c r="D1634" t="s">
        <v>269</v>
      </c>
      <c r="E1634" t="s">
        <v>274</v>
      </c>
      <c r="F1634" t="s">
        <v>289</v>
      </c>
      <c r="G1634" s="7">
        <v>9</v>
      </c>
      <c r="H1634" s="3">
        <v>31791.71</v>
      </c>
      <c r="I1634" s="3">
        <v>286125.39</v>
      </c>
    </row>
    <row r="1635" spans="1:9" x14ac:dyDescent="0.3">
      <c r="A1635" s="5" t="s">
        <v>30</v>
      </c>
      <c r="B1635" t="s">
        <v>255</v>
      </c>
      <c r="C1635" t="s">
        <v>264</v>
      </c>
      <c r="D1635" t="s">
        <v>267</v>
      </c>
      <c r="E1635" t="s">
        <v>274</v>
      </c>
      <c r="F1635" t="s">
        <v>287</v>
      </c>
      <c r="G1635" s="7">
        <v>5</v>
      </c>
      <c r="H1635" s="3">
        <v>33974.620000000003</v>
      </c>
      <c r="I1635" s="3">
        <v>169873.1</v>
      </c>
    </row>
    <row r="1636" spans="1:9" x14ac:dyDescent="0.3">
      <c r="A1636" s="5" t="s">
        <v>30</v>
      </c>
      <c r="B1636" t="s">
        <v>253</v>
      </c>
      <c r="C1636" t="s">
        <v>264</v>
      </c>
      <c r="D1636" t="s">
        <v>270</v>
      </c>
      <c r="E1636" t="s">
        <v>274</v>
      </c>
      <c r="F1636" t="s">
        <v>289</v>
      </c>
      <c r="G1636" s="7">
        <v>5</v>
      </c>
      <c r="H1636" s="3">
        <v>34680.269999999997</v>
      </c>
      <c r="I1636" s="3">
        <v>173401.35</v>
      </c>
    </row>
    <row r="1637" spans="1:9" x14ac:dyDescent="0.3">
      <c r="A1637" s="5" t="s">
        <v>30</v>
      </c>
      <c r="B1637" t="s">
        <v>255</v>
      </c>
      <c r="C1637" t="s">
        <v>261</v>
      </c>
      <c r="D1637" t="s">
        <v>268</v>
      </c>
      <c r="E1637" t="s">
        <v>273</v>
      </c>
      <c r="F1637" t="s">
        <v>278</v>
      </c>
      <c r="G1637" s="7">
        <v>4</v>
      </c>
      <c r="H1637" s="3">
        <v>52593.51</v>
      </c>
      <c r="I1637" s="3">
        <v>210374.04</v>
      </c>
    </row>
    <row r="1638" spans="1:9" x14ac:dyDescent="0.3">
      <c r="A1638" s="5" t="s">
        <v>31</v>
      </c>
      <c r="B1638" t="s">
        <v>260</v>
      </c>
      <c r="C1638" t="s">
        <v>262</v>
      </c>
      <c r="D1638" t="s">
        <v>268</v>
      </c>
      <c r="E1638" t="s">
        <v>273</v>
      </c>
      <c r="F1638" t="s">
        <v>283</v>
      </c>
      <c r="G1638" s="7">
        <v>3</v>
      </c>
      <c r="H1638" s="3">
        <v>44387.4</v>
      </c>
      <c r="I1638" s="3">
        <v>133162.20000000001</v>
      </c>
    </row>
    <row r="1639" spans="1:9" x14ac:dyDescent="0.3">
      <c r="A1639" s="5" t="s">
        <v>31</v>
      </c>
      <c r="B1639" t="s">
        <v>260</v>
      </c>
      <c r="C1639" t="s">
        <v>265</v>
      </c>
      <c r="D1639" t="s">
        <v>268</v>
      </c>
      <c r="E1639" t="s">
        <v>274</v>
      </c>
      <c r="F1639" t="s">
        <v>289</v>
      </c>
      <c r="G1639" s="7">
        <v>9</v>
      </c>
      <c r="H1639" s="3">
        <v>37509.97</v>
      </c>
      <c r="I1639" s="3">
        <v>337589.73</v>
      </c>
    </row>
    <row r="1640" spans="1:9" x14ac:dyDescent="0.3">
      <c r="A1640" s="5" t="s">
        <v>31</v>
      </c>
      <c r="B1640" t="s">
        <v>253</v>
      </c>
      <c r="C1640" t="s">
        <v>261</v>
      </c>
      <c r="D1640" t="s">
        <v>269</v>
      </c>
      <c r="E1640" t="s">
        <v>274</v>
      </c>
      <c r="F1640" t="s">
        <v>280</v>
      </c>
      <c r="G1640" s="7">
        <v>5</v>
      </c>
      <c r="H1640" s="3">
        <v>31534.22</v>
      </c>
      <c r="I1640" s="3">
        <v>157671.1</v>
      </c>
    </row>
    <row r="1641" spans="1:9" x14ac:dyDescent="0.3">
      <c r="A1641" s="5" t="s">
        <v>31</v>
      </c>
      <c r="B1641" t="s">
        <v>260</v>
      </c>
      <c r="C1641" t="s">
        <v>262</v>
      </c>
      <c r="D1641" t="s">
        <v>269</v>
      </c>
      <c r="E1641" t="s">
        <v>273</v>
      </c>
      <c r="F1641" t="s">
        <v>279</v>
      </c>
      <c r="G1641" s="7">
        <v>8</v>
      </c>
      <c r="H1641" s="3">
        <v>39247.79</v>
      </c>
      <c r="I1641" s="3">
        <v>313982.32</v>
      </c>
    </row>
    <row r="1642" spans="1:9" x14ac:dyDescent="0.3">
      <c r="A1642" s="5" t="s">
        <v>31</v>
      </c>
      <c r="B1642" t="s">
        <v>257</v>
      </c>
      <c r="C1642" t="s">
        <v>262</v>
      </c>
      <c r="D1642" t="s">
        <v>270</v>
      </c>
      <c r="E1642" t="s">
        <v>271</v>
      </c>
      <c r="F1642" t="s">
        <v>275</v>
      </c>
      <c r="G1642" s="7">
        <v>9</v>
      </c>
      <c r="H1642" s="3">
        <v>9109.24</v>
      </c>
      <c r="I1642" s="3">
        <v>81983.16</v>
      </c>
    </row>
    <row r="1643" spans="1:9" x14ac:dyDescent="0.3">
      <c r="A1643" s="5" t="s">
        <v>31</v>
      </c>
      <c r="B1643" t="s">
        <v>260</v>
      </c>
      <c r="C1643" t="s">
        <v>263</v>
      </c>
      <c r="D1643" t="s">
        <v>267</v>
      </c>
      <c r="E1643" t="s">
        <v>273</v>
      </c>
      <c r="F1643" t="s">
        <v>278</v>
      </c>
      <c r="G1643" s="7">
        <v>5</v>
      </c>
      <c r="H1643" s="3">
        <v>48832.24</v>
      </c>
      <c r="I1643" s="3">
        <v>244161.2</v>
      </c>
    </row>
    <row r="1644" spans="1:9" x14ac:dyDescent="0.3">
      <c r="A1644" s="5" t="s">
        <v>32</v>
      </c>
      <c r="B1644" t="s">
        <v>254</v>
      </c>
      <c r="C1644" t="s">
        <v>265</v>
      </c>
      <c r="D1644" t="s">
        <v>270</v>
      </c>
      <c r="E1644" t="s">
        <v>273</v>
      </c>
      <c r="F1644" t="s">
        <v>279</v>
      </c>
      <c r="G1644" s="7">
        <v>9</v>
      </c>
      <c r="H1644" s="3">
        <v>55071.72</v>
      </c>
      <c r="I1644" s="3">
        <v>495645.48</v>
      </c>
    </row>
    <row r="1645" spans="1:9" x14ac:dyDescent="0.3">
      <c r="A1645" s="5" t="s">
        <v>32</v>
      </c>
      <c r="B1645" t="s">
        <v>257</v>
      </c>
      <c r="C1645" t="s">
        <v>262</v>
      </c>
      <c r="D1645" t="s">
        <v>266</v>
      </c>
      <c r="E1645" t="s">
        <v>273</v>
      </c>
      <c r="F1645" t="s">
        <v>288</v>
      </c>
      <c r="G1645" s="7">
        <v>2</v>
      </c>
      <c r="H1645" s="3">
        <v>51319.1</v>
      </c>
      <c r="I1645" s="3">
        <v>102638.2</v>
      </c>
    </row>
    <row r="1646" spans="1:9" x14ac:dyDescent="0.3">
      <c r="A1646" s="5" t="s">
        <v>32</v>
      </c>
      <c r="B1646" t="s">
        <v>257</v>
      </c>
      <c r="C1646" t="s">
        <v>261</v>
      </c>
      <c r="D1646" t="s">
        <v>268</v>
      </c>
      <c r="E1646" t="s">
        <v>274</v>
      </c>
      <c r="F1646" t="s">
        <v>287</v>
      </c>
      <c r="G1646" s="7">
        <v>9</v>
      </c>
      <c r="H1646" s="3">
        <v>38947.49</v>
      </c>
      <c r="I1646" s="3">
        <v>350527.41</v>
      </c>
    </row>
    <row r="1647" spans="1:9" x14ac:dyDescent="0.3">
      <c r="A1647" s="5" t="s">
        <v>32</v>
      </c>
      <c r="B1647" t="s">
        <v>253</v>
      </c>
      <c r="C1647" t="s">
        <v>263</v>
      </c>
      <c r="D1647" t="s">
        <v>268</v>
      </c>
      <c r="E1647" t="s">
        <v>271</v>
      </c>
      <c r="F1647" t="s">
        <v>285</v>
      </c>
      <c r="G1647" s="7">
        <v>4</v>
      </c>
      <c r="H1647" s="3">
        <v>10313.379999999999</v>
      </c>
      <c r="I1647" s="3">
        <v>41253.519999999997</v>
      </c>
    </row>
    <row r="1648" spans="1:9" x14ac:dyDescent="0.3">
      <c r="A1648" s="5" t="s">
        <v>32</v>
      </c>
      <c r="B1648" t="s">
        <v>256</v>
      </c>
      <c r="C1648" t="s">
        <v>265</v>
      </c>
      <c r="D1648" t="s">
        <v>268</v>
      </c>
      <c r="E1648" t="s">
        <v>273</v>
      </c>
      <c r="F1648" t="s">
        <v>283</v>
      </c>
      <c r="G1648" s="7">
        <v>6</v>
      </c>
      <c r="H1648" s="3">
        <v>49132.33</v>
      </c>
      <c r="I1648" s="3">
        <v>294793.98</v>
      </c>
    </row>
    <row r="1649" spans="1:9" x14ac:dyDescent="0.3">
      <c r="A1649" s="5" t="s">
        <v>32</v>
      </c>
      <c r="B1649" t="s">
        <v>256</v>
      </c>
      <c r="C1649" t="s">
        <v>264</v>
      </c>
      <c r="D1649" t="s">
        <v>270</v>
      </c>
      <c r="E1649" t="s">
        <v>274</v>
      </c>
      <c r="F1649" t="s">
        <v>280</v>
      </c>
      <c r="G1649" s="7">
        <v>6</v>
      </c>
      <c r="H1649" s="3">
        <v>33955.35</v>
      </c>
      <c r="I1649" s="3">
        <v>203732.1</v>
      </c>
    </row>
    <row r="1650" spans="1:9" x14ac:dyDescent="0.3">
      <c r="A1650" s="5" t="s">
        <v>32</v>
      </c>
      <c r="B1650" t="s">
        <v>260</v>
      </c>
      <c r="C1650" t="s">
        <v>261</v>
      </c>
      <c r="D1650" t="s">
        <v>270</v>
      </c>
      <c r="E1650" t="s">
        <v>272</v>
      </c>
      <c r="F1650" t="s">
        <v>276</v>
      </c>
      <c r="G1650" s="7">
        <v>6</v>
      </c>
      <c r="H1650" s="3">
        <v>30043.34</v>
      </c>
      <c r="I1650" s="3">
        <v>180260.04</v>
      </c>
    </row>
    <row r="1651" spans="1:9" x14ac:dyDescent="0.3">
      <c r="A1651" s="5" t="s">
        <v>33</v>
      </c>
      <c r="B1651" t="s">
        <v>257</v>
      </c>
      <c r="C1651" t="s">
        <v>262</v>
      </c>
      <c r="D1651" t="s">
        <v>268</v>
      </c>
      <c r="E1651" t="s">
        <v>272</v>
      </c>
      <c r="F1651" t="s">
        <v>286</v>
      </c>
      <c r="G1651" s="7">
        <v>2</v>
      </c>
      <c r="H1651" s="3">
        <v>34757.31</v>
      </c>
      <c r="I1651" s="3">
        <v>69514.62</v>
      </c>
    </row>
    <row r="1652" spans="1:9" x14ac:dyDescent="0.3">
      <c r="A1652" s="5" t="s">
        <v>33</v>
      </c>
      <c r="B1652" t="s">
        <v>256</v>
      </c>
      <c r="C1652" t="s">
        <v>262</v>
      </c>
      <c r="D1652" t="s">
        <v>270</v>
      </c>
      <c r="E1652" t="s">
        <v>273</v>
      </c>
      <c r="F1652" t="s">
        <v>278</v>
      </c>
      <c r="G1652" s="7">
        <v>7</v>
      </c>
      <c r="H1652" s="3">
        <v>52167.02</v>
      </c>
      <c r="I1652" s="3">
        <v>365169.14</v>
      </c>
    </row>
    <row r="1653" spans="1:9" x14ac:dyDescent="0.3">
      <c r="A1653" s="5" t="s">
        <v>33</v>
      </c>
      <c r="B1653" t="s">
        <v>256</v>
      </c>
      <c r="C1653" t="s">
        <v>261</v>
      </c>
      <c r="D1653" t="s">
        <v>269</v>
      </c>
      <c r="E1653" t="s">
        <v>272</v>
      </c>
      <c r="F1653" t="s">
        <v>286</v>
      </c>
      <c r="G1653" s="7">
        <v>6</v>
      </c>
      <c r="H1653" s="3">
        <v>24990.18</v>
      </c>
      <c r="I1653" s="3">
        <v>149941.07999999999</v>
      </c>
    </row>
    <row r="1654" spans="1:9" x14ac:dyDescent="0.3">
      <c r="A1654" s="5" t="s">
        <v>33</v>
      </c>
      <c r="B1654" t="s">
        <v>260</v>
      </c>
      <c r="C1654" t="s">
        <v>262</v>
      </c>
      <c r="D1654" t="s">
        <v>269</v>
      </c>
      <c r="E1654" t="s">
        <v>271</v>
      </c>
      <c r="F1654" t="s">
        <v>285</v>
      </c>
      <c r="G1654" s="7">
        <v>1</v>
      </c>
      <c r="H1654" s="3">
        <v>9871.66</v>
      </c>
      <c r="I1654" s="3">
        <v>9871.66</v>
      </c>
    </row>
    <row r="1655" spans="1:9" x14ac:dyDescent="0.3">
      <c r="A1655" s="5" t="s">
        <v>33</v>
      </c>
      <c r="B1655" t="s">
        <v>256</v>
      </c>
      <c r="C1655" t="s">
        <v>263</v>
      </c>
      <c r="D1655" t="s">
        <v>270</v>
      </c>
      <c r="E1655" t="s">
        <v>272</v>
      </c>
      <c r="F1655" t="s">
        <v>276</v>
      </c>
      <c r="G1655" s="7">
        <v>2</v>
      </c>
      <c r="H1655" s="3">
        <v>25710.03</v>
      </c>
      <c r="I1655" s="3">
        <v>51420.06</v>
      </c>
    </row>
    <row r="1656" spans="1:9" x14ac:dyDescent="0.3">
      <c r="A1656" s="5" t="s">
        <v>33</v>
      </c>
      <c r="B1656" t="s">
        <v>255</v>
      </c>
      <c r="C1656" t="s">
        <v>265</v>
      </c>
      <c r="D1656" t="s">
        <v>268</v>
      </c>
      <c r="E1656" t="s">
        <v>272</v>
      </c>
      <c r="F1656" t="s">
        <v>290</v>
      </c>
      <c r="G1656" s="7">
        <v>7</v>
      </c>
      <c r="H1656" s="3">
        <v>28810.33</v>
      </c>
      <c r="I1656" s="3">
        <v>201672.31</v>
      </c>
    </row>
    <row r="1657" spans="1:9" x14ac:dyDescent="0.3">
      <c r="A1657" s="5" t="s">
        <v>34</v>
      </c>
      <c r="B1657" t="s">
        <v>258</v>
      </c>
      <c r="C1657" t="s">
        <v>263</v>
      </c>
      <c r="D1657" t="s">
        <v>270</v>
      </c>
      <c r="E1657" t="s">
        <v>271</v>
      </c>
      <c r="F1657" t="s">
        <v>285</v>
      </c>
      <c r="G1657" s="7">
        <v>1</v>
      </c>
      <c r="H1657" s="3">
        <v>7940.56</v>
      </c>
      <c r="I1657" s="3">
        <v>7940.56</v>
      </c>
    </row>
    <row r="1658" spans="1:9" x14ac:dyDescent="0.3">
      <c r="A1658" s="5" t="s">
        <v>34</v>
      </c>
      <c r="B1658" t="s">
        <v>253</v>
      </c>
      <c r="C1658" t="s">
        <v>262</v>
      </c>
      <c r="D1658" t="s">
        <v>270</v>
      </c>
      <c r="E1658" t="s">
        <v>273</v>
      </c>
      <c r="F1658" t="s">
        <v>279</v>
      </c>
      <c r="G1658" s="7">
        <v>1</v>
      </c>
      <c r="H1658" s="3">
        <v>50662.5</v>
      </c>
      <c r="I1658" s="3">
        <v>50662.5</v>
      </c>
    </row>
    <row r="1659" spans="1:9" x14ac:dyDescent="0.3">
      <c r="A1659" s="5" t="s">
        <v>34</v>
      </c>
      <c r="B1659" t="s">
        <v>258</v>
      </c>
      <c r="C1659" t="s">
        <v>264</v>
      </c>
      <c r="D1659" t="s">
        <v>270</v>
      </c>
      <c r="E1659" t="s">
        <v>273</v>
      </c>
      <c r="F1659" t="s">
        <v>288</v>
      </c>
      <c r="G1659" s="7">
        <v>1</v>
      </c>
      <c r="H1659" s="3">
        <v>54041.58</v>
      </c>
      <c r="I1659" s="3">
        <v>54041.58</v>
      </c>
    </row>
    <row r="1660" spans="1:9" x14ac:dyDescent="0.3">
      <c r="A1660" s="5" t="s">
        <v>34</v>
      </c>
      <c r="B1660" t="s">
        <v>260</v>
      </c>
      <c r="C1660" t="s">
        <v>265</v>
      </c>
      <c r="D1660" t="s">
        <v>266</v>
      </c>
      <c r="E1660" t="s">
        <v>271</v>
      </c>
      <c r="F1660" t="s">
        <v>275</v>
      </c>
      <c r="G1660" s="7">
        <v>8</v>
      </c>
      <c r="H1660" s="3">
        <v>8212.23</v>
      </c>
      <c r="I1660" s="3">
        <v>65697.84</v>
      </c>
    </row>
    <row r="1661" spans="1:9" x14ac:dyDescent="0.3">
      <c r="A1661" s="5" t="s">
        <v>34</v>
      </c>
      <c r="B1661" t="s">
        <v>254</v>
      </c>
      <c r="C1661" t="s">
        <v>265</v>
      </c>
      <c r="D1661" t="s">
        <v>269</v>
      </c>
      <c r="E1661" t="s">
        <v>271</v>
      </c>
      <c r="F1661" t="s">
        <v>285</v>
      </c>
      <c r="G1661" s="7">
        <v>4</v>
      </c>
      <c r="H1661" s="3">
        <v>7503.84</v>
      </c>
      <c r="I1661" s="3">
        <v>30015.360000000001</v>
      </c>
    </row>
    <row r="1662" spans="1:9" x14ac:dyDescent="0.3">
      <c r="A1662" s="5" t="s">
        <v>34</v>
      </c>
      <c r="B1662" t="s">
        <v>253</v>
      </c>
      <c r="C1662" t="s">
        <v>261</v>
      </c>
      <c r="D1662" t="s">
        <v>267</v>
      </c>
      <c r="E1662" t="s">
        <v>271</v>
      </c>
      <c r="F1662" t="s">
        <v>275</v>
      </c>
      <c r="G1662" s="7">
        <v>4</v>
      </c>
      <c r="H1662" s="3">
        <v>8239.8799999999992</v>
      </c>
      <c r="I1662" s="3">
        <v>32959.519999999997</v>
      </c>
    </row>
    <row r="1663" spans="1:9" x14ac:dyDescent="0.3">
      <c r="A1663" s="5" t="s">
        <v>35</v>
      </c>
      <c r="B1663" t="s">
        <v>260</v>
      </c>
      <c r="C1663" t="s">
        <v>261</v>
      </c>
      <c r="D1663" t="s">
        <v>267</v>
      </c>
      <c r="E1663" t="s">
        <v>272</v>
      </c>
      <c r="F1663" t="s">
        <v>290</v>
      </c>
      <c r="G1663" s="7">
        <v>2</v>
      </c>
      <c r="H1663" s="3">
        <v>31330.45</v>
      </c>
      <c r="I1663" s="3">
        <v>62660.9</v>
      </c>
    </row>
    <row r="1664" spans="1:9" x14ac:dyDescent="0.3">
      <c r="A1664" s="5" t="s">
        <v>35</v>
      </c>
      <c r="B1664" t="s">
        <v>257</v>
      </c>
      <c r="C1664" t="s">
        <v>264</v>
      </c>
      <c r="D1664" t="s">
        <v>266</v>
      </c>
      <c r="E1664" t="s">
        <v>271</v>
      </c>
      <c r="F1664" t="s">
        <v>275</v>
      </c>
      <c r="G1664" s="7">
        <v>1</v>
      </c>
      <c r="H1664" s="3">
        <v>8342.7800000000007</v>
      </c>
      <c r="I1664" s="3">
        <v>8342.7800000000007</v>
      </c>
    </row>
    <row r="1665" spans="1:9" x14ac:dyDescent="0.3">
      <c r="A1665" s="5" t="s">
        <v>35</v>
      </c>
      <c r="B1665" t="s">
        <v>254</v>
      </c>
      <c r="C1665" t="s">
        <v>265</v>
      </c>
      <c r="D1665" t="s">
        <v>270</v>
      </c>
      <c r="E1665" t="s">
        <v>274</v>
      </c>
      <c r="F1665" t="s">
        <v>280</v>
      </c>
      <c r="G1665" s="7">
        <v>9</v>
      </c>
      <c r="H1665" s="3">
        <v>30759.84</v>
      </c>
      <c r="I1665" s="3">
        <v>276838.56</v>
      </c>
    </row>
    <row r="1666" spans="1:9" x14ac:dyDescent="0.3">
      <c r="A1666" s="5" t="s">
        <v>35</v>
      </c>
      <c r="B1666" t="s">
        <v>258</v>
      </c>
      <c r="C1666" t="s">
        <v>264</v>
      </c>
      <c r="D1666" t="s">
        <v>266</v>
      </c>
      <c r="E1666" t="s">
        <v>272</v>
      </c>
      <c r="F1666" t="s">
        <v>277</v>
      </c>
      <c r="G1666" s="7">
        <v>7</v>
      </c>
      <c r="H1666" s="3">
        <v>25865.67</v>
      </c>
      <c r="I1666" s="3">
        <v>181059.69</v>
      </c>
    </row>
    <row r="1667" spans="1:9" x14ac:dyDescent="0.3">
      <c r="A1667" s="5" t="s">
        <v>35</v>
      </c>
      <c r="B1667" t="s">
        <v>260</v>
      </c>
      <c r="C1667" t="s">
        <v>261</v>
      </c>
      <c r="D1667" t="s">
        <v>266</v>
      </c>
      <c r="E1667" t="s">
        <v>273</v>
      </c>
      <c r="F1667" t="s">
        <v>279</v>
      </c>
      <c r="G1667" s="7">
        <v>4</v>
      </c>
      <c r="H1667" s="3">
        <v>47205.3</v>
      </c>
      <c r="I1667" s="3">
        <v>188821.2</v>
      </c>
    </row>
    <row r="1668" spans="1:9" x14ac:dyDescent="0.3">
      <c r="A1668" s="5" t="s">
        <v>35</v>
      </c>
      <c r="B1668" t="s">
        <v>257</v>
      </c>
      <c r="C1668" t="s">
        <v>261</v>
      </c>
      <c r="D1668" t="s">
        <v>268</v>
      </c>
      <c r="E1668" t="s">
        <v>273</v>
      </c>
      <c r="F1668" t="s">
        <v>288</v>
      </c>
      <c r="G1668" s="7">
        <v>6</v>
      </c>
      <c r="H1668" s="3">
        <v>43217.08</v>
      </c>
      <c r="I1668" s="3">
        <v>259302.48</v>
      </c>
    </row>
    <row r="1669" spans="1:9" x14ac:dyDescent="0.3">
      <c r="A1669" s="5" t="s">
        <v>36</v>
      </c>
      <c r="B1669" t="s">
        <v>253</v>
      </c>
      <c r="C1669" t="s">
        <v>265</v>
      </c>
      <c r="D1669" t="s">
        <v>269</v>
      </c>
      <c r="E1669" t="s">
        <v>273</v>
      </c>
      <c r="F1669" t="s">
        <v>278</v>
      </c>
      <c r="G1669" s="7">
        <v>2</v>
      </c>
      <c r="H1669" s="3">
        <v>51408.19</v>
      </c>
      <c r="I1669" s="3">
        <v>102816.38</v>
      </c>
    </row>
    <row r="1670" spans="1:9" x14ac:dyDescent="0.3">
      <c r="A1670" s="5" t="s">
        <v>36</v>
      </c>
      <c r="B1670" t="s">
        <v>253</v>
      </c>
      <c r="C1670" t="s">
        <v>263</v>
      </c>
      <c r="D1670" t="s">
        <v>267</v>
      </c>
      <c r="E1670" t="s">
        <v>272</v>
      </c>
      <c r="F1670" t="s">
        <v>277</v>
      </c>
      <c r="G1670" s="7">
        <v>7</v>
      </c>
      <c r="H1670" s="3">
        <v>24658.17</v>
      </c>
      <c r="I1670" s="3">
        <v>172607.19</v>
      </c>
    </row>
    <row r="1671" spans="1:9" x14ac:dyDescent="0.3">
      <c r="A1671" s="5" t="s">
        <v>36</v>
      </c>
      <c r="B1671" t="s">
        <v>259</v>
      </c>
      <c r="C1671" t="s">
        <v>262</v>
      </c>
      <c r="D1671" t="s">
        <v>270</v>
      </c>
      <c r="E1671" t="s">
        <v>274</v>
      </c>
      <c r="F1671" t="s">
        <v>289</v>
      </c>
      <c r="G1671" s="7">
        <v>2</v>
      </c>
      <c r="H1671" s="3">
        <v>35699.620000000003</v>
      </c>
      <c r="I1671" s="3">
        <v>71399.240000000005</v>
      </c>
    </row>
    <row r="1672" spans="1:9" x14ac:dyDescent="0.3">
      <c r="A1672" s="5" t="s">
        <v>36</v>
      </c>
      <c r="B1672" t="s">
        <v>257</v>
      </c>
      <c r="C1672" t="s">
        <v>261</v>
      </c>
      <c r="D1672" t="s">
        <v>267</v>
      </c>
      <c r="E1672" t="s">
        <v>271</v>
      </c>
      <c r="F1672" t="s">
        <v>285</v>
      </c>
      <c r="G1672" s="7">
        <v>8</v>
      </c>
      <c r="H1672" s="3">
        <v>8032.7</v>
      </c>
      <c r="I1672" s="3">
        <v>64261.599999999999</v>
      </c>
    </row>
    <row r="1673" spans="1:9" x14ac:dyDescent="0.3">
      <c r="A1673" s="5" t="s">
        <v>36</v>
      </c>
      <c r="B1673" t="s">
        <v>255</v>
      </c>
      <c r="C1673" t="s">
        <v>261</v>
      </c>
      <c r="D1673" t="s">
        <v>267</v>
      </c>
      <c r="E1673" t="s">
        <v>271</v>
      </c>
      <c r="F1673" t="s">
        <v>281</v>
      </c>
      <c r="G1673" s="7">
        <v>8</v>
      </c>
      <c r="H1673" s="3">
        <v>8888.5499999999993</v>
      </c>
      <c r="I1673" s="3">
        <v>71108.399999999994</v>
      </c>
    </row>
    <row r="1674" spans="1:9" x14ac:dyDescent="0.3">
      <c r="A1674" s="5" t="s">
        <v>36</v>
      </c>
      <c r="B1674" t="s">
        <v>256</v>
      </c>
      <c r="C1674" t="s">
        <v>263</v>
      </c>
      <c r="D1674" t="s">
        <v>269</v>
      </c>
      <c r="E1674" t="s">
        <v>273</v>
      </c>
      <c r="F1674" t="s">
        <v>283</v>
      </c>
      <c r="G1674" s="7">
        <v>1</v>
      </c>
      <c r="H1674" s="3">
        <v>43399.62</v>
      </c>
      <c r="I1674" s="3">
        <v>43399.62</v>
      </c>
    </row>
    <row r="1675" spans="1:9" x14ac:dyDescent="0.3">
      <c r="A1675" s="5" t="s">
        <v>37</v>
      </c>
      <c r="B1675" t="s">
        <v>254</v>
      </c>
      <c r="C1675" t="s">
        <v>263</v>
      </c>
      <c r="D1675" t="s">
        <v>267</v>
      </c>
      <c r="E1675" t="s">
        <v>273</v>
      </c>
      <c r="F1675" t="s">
        <v>279</v>
      </c>
      <c r="G1675" s="7">
        <v>8</v>
      </c>
      <c r="H1675" s="3">
        <v>51259.839999999997</v>
      </c>
      <c r="I1675" s="3">
        <v>410078.71999999997</v>
      </c>
    </row>
    <row r="1676" spans="1:9" x14ac:dyDescent="0.3">
      <c r="A1676" s="5" t="s">
        <v>37</v>
      </c>
      <c r="B1676" t="s">
        <v>257</v>
      </c>
      <c r="C1676" t="s">
        <v>264</v>
      </c>
      <c r="D1676" t="s">
        <v>267</v>
      </c>
      <c r="E1676" t="s">
        <v>272</v>
      </c>
      <c r="F1676" t="s">
        <v>290</v>
      </c>
      <c r="G1676" s="7">
        <v>2</v>
      </c>
      <c r="H1676" s="3">
        <v>34387.440000000002</v>
      </c>
      <c r="I1676" s="3">
        <v>68774.880000000005</v>
      </c>
    </row>
    <row r="1677" spans="1:9" x14ac:dyDescent="0.3">
      <c r="A1677" s="5" t="s">
        <v>37</v>
      </c>
      <c r="B1677" t="s">
        <v>259</v>
      </c>
      <c r="C1677" t="s">
        <v>264</v>
      </c>
      <c r="D1677" t="s">
        <v>266</v>
      </c>
      <c r="E1677" t="s">
        <v>274</v>
      </c>
      <c r="F1677" t="s">
        <v>289</v>
      </c>
      <c r="G1677" s="7">
        <v>6</v>
      </c>
      <c r="H1677" s="3">
        <v>38938.58</v>
      </c>
      <c r="I1677" s="3">
        <v>233631.48</v>
      </c>
    </row>
    <row r="1678" spans="1:9" x14ac:dyDescent="0.3">
      <c r="A1678" s="5" t="s">
        <v>37</v>
      </c>
      <c r="B1678" t="s">
        <v>256</v>
      </c>
      <c r="C1678" t="s">
        <v>262</v>
      </c>
      <c r="D1678" t="s">
        <v>269</v>
      </c>
      <c r="E1678" t="s">
        <v>271</v>
      </c>
      <c r="F1678" t="s">
        <v>282</v>
      </c>
      <c r="G1678" s="7">
        <v>1</v>
      </c>
      <c r="H1678" s="3">
        <v>9208.65</v>
      </c>
      <c r="I1678" s="3">
        <v>9208.65</v>
      </c>
    </row>
    <row r="1679" spans="1:9" x14ac:dyDescent="0.3">
      <c r="A1679" s="5" t="s">
        <v>37</v>
      </c>
      <c r="B1679" t="s">
        <v>256</v>
      </c>
      <c r="C1679" t="s">
        <v>262</v>
      </c>
      <c r="D1679" t="s">
        <v>268</v>
      </c>
      <c r="E1679" t="s">
        <v>272</v>
      </c>
      <c r="F1679" t="s">
        <v>286</v>
      </c>
      <c r="G1679" s="7">
        <v>5</v>
      </c>
      <c r="H1679" s="3">
        <v>28981.24</v>
      </c>
      <c r="I1679" s="3">
        <v>144906.20000000001</v>
      </c>
    </row>
    <row r="1680" spans="1:9" x14ac:dyDescent="0.3">
      <c r="A1680" s="5" t="s">
        <v>37</v>
      </c>
      <c r="B1680" t="s">
        <v>260</v>
      </c>
      <c r="C1680" t="s">
        <v>265</v>
      </c>
      <c r="D1680" t="s">
        <v>270</v>
      </c>
      <c r="E1680" t="s">
        <v>271</v>
      </c>
      <c r="F1680" t="s">
        <v>285</v>
      </c>
      <c r="G1680" s="7">
        <v>7</v>
      </c>
      <c r="H1680" s="3">
        <v>10007.219999999999</v>
      </c>
      <c r="I1680" s="3">
        <v>70050.539999999994</v>
      </c>
    </row>
    <row r="1681" spans="1:9" x14ac:dyDescent="0.3">
      <c r="A1681" s="5" t="s">
        <v>38</v>
      </c>
      <c r="B1681" t="s">
        <v>256</v>
      </c>
      <c r="C1681" t="s">
        <v>264</v>
      </c>
      <c r="D1681" t="s">
        <v>267</v>
      </c>
      <c r="E1681" t="s">
        <v>273</v>
      </c>
      <c r="F1681" t="s">
        <v>288</v>
      </c>
      <c r="G1681" s="7">
        <v>1</v>
      </c>
      <c r="H1681" s="3">
        <v>50549.87</v>
      </c>
      <c r="I1681" s="3">
        <v>50549.87</v>
      </c>
    </row>
    <row r="1682" spans="1:9" x14ac:dyDescent="0.3">
      <c r="A1682" s="5" t="s">
        <v>38</v>
      </c>
      <c r="B1682" t="s">
        <v>255</v>
      </c>
      <c r="C1682" t="s">
        <v>261</v>
      </c>
      <c r="D1682" t="s">
        <v>270</v>
      </c>
      <c r="E1682" t="s">
        <v>271</v>
      </c>
      <c r="F1682" t="s">
        <v>282</v>
      </c>
      <c r="G1682" s="7">
        <v>2</v>
      </c>
      <c r="H1682" s="3">
        <v>7849.12</v>
      </c>
      <c r="I1682" s="3">
        <v>15698.24</v>
      </c>
    </row>
    <row r="1683" spans="1:9" x14ac:dyDescent="0.3">
      <c r="A1683" s="5" t="s">
        <v>38</v>
      </c>
      <c r="B1683" t="s">
        <v>253</v>
      </c>
      <c r="C1683" t="s">
        <v>264</v>
      </c>
      <c r="D1683" t="s">
        <v>268</v>
      </c>
      <c r="E1683" t="s">
        <v>274</v>
      </c>
      <c r="F1683" t="s">
        <v>289</v>
      </c>
      <c r="G1683" s="7">
        <v>7</v>
      </c>
      <c r="H1683" s="3">
        <v>37707.769999999997</v>
      </c>
      <c r="I1683" s="3">
        <v>263954.39</v>
      </c>
    </row>
    <row r="1684" spans="1:9" x14ac:dyDescent="0.3">
      <c r="A1684" s="5" t="s">
        <v>38</v>
      </c>
      <c r="B1684" t="s">
        <v>259</v>
      </c>
      <c r="C1684" t="s">
        <v>261</v>
      </c>
      <c r="D1684" t="s">
        <v>270</v>
      </c>
      <c r="E1684" t="s">
        <v>274</v>
      </c>
      <c r="F1684" t="s">
        <v>287</v>
      </c>
      <c r="G1684" s="7">
        <v>6</v>
      </c>
      <c r="H1684" s="3">
        <v>32689.72</v>
      </c>
      <c r="I1684" s="3">
        <v>196138.32</v>
      </c>
    </row>
    <row r="1685" spans="1:9" x14ac:dyDescent="0.3">
      <c r="A1685" s="5" t="s">
        <v>38</v>
      </c>
      <c r="B1685" t="s">
        <v>256</v>
      </c>
      <c r="C1685" t="s">
        <v>263</v>
      </c>
      <c r="D1685" t="s">
        <v>268</v>
      </c>
      <c r="E1685" t="s">
        <v>273</v>
      </c>
      <c r="F1685" t="s">
        <v>279</v>
      </c>
      <c r="G1685" s="7">
        <v>3</v>
      </c>
      <c r="H1685" s="3">
        <v>41651.74</v>
      </c>
      <c r="I1685" s="3">
        <v>124955.22</v>
      </c>
    </row>
    <row r="1686" spans="1:9" x14ac:dyDescent="0.3">
      <c r="A1686" s="5" t="s">
        <v>38</v>
      </c>
      <c r="B1686" t="s">
        <v>260</v>
      </c>
      <c r="C1686" t="s">
        <v>264</v>
      </c>
      <c r="D1686" t="s">
        <v>266</v>
      </c>
      <c r="E1686" t="s">
        <v>274</v>
      </c>
      <c r="F1686" t="s">
        <v>284</v>
      </c>
      <c r="G1686" s="7">
        <v>2</v>
      </c>
      <c r="H1686" s="3">
        <v>30807.01</v>
      </c>
      <c r="I1686" s="3">
        <v>61614.02</v>
      </c>
    </row>
    <row r="1687" spans="1:9" x14ac:dyDescent="0.3">
      <c r="A1687" s="5" t="s">
        <v>38</v>
      </c>
      <c r="B1687" t="s">
        <v>255</v>
      </c>
      <c r="C1687" t="s">
        <v>263</v>
      </c>
      <c r="D1687" t="s">
        <v>267</v>
      </c>
      <c r="E1687" t="s">
        <v>274</v>
      </c>
      <c r="F1687" t="s">
        <v>284</v>
      </c>
      <c r="G1687" s="7">
        <v>4</v>
      </c>
      <c r="H1687" s="3">
        <v>30624.35</v>
      </c>
      <c r="I1687" s="3">
        <v>122497.4</v>
      </c>
    </row>
    <row r="1688" spans="1:9" x14ac:dyDescent="0.3">
      <c r="A1688" s="5" t="s">
        <v>39</v>
      </c>
      <c r="B1688" t="s">
        <v>258</v>
      </c>
      <c r="C1688" t="s">
        <v>262</v>
      </c>
      <c r="D1688" t="s">
        <v>268</v>
      </c>
      <c r="E1688" t="s">
        <v>272</v>
      </c>
      <c r="F1688" t="s">
        <v>286</v>
      </c>
      <c r="G1688" s="7">
        <v>3</v>
      </c>
      <c r="H1688" s="3">
        <v>29615.119999999999</v>
      </c>
      <c r="I1688" s="3">
        <v>88845.36</v>
      </c>
    </row>
    <row r="1689" spans="1:9" x14ac:dyDescent="0.3">
      <c r="A1689" s="5" t="s">
        <v>39</v>
      </c>
      <c r="B1689" t="s">
        <v>253</v>
      </c>
      <c r="C1689" t="s">
        <v>262</v>
      </c>
      <c r="D1689" t="s">
        <v>270</v>
      </c>
      <c r="E1689" t="s">
        <v>271</v>
      </c>
      <c r="F1689" t="s">
        <v>275</v>
      </c>
      <c r="G1689" s="7">
        <v>7</v>
      </c>
      <c r="H1689" s="3">
        <v>8021.86</v>
      </c>
      <c r="I1689" s="3">
        <v>56153.02</v>
      </c>
    </row>
    <row r="1690" spans="1:9" x14ac:dyDescent="0.3">
      <c r="A1690" s="5" t="s">
        <v>39</v>
      </c>
      <c r="B1690" t="s">
        <v>253</v>
      </c>
      <c r="C1690" t="s">
        <v>265</v>
      </c>
      <c r="D1690" t="s">
        <v>267</v>
      </c>
      <c r="E1690" t="s">
        <v>273</v>
      </c>
      <c r="F1690" t="s">
        <v>283</v>
      </c>
      <c r="G1690" s="7">
        <v>8</v>
      </c>
      <c r="H1690" s="3">
        <v>40474.199999999997</v>
      </c>
      <c r="I1690" s="3">
        <v>323793.59999999998</v>
      </c>
    </row>
    <row r="1691" spans="1:9" x14ac:dyDescent="0.3">
      <c r="A1691" s="5" t="s">
        <v>39</v>
      </c>
      <c r="B1691" t="s">
        <v>259</v>
      </c>
      <c r="C1691" t="s">
        <v>264</v>
      </c>
      <c r="D1691" t="s">
        <v>266</v>
      </c>
      <c r="E1691" t="s">
        <v>273</v>
      </c>
      <c r="F1691" t="s">
        <v>283</v>
      </c>
      <c r="G1691" s="7">
        <v>2</v>
      </c>
      <c r="H1691" s="3">
        <v>40476.44</v>
      </c>
      <c r="I1691" s="3">
        <v>80952.88</v>
      </c>
    </row>
    <row r="1692" spans="1:9" x14ac:dyDescent="0.3">
      <c r="A1692" s="5" t="s">
        <v>39</v>
      </c>
      <c r="B1692" t="s">
        <v>253</v>
      </c>
      <c r="C1692" t="s">
        <v>263</v>
      </c>
      <c r="D1692" t="s">
        <v>267</v>
      </c>
      <c r="E1692" t="s">
        <v>273</v>
      </c>
      <c r="F1692" t="s">
        <v>288</v>
      </c>
      <c r="G1692" s="7">
        <v>7</v>
      </c>
      <c r="H1692" s="3">
        <v>48748.97</v>
      </c>
      <c r="I1692" s="3">
        <v>341242.79</v>
      </c>
    </row>
    <row r="1693" spans="1:9" x14ac:dyDescent="0.3">
      <c r="A1693" s="5" t="s">
        <v>39</v>
      </c>
      <c r="B1693" t="s">
        <v>256</v>
      </c>
      <c r="C1693" t="s">
        <v>261</v>
      </c>
      <c r="D1693" t="s">
        <v>268</v>
      </c>
      <c r="E1693" t="s">
        <v>273</v>
      </c>
      <c r="F1693" t="s">
        <v>288</v>
      </c>
      <c r="G1693" s="7">
        <v>8</v>
      </c>
      <c r="H1693" s="3">
        <v>51475.67</v>
      </c>
      <c r="I1693" s="3">
        <v>411805.36</v>
      </c>
    </row>
    <row r="1694" spans="1:9" x14ac:dyDescent="0.3">
      <c r="A1694" s="5" t="s">
        <v>40</v>
      </c>
      <c r="B1694" t="s">
        <v>260</v>
      </c>
      <c r="C1694" t="s">
        <v>262</v>
      </c>
      <c r="D1694" t="s">
        <v>266</v>
      </c>
      <c r="E1694" t="s">
        <v>273</v>
      </c>
      <c r="F1694" t="s">
        <v>279</v>
      </c>
      <c r="G1694" s="7">
        <v>6</v>
      </c>
      <c r="H1694" s="3">
        <v>44037.59</v>
      </c>
      <c r="I1694" s="3">
        <v>264225.53999999998</v>
      </c>
    </row>
    <row r="1695" spans="1:9" x14ac:dyDescent="0.3">
      <c r="A1695" s="5" t="s">
        <v>40</v>
      </c>
      <c r="B1695" t="s">
        <v>253</v>
      </c>
      <c r="C1695" t="s">
        <v>262</v>
      </c>
      <c r="D1695" t="s">
        <v>270</v>
      </c>
      <c r="E1695" t="s">
        <v>274</v>
      </c>
      <c r="F1695" t="s">
        <v>287</v>
      </c>
      <c r="G1695" s="7">
        <v>6</v>
      </c>
      <c r="H1695" s="3">
        <v>27643.53</v>
      </c>
      <c r="I1695" s="3">
        <v>165861.18</v>
      </c>
    </row>
    <row r="1696" spans="1:9" x14ac:dyDescent="0.3">
      <c r="A1696" s="5" t="s">
        <v>40</v>
      </c>
      <c r="B1696" t="s">
        <v>253</v>
      </c>
      <c r="C1696" t="s">
        <v>261</v>
      </c>
      <c r="D1696" t="s">
        <v>266</v>
      </c>
      <c r="E1696" t="s">
        <v>272</v>
      </c>
      <c r="F1696" t="s">
        <v>276</v>
      </c>
      <c r="G1696" s="7">
        <v>1</v>
      </c>
      <c r="H1696" s="3">
        <v>25224.92</v>
      </c>
      <c r="I1696" s="3">
        <v>25224.92</v>
      </c>
    </row>
    <row r="1697" spans="1:9" x14ac:dyDescent="0.3">
      <c r="A1697" s="5" t="s">
        <v>40</v>
      </c>
      <c r="B1697" t="s">
        <v>258</v>
      </c>
      <c r="C1697" t="s">
        <v>263</v>
      </c>
      <c r="D1697" t="s">
        <v>266</v>
      </c>
      <c r="E1697" t="s">
        <v>273</v>
      </c>
      <c r="F1697" t="s">
        <v>278</v>
      </c>
      <c r="G1697" s="7">
        <v>4</v>
      </c>
      <c r="H1697" s="3">
        <v>54714.5</v>
      </c>
      <c r="I1697" s="3">
        <v>218858</v>
      </c>
    </row>
    <row r="1698" spans="1:9" x14ac:dyDescent="0.3">
      <c r="A1698" s="5" t="s">
        <v>40</v>
      </c>
      <c r="B1698" t="s">
        <v>258</v>
      </c>
      <c r="C1698" t="s">
        <v>263</v>
      </c>
      <c r="D1698" t="s">
        <v>269</v>
      </c>
      <c r="E1698" t="s">
        <v>272</v>
      </c>
      <c r="F1698" t="s">
        <v>290</v>
      </c>
      <c r="G1698" s="7">
        <v>1</v>
      </c>
      <c r="H1698" s="3">
        <v>29327.69</v>
      </c>
      <c r="I1698" s="3">
        <v>29327.69</v>
      </c>
    </row>
    <row r="1699" spans="1:9" x14ac:dyDescent="0.3">
      <c r="A1699" s="5" t="s">
        <v>40</v>
      </c>
      <c r="B1699" t="s">
        <v>254</v>
      </c>
      <c r="C1699" t="s">
        <v>264</v>
      </c>
      <c r="D1699" t="s">
        <v>266</v>
      </c>
      <c r="E1699" t="s">
        <v>272</v>
      </c>
      <c r="F1699" t="s">
        <v>286</v>
      </c>
      <c r="G1699" s="7">
        <v>4</v>
      </c>
      <c r="H1699" s="3">
        <v>28880.02</v>
      </c>
      <c r="I1699" s="3">
        <v>115520.08</v>
      </c>
    </row>
    <row r="1700" spans="1:9" x14ac:dyDescent="0.3">
      <c r="A1700" s="5" t="s">
        <v>41</v>
      </c>
      <c r="B1700" t="s">
        <v>255</v>
      </c>
      <c r="C1700" t="s">
        <v>264</v>
      </c>
      <c r="D1700" t="s">
        <v>266</v>
      </c>
      <c r="E1700" t="s">
        <v>274</v>
      </c>
      <c r="F1700" t="s">
        <v>284</v>
      </c>
      <c r="G1700" s="7">
        <v>2</v>
      </c>
      <c r="H1700" s="3">
        <v>27687.03</v>
      </c>
      <c r="I1700" s="3">
        <v>55374.06</v>
      </c>
    </row>
    <row r="1701" spans="1:9" x14ac:dyDescent="0.3">
      <c r="A1701" s="5" t="s">
        <v>41</v>
      </c>
      <c r="B1701" t="s">
        <v>256</v>
      </c>
      <c r="C1701" t="s">
        <v>265</v>
      </c>
      <c r="D1701" t="s">
        <v>267</v>
      </c>
      <c r="E1701" t="s">
        <v>273</v>
      </c>
      <c r="F1701" t="s">
        <v>279</v>
      </c>
      <c r="G1701" s="7">
        <v>5</v>
      </c>
      <c r="H1701" s="3">
        <v>51365.47</v>
      </c>
      <c r="I1701" s="3">
        <v>256827.35</v>
      </c>
    </row>
    <row r="1702" spans="1:9" x14ac:dyDescent="0.3">
      <c r="A1702" s="5" t="s">
        <v>41</v>
      </c>
      <c r="B1702" t="s">
        <v>253</v>
      </c>
      <c r="C1702" t="s">
        <v>262</v>
      </c>
      <c r="D1702" t="s">
        <v>270</v>
      </c>
      <c r="E1702" t="s">
        <v>274</v>
      </c>
      <c r="F1702" t="s">
        <v>287</v>
      </c>
      <c r="G1702" s="7">
        <v>9</v>
      </c>
      <c r="H1702" s="3">
        <v>33959.269999999997</v>
      </c>
      <c r="I1702" s="3">
        <v>305633.43</v>
      </c>
    </row>
    <row r="1703" spans="1:9" x14ac:dyDescent="0.3">
      <c r="A1703" s="5" t="s">
        <v>41</v>
      </c>
      <c r="B1703" t="s">
        <v>257</v>
      </c>
      <c r="C1703" t="s">
        <v>264</v>
      </c>
      <c r="D1703" t="s">
        <v>267</v>
      </c>
      <c r="E1703" t="s">
        <v>273</v>
      </c>
      <c r="F1703" t="s">
        <v>278</v>
      </c>
      <c r="G1703" s="7">
        <v>3</v>
      </c>
      <c r="H1703" s="3">
        <v>41887.46</v>
      </c>
      <c r="I1703" s="3">
        <v>125662.38</v>
      </c>
    </row>
    <row r="1704" spans="1:9" x14ac:dyDescent="0.3">
      <c r="A1704" s="5" t="s">
        <v>41</v>
      </c>
      <c r="B1704" t="s">
        <v>253</v>
      </c>
      <c r="C1704" t="s">
        <v>263</v>
      </c>
      <c r="D1704" t="s">
        <v>267</v>
      </c>
      <c r="E1704" t="s">
        <v>274</v>
      </c>
      <c r="F1704" t="s">
        <v>280</v>
      </c>
      <c r="G1704" s="7">
        <v>8</v>
      </c>
      <c r="H1704" s="3">
        <v>28608.94</v>
      </c>
      <c r="I1704" s="3">
        <v>228871.52</v>
      </c>
    </row>
    <row r="1705" spans="1:9" x14ac:dyDescent="0.3">
      <c r="A1705" s="5" t="s">
        <v>41</v>
      </c>
      <c r="B1705" t="s">
        <v>260</v>
      </c>
      <c r="C1705" t="s">
        <v>261</v>
      </c>
      <c r="D1705" t="s">
        <v>268</v>
      </c>
      <c r="E1705" t="s">
        <v>272</v>
      </c>
      <c r="F1705" t="s">
        <v>286</v>
      </c>
      <c r="G1705" s="7">
        <v>3</v>
      </c>
      <c r="H1705" s="3">
        <v>28093.94</v>
      </c>
      <c r="I1705" s="3">
        <v>84281.82</v>
      </c>
    </row>
    <row r="1706" spans="1:9" x14ac:dyDescent="0.3">
      <c r="A1706" s="5" t="s">
        <v>42</v>
      </c>
      <c r="B1706" t="s">
        <v>254</v>
      </c>
      <c r="C1706" t="s">
        <v>263</v>
      </c>
      <c r="D1706" t="s">
        <v>267</v>
      </c>
      <c r="E1706" t="s">
        <v>273</v>
      </c>
      <c r="F1706" t="s">
        <v>283</v>
      </c>
      <c r="G1706" s="7">
        <v>6</v>
      </c>
      <c r="H1706" s="3">
        <v>53318.92</v>
      </c>
      <c r="I1706" s="3">
        <v>319913.52</v>
      </c>
    </row>
    <row r="1707" spans="1:9" x14ac:dyDescent="0.3">
      <c r="A1707" s="5" t="s">
        <v>42</v>
      </c>
      <c r="B1707" t="s">
        <v>255</v>
      </c>
      <c r="C1707" t="s">
        <v>262</v>
      </c>
      <c r="D1707" t="s">
        <v>269</v>
      </c>
      <c r="E1707" t="s">
        <v>271</v>
      </c>
      <c r="F1707" t="s">
        <v>282</v>
      </c>
      <c r="G1707" s="7">
        <v>4</v>
      </c>
      <c r="H1707" s="3">
        <v>10167</v>
      </c>
      <c r="I1707" s="3">
        <v>40668</v>
      </c>
    </row>
    <row r="1708" spans="1:9" x14ac:dyDescent="0.3">
      <c r="A1708" s="5" t="s">
        <v>42</v>
      </c>
      <c r="B1708" t="s">
        <v>257</v>
      </c>
      <c r="C1708" t="s">
        <v>263</v>
      </c>
      <c r="D1708" t="s">
        <v>269</v>
      </c>
      <c r="E1708" t="s">
        <v>272</v>
      </c>
      <c r="F1708" t="s">
        <v>277</v>
      </c>
      <c r="G1708" s="7">
        <v>8</v>
      </c>
      <c r="H1708" s="3">
        <v>30551.88</v>
      </c>
      <c r="I1708" s="3">
        <v>244415.04</v>
      </c>
    </row>
    <row r="1709" spans="1:9" x14ac:dyDescent="0.3">
      <c r="A1709" s="5" t="s">
        <v>42</v>
      </c>
      <c r="B1709" t="s">
        <v>254</v>
      </c>
      <c r="C1709" t="s">
        <v>265</v>
      </c>
      <c r="D1709" t="s">
        <v>268</v>
      </c>
      <c r="E1709" t="s">
        <v>271</v>
      </c>
      <c r="F1709" t="s">
        <v>285</v>
      </c>
      <c r="G1709" s="7">
        <v>6</v>
      </c>
      <c r="H1709" s="3">
        <v>9698.6200000000008</v>
      </c>
      <c r="I1709" s="3">
        <v>58191.72</v>
      </c>
    </row>
    <row r="1710" spans="1:9" x14ac:dyDescent="0.3">
      <c r="A1710" s="5" t="s">
        <v>42</v>
      </c>
      <c r="B1710" t="s">
        <v>259</v>
      </c>
      <c r="C1710" t="s">
        <v>262</v>
      </c>
      <c r="D1710" t="s">
        <v>270</v>
      </c>
      <c r="E1710" t="s">
        <v>272</v>
      </c>
      <c r="F1710" t="s">
        <v>286</v>
      </c>
      <c r="G1710" s="7">
        <v>8</v>
      </c>
      <c r="H1710" s="3">
        <v>25089.74</v>
      </c>
      <c r="I1710" s="3">
        <v>200717.92</v>
      </c>
    </row>
    <row r="1711" spans="1:9" x14ac:dyDescent="0.3">
      <c r="A1711" s="5" t="s">
        <v>42</v>
      </c>
      <c r="B1711" t="s">
        <v>255</v>
      </c>
      <c r="C1711" t="s">
        <v>261</v>
      </c>
      <c r="D1711" t="s">
        <v>270</v>
      </c>
      <c r="E1711" t="s">
        <v>274</v>
      </c>
      <c r="F1711" t="s">
        <v>289</v>
      </c>
      <c r="G1711" s="7">
        <v>1</v>
      </c>
      <c r="H1711" s="3">
        <v>34728.01</v>
      </c>
      <c r="I1711" s="3">
        <v>34728.01</v>
      </c>
    </row>
    <row r="1712" spans="1:9" x14ac:dyDescent="0.3">
      <c r="A1712" s="5" t="s">
        <v>43</v>
      </c>
      <c r="B1712" t="s">
        <v>253</v>
      </c>
      <c r="C1712" t="s">
        <v>265</v>
      </c>
      <c r="D1712" t="s">
        <v>267</v>
      </c>
      <c r="E1712" t="s">
        <v>273</v>
      </c>
      <c r="F1712" t="s">
        <v>288</v>
      </c>
      <c r="G1712" s="7">
        <v>6</v>
      </c>
      <c r="H1712" s="3">
        <v>50255.38</v>
      </c>
      <c r="I1712" s="3">
        <v>301532.28000000003</v>
      </c>
    </row>
    <row r="1713" spans="1:9" x14ac:dyDescent="0.3">
      <c r="A1713" s="5" t="s">
        <v>43</v>
      </c>
      <c r="B1713" t="s">
        <v>253</v>
      </c>
      <c r="C1713" t="s">
        <v>262</v>
      </c>
      <c r="D1713" t="s">
        <v>267</v>
      </c>
      <c r="E1713" t="s">
        <v>272</v>
      </c>
      <c r="F1713" t="s">
        <v>276</v>
      </c>
      <c r="G1713" s="7">
        <v>1</v>
      </c>
      <c r="H1713" s="3">
        <v>26047.98</v>
      </c>
      <c r="I1713" s="3">
        <v>26047.98</v>
      </c>
    </row>
    <row r="1714" spans="1:9" x14ac:dyDescent="0.3">
      <c r="A1714" s="5" t="s">
        <v>43</v>
      </c>
      <c r="B1714" t="s">
        <v>255</v>
      </c>
      <c r="C1714" t="s">
        <v>261</v>
      </c>
      <c r="D1714" t="s">
        <v>267</v>
      </c>
      <c r="E1714" t="s">
        <v>274</v>
      </c>
      <c r="F1714" t="s">
        <v>287</v>
      </c>
      <c r="G1714" s="7">
        <v>1</v>
      </c>
      <c r="H1714" s="3">
        <v>38465.980000000003</v>
      </c>
      <c r="I1714" s="3">
        <v>38465.980000000003</v>
      </c>
    </row>
    <row r="1715" spans="1:9" x14ac:dyDescent="0.3">
      <c r="A1715" s="5" t="s">
        <v>43</v>
      </c>
      <c r="B1715" t="s">
        <v>253</v>
      </c>
      <c r="C1715" t="s">
        <v>265</v>
      </c>
      <c r="D1715" t="s">
        <v>270</v>
      </c>
      <c r="E1715" t="s">
        <v>273</v>
      </c>
      <c r="F1715" t="s">
        <v>283</v>
      </c>
      <c r="G1715" s="7">
        <v>8</v>
      </c>
      <c r="H1715" s="3">
        <v>41759.94</v>
      </c>
      <c r="I1715" s="3">
        <v>334079.52</v>
      </c>
    </row>
    <row r="1716" spans="1:9" x14ac:dyDescent="0.3">
      <c r="A1716" s="5" t="s">
        <v>43</v>
      </c>
      <c r="B1716" t="s">
        <v>256</v>
      </c>
      <c r="C1716" t="s">
        <v>265</v>
      </c>
      <c r="D1716" t="s">
        <v>266</v>
      </c>
      <c r="E1716" t="s">
        <v>273</v>
      </c>
      <c r="F1716" t="s">
        <v>278</v>
      </c>
      <c r="G1716" s="7">
        <v>7</v>
      </c>
      <c r="H1716" s="3">
        <v>43892.59</v>
      </c>
      <c r="I1716" s="3">
        <v>307248.13</v>
      </c>
    </row>
    <row r="1717" spans="1:9" x14ac:dyDescent="0.3">
      <c r="A1717" s="5" t="s">
        <v>43</v>
      </c>
      <c r="B1717" t="s">
        <v>255</v>
      </c>
      <c r="C1717" t="s">
        <v>262</v>
      </c>
      <c r="D1717" t="s">
        <v>269</v>
      </c>
      <c r="E1717" t="s">
        <v>272</v>
      </c>
      <c r="F1717" t="s">
        <v>276</v>
      </c>
      <c r="G1717" s="7">
        <v>3</v>
      </c>
      <c r="H1717" s="3">
        <v>30750.240000000002</v>
      </c>
      <c r="I1717" s="3">
        <v>92250.72</v>
      </c>
    </row>
    <row r="1718" spans="1:9" x14ac:dyDescent="0.3">
      <c r="A1718" s="5" t="s">
        <v>44</v>
      </c>
      <c r="B1718" t="s">
        <v>254</v>
      </c>
      <c r="C1718" t="s">
        <v>264</v>
      </c>
      <c r="D1718" t="s">
        <v>266</v>
      </c>
      <c r="E1718" t="s">
        <v>273</v>
      </c>
      <c r="F1718" t="s">
        <v>288</v>
      </c>
      <c r="G1718" s="7">
        <v>6</v>
      </c>
      <c r="H1718" s="3">
        <v>49740.3</v>
      </c>
      <c r="I1718" s="3">
        <v>298441.8</v>
      </c>
    </row>
    <row r="1719" spans="1:9" x14ac:dyDescent="0.3">
      <c r="A1719" s="5" t="s">
        <v>44</v>
      </c>
      <c r="B1719" t="s">
        <v>255</v>
      </c>
      <c r="C1719" t="s">
        <v>265</v>
      </c>
      <c r="D1719" t="s">
        <v>266</v>
      </c>
      <c r="E1719" t="s">
        <v>272</v>
      </c>
      <c r="F1719" t="s">
        <v>276</v>
      </c>
      <c r="G1719" s="7">
        <v>9</v>
      </c>
      <c r="H1719" s="3">
        <v>31633.11</v>
      </c>
      <c r="I1719" s="3">
        <v>284697.99</v>
      </c>
    </row>
    <row r="1720" spans="1:9" x14ac:dyDescent="0.3">
      <c r="A1720" s="5" t="s">
        <v>44</v>
      </c>
      <c r="B1720" t="s">
        <v>257</v>
      </c>
      <c r="C1720" t="s">
        <v>265</v>
      </c>
      <c r="D1720" t="s">
        <v>270</v>
      </c>
      <c r="E1720" t="s">
        <v>273</v>
      </c>
      <c r="F1720" t="s">
        <v>278</v>
      </c>
      <c r="G1720" s="7">
        <v>7</v>
      </c>
      <c r="H1720" s="3">
        <v>40266.21</v>
      </c>
      <c r="I1720" s="3">
        <v>281863.46999999997</v>
      </c>
    </row>
    <row r="1721" spans="1:9" x14ac:dyDescent="0.3">
      <c r="A1721" s="5" t="s">
        <v>44</v>
      </c>
      <c r="B1721" t="s">
        <v>253</v>
      </c>
      <c r="C1721" t="s">
        <v>261</v>
      </c>
      <c r="D1721" t="s">
        <v>266</v>
      </c>
      <c r="E1721" t="s">
        <v>271</v>
      </c>
      <c r="F1721" t="s">
        <v>275</v>
      </c>
      <c r="G1721" s="7">
        <v>3</v>
      </c>
      <c r="H1721" s="3">
        <v>10113.18</v>
      </c>
      <c r="I1721" s="3">
        <v>30339.54</v>
      </c>
    </row>
    <row r="1722" spans="1:9" x14ac:dyDescent="0.3">
      <c r="A1722" s="5" t="s">
        <v>44</v>
      </c>
      <c r="B1722" t="s">
        <v>256</v>
      </c>
      <c r="C1722" t="s">
        <v>263</v>
      </c>
      <c r="D1722" t="s">
        <v>268</v>
      </c>
      <c r="E1722" t="s">
        <v>274</v>
      </c>
      <c r="F1722" t="s">
        <v>289</v>
      </c>
      <c r="G1722" s="7">
        <v>6</v>
      </c>
      <c r="H1722" s="3">
        <v>34020.44</v>
      </c>
      <c r="I1722" s="3">
        <v>204122.64</v>
      </c>
    </row>
    <row r="1723" spans="1:9" x14ac:dyDescent="0.3">
      <c r="A1723" s="5" t="s">
        <v>44</v>
      </c>
      <c r="B1723" t="s">
        <v>256</v>
      </c>
      <c r="C1723" t="s">
        <v>262</v>
      </c>
      <c r="D1723" t="s">
        <v>267</v>
      </c>
      <c r="E1723" t="s">
        <v>271</v>
      </c>
      <c r="F1723" t="s">
        <v>281</v>
      </c>
      <c r="G1723" s="7">
        <v>4</v>
      </c>
      <c r="H1723" s="3">
        <v>8827.49</v>
      </c>
      <c r="I1723" s="3">
        <v>35309.96</v>
      </c>
    </row>
    <row r="1724" spans="1:9" x14ac:dyDescent="0.3">
      <c r="A1724" s="5" t="s">
        <v>44</v>
      </c>
      <c r="B1724" t="s">
        <v>259</v>
      </c>
      <c r="C1724" t="s">
        <v>262</v>
      </c>
      <c r="D1724" t="s">
        <v>268</v>
      </c>
      <c r="E1724" t="s">
        <v>272</v>
      </c>
      <c r="F1724" t="s">
        <v>286</v>
      </c>
      <c r="G1724" s="7">
        <v>3</v>
      </c>
      <c r="H1724" s="3">
        <v>34788.29</v>
      </c>
      <c r="I1724" s="3">
        <v>104364.87</v>
      </c>
    </row>
    <row r="1725" spans="1:9" x14ac:dyDescent="0.3">
      <c r="A1725" s="5" t="s">
        <v>45</v>
      </c>
      <c r="B1725" t="s">
        <v>254</v>
      </c>
      <c r="C1725" t="s">
        <v>264</v>
      </c>
      <c r="D1725" t="s">
        <v>269</v>
      </c>
      <c r="E1725" t="s">
        <v>271</v>
      </c>
      <c r="F1725" t="s">
        <v>285</v>
      </c>
      <c r="G1725" s="7">
        <v>9</v>
      </c>
      <c r="H1725" s="3">
        <v>9742.2900000000009</v>
      </c>
      <c r="I1725" s="3">
        <v>87680.61</v>
      </c>
    </row>
    <row r="1726" spans="1:9" x14ac:dyDescent="0.3">
      <c r="A1726" s="5" t="s">
        <v>45</v>
      </c>
      <c r="B1726" t="s">
        <v>258</v>
      </c>
      <c r="C1726" t="s">
        <v>264</v>
      </c>
      <c r="D1726" t="s">
        <v>267</v>
      </c>
      <c r="E1726" t="s">
        <v>272</v>
      </c>
      <c r="F1726" t="s">
        <v>277</v>
      </c>
      <c r="G1726" s="7">
        <v>2</v>
      </c>
      <c r="H1726" s="3">
        <v>25121.67</v>
      </c>
      <c r="I1726" s="3">
        <v>50243.34</v>
      </c>
    </row>
    <row r="1727" spans="1:9" x14ac:dyDescent="0.3">
      <c r="A1727" s="5" t="s">
        <v>45</v>
      </c>
      <c r="B1727" t="s">
        <v>258</v>
      </c>
      <c r="C1727" t="s">
        <v>262</v>
      </c>
      <c r="D1727" t="s">
        <v>266</v>
      </c>
      <c r="E1727" t="s">
        <v>273</v>
      </c>
      <c r="F1727" t="s">
        <v>279</v>
      </c>
      <c r="G1727" s="7">
        <v>1</v>
      </c>
      <c r="H1727" s="3">
        <v>51867.71</v>
      </c>
      <c r="I1727" s="3">
        <v>51867.71</v>
      </c>
    </row>
    <row r="1728" spans="1:9" x14ac:dyDescent="0.3">
      <c r="A1728" s="5" t="s">
        <v>45</v>
      </c>
      <c r="B1728" t="s">
        <v>255</v>
      </c>
      <c r="C1728" t="s">
        <v>264</v>
      </c>
      <c r="D1728" t="s">
        <v>269</v>
      </c>
      <c r="E1728" t="s">
        <v>273</v>
      </c>
      <c r="F1728" t="s">
        <v>279</v>
      </c>
      <c r="G1728" s="7">
        <v>2</v>
      </c>
      <c r="H1728" s="3">
        <v>39964.480000000003</v>
      </c>
      <c r="I1728" s="3">
        <v>79928.960000000006</v>
      </c>
    </row>
    <row r="1729" spans="1:9" x14ac:dyDescent="0.3">
      <c r="A1729" s="5" t="s">
        <v>45</v>
      </c>
      <c r="B1729" t="s">
        <v>259</v>
      </c>
      <c r="C1729" t="s">
        <v>261</v>
      </c>
      <c r="D1729" t="s">
        <v>267</v>
      </c>
      <c r="E1729" t="s">
        <v>272</v>
      </c>
      <c r="F1729" t="s">
        <v>276</v>
      </c>
      <c r="G1729" s="7">
        <v>7</v>
      </c>
      <c r="H1729" s="3">
        <v>24107.67</v>
      </c>
      <c r="I1729" s="3">
        <v>168753.69</v>
      </c>
    </row>
    <row r="1730" spans="1:9" x14ac:dyDescent="0.3">
      <c r="A1730" s="5" t="s">
        <v>45</v>
      </c>
      <c r="B1730" t="s">
        <v>260</v>
      </c>
      <c r="C1730" t="s">
        <v>262</v>
      </c>
      <c r="D1730" t="s">
        <v>266</v>
      </c>
      <c r="E1730" t="s">
        <v>271</v>
      </c>
      <c r="F1730" t="s">
        <v>281</v>
      </c>
      <c r="G1730" s="7">
        <v>1</v>
      </c>
      <c r="H1730" s="3">
        <v>8597.33</v>
      </c>
      <c r="I1730" s="3">
        <v>8597.33</v>
      </c>
    </row>
    <row r="1731" spans="1:9" x14ac:dyDescent="0.3">
      <c r="A1731" s="5" t="s">
        <v>46</v>
      </c>
      <c r="B1731" t="s">
        <v>255</v>
      </c>
      <c r="C1731" t="s">
        <v>264</v>
      </c>
      <c r="D1731" t="s">
        <v>268</v>
      </c>
      <c r="E1731" t="s">
        <v>273</v>
      </c>
      <c r="F1731" t="s">
        <v>288</v>
      </c>
      <c r="G1731" s="7">
        <v>6</v>
      </c>
      <c r="H1731" s="3">
        <v>56134.41</v>
      </c>
      <c r="I1731" s="3">
        <v>336806.46</v>
      </c>
    </row>
    <row r="1732" spans="1:9" x14ac:dyDescent="0.3">
      <c r="A1732" s="5" t="s">
        <v>46</v>
      </c>
      <c r="B1732" t="s">
        <v>259</v>
      </c>
      <c r="C1732" t="s">
        <v>262</v>
      </c>
      <c r="D1732" t="s">
        <v>267</v>
      </c>
      <c r="E1732" t="s">
        <v>274</v>
      </c>
      <c r="F1732" t="s">
        <v>280</v>
      </c>
      <c r="G1732" s="7">
        <v>7</v>
      </c>
      <c r="H1732" s="3">
        <v>29438.51</v>
      </c>
      <c r="I1732" s="3">
        <v>206069.57</v>
      </c>
    </row>
    <row r="1733" spans="1:9" x14ac:dyDescent="0.3">
      <c r="A1733" s="5" t="s">
        <v>46</v>
      </c>
      <c r="B1733" t="s">
        <v>254</v>
      </c>
      <c r="C1733" t="s">
        <v>263</v>
      </c>
      <c r="D1733" t="s">
        <v>266</v>
      </c>
      <c r="E1733" t="s">
        <v>273</v>
      </c>
      <c r="F1733" t="s">
        <v>283</v>
      </c>
      <c r="G1733" s="7">
        <v>9</v>
      </c>
      <c r="H1733" s="3">
        <v>50357.599999999999</v>
      </c>
      <c r="I1733" s="3">
        <v>453218.4</v>
      </c>
    </row>
    <row r="1734" spans="1:9" x14ac:dyDescent="0.3">
      <c r="A1734" s="5" t="s">
        <v>46</v>
      </c>
      <c r="B1734" t="s">
        <v>254</v>
      </c>
      <c r="C1734" t="s">
        <v>265</v>
      </c>
      <c r="D1734" t="s">
        <v>268</v>
      </c>
      <c r="E1734" t="s">
        <v>274</v>
      </c>
      <c r="F1734" t="s">
        <v>284</v>
      </c>
      <c r="G1734" s="7">
        <v>8</v>
      </c>
      <c r="H1734" s="3">
        <v>29419.47</v>
      </c>
      <c r="I1734" s="3">
        <v>235355.76</v>
      </c>
    </row>
    <row r="1735" spans="1:9" x14ac:dyDescent="0.3">
      <c r="A1735" s="5" t="s">
        <v>46</v>
      </c>
      <c r="B1735" t="s">
        <v>254</v>
      </c>
      <c r="C1735" t="s">
        <v>262</v>
      </c>
      <c r="D1735" t="s">
        <v>269</v>
      </c>
      <c r="E1735" t="s">
        <v>271</v>
      </c>
      <c r="F1735" t="s">
        <v>281</v>
      </c>
      <c r="G1735" s="7">
        <v>6</v>
      </c>
      <c r="H1735" s="3">
        <v>9689.2800000000007</v>
      </c>
      <c r="I1735" s="3">
        <v>58135.68</v>
      </c>
    </row>
    <row r="1736" spans="1:9" x14ac:dyDescent="0.3">
      <c r="A1736" s="5" t="s">
        <v>46</v>
      </c>
      <c r="B1736" t="s">
        <v>254</v>
      </c>
      <c r="C1736" t="s">
        <v>265</v>
      </c>
      <c r="D1736" t="s">
        <v>269</v>
      </c>
      <c r="E1736" t="s">
        <v>274</v>
      </c>
      <c r="F1736" t="s">
        <v>287</v>
      </c>
      <c r="G1736" s="7">
        <v>3</v>
      </c>
      <c r="H1736" s="3">
        <v>33668.53</v>
      </c>
      <c r="I1736" s="3">
        <v>101005.59</v>
      </c>
    </row>
    <row r="1737" spans="1:9" x14ac:dyDescent="0.3">
      <c r="A1737" s="5" t="s">
        <v>47</v>
      </c>
      <c r="B1737" t="s">
        <v>254</v>
      </c>
      <c r="C1737" t="s">
        <v>264</v>
      </c>
      <c r="D1737" t="s">
        <v>269</v>
      </c>
      <c r="E1737" t="s">
        <v>274</v>
      </c>
      <c r="F1737" t="s">
        <v>289</v>
      </c>
      <c r="G1737" s="7">
        <v>8</v>
      </c>
      <c r="H1737" s="3">
        <v>35903.64</v>
      </c>
      <c r="I1737" s="3">
        <v>287229.12</v>
      </c>
    </row>
    <row r="1738" spans="1:9" x14ac:dyDescent="0.3">
      <c r="A1738" s="5" t="s">
        <v>47</v>
      </c>
      <c r="B1738" t="s">
        <v>259</v>
      </c>
      <c r="C1738" t="s">
        <v>265</v>
      </c>
      <c r="D1738" t="s">
        <v>269</v>
      </c>
      <c r="E1738" t="s">
        <v>274</v>
      </c>
      <c r="F1738" t="s">
        <v>289</v>
      </c>
      <c r="G1738" s="7">
        <v>7</v>
      </c>
      <c r="H1738" s="3">
        <v>29796.78</v>
      </c>
      <c r="I1738" s="3">
        <v>208577.46</v>
      </c>
    </row>
    <row r="1739" spans="1:9" x14ac:dyDescent="0.3">
      <c r="A1739" s="5" t="s">
        <v>47</v>
      </c>
      <c r="B1739" t="s">
        <v>259</v>
      </c>
      <c r="C1739" t="s">
        <v>262</v>
      </c>
      <c r="D1739" t="s">
        <v>270</v>
      </c>
      <c r="E1739" t="s">
        <v>274</v>
      </c>
      <c r="F1739" t="s">
        <v>289</v>
      </c>
      <c r="G1739" s="7">
        <v>3</v>
      </c>
      <c r="H1739" s="3">
        <v>36744.04</v>
      </c>
      <c r="I1739" s="3">
        <v>110232.12</v>
      </c>
    </row>
    <row r="1740" spans="1:9" x14ac:dyDescent="0.3">
      <c r="A1740" s="5" t="s">
        <v>47</v>
      </c>
      <c r="B1740" t="s">
        <v>256</v>
      </c>
      <c r="C1740" t="s">
        <v>263</v>
      </c>
      <c r="D1740" t="s">
        <v>267</v>
      </c>
      <c r="E1740" t="s">
        <v>273</v>
      </c>
      <c r="F1740" t="s">
        <v>279</v>
      </c>
      <c r="G1740" s="7">
        <v>9</v>
      </c>
      <c r="H1740" s="3">
        <v>56171.14</v>
      </c>
      <c r="I1740" s="3">
        <v>505540.26</v>
      </c>
    </row>
    <row r="1741" spans="1:9" x14ac:dyDescent="0.3">
      <c r="A1741" s="5" t="s">
        <v>47</v>
      </c>
      <c r="B1741" t="s">
        <v>257</v>
      </c>
      <c r="C1741" t="s">
        <v>264</v>
      </c>
      <c r="D1741" t="s">
        <v>267</v>
      </c>
      <c r="E1741" t="s">
        <v>274</v>
      </c>
      <c r="F1741" t="s">
        <v>287</v>
      </c>
      <c r="G1741" s="7">
        <v>2</v>
      </c>
      <c r="H1741" s="3">
        <v>35720.33</v>
      </c>
      <c r="I1741" s="3">
        <v>71440.66</v>
      </c>
    </row>
    <row r="1742" spans="1:9" x14ac:dyDescent="0.3">
      <c r="A1742" s="5" t="s">
        <v>47</v>
      </c>
      <c r="B1742" t="s">
        <v>258</v>
      </c>
      <c r="C1742" t="s">
        <v>262</v>
      </c>
      <c r="D1742" t="s">
        <v>270</v>
      </c>
      <c r="E1742" t="s">
        <v>273</v>
      </c>
      <c r="F1742" t="s">
        <v>279</v>
      </c>
      <c r="G1742" s="7">
        <v>3</v>
      </c>
      <c r="H1742" s="3">
        <v>47132.639999999999</v>
      </c>
      <c r="I1742" s="3">
        <v>141397.92000000001</v>
      </c>
    </row>
    <row r="1743" spans="1:9" x14ac:dyDescent="0.3">
      <c r="A1743" s="5" t="s">
        <v>48</v>
      </c>
      <c r="B1743" t="s">
        <v>253</v>
      </c>
      <c r="C1743" t="s">
        <v>264</v>
      </c>
      <c r="D1743" t="s">
        <v>266</v>
      </c>
      <c r="E1743" t="s">
        <v>274</v>
      </c>
      <c r="F1743" t="s">
        <v>287</v>
      </c>
      <c r="G1743" s="7">
        <v>2</v>
      </c>
      <c r="H1743" s="3">
        <v>39016.629999999997</v>
      </c>
      <c r="I1743" s="3">
        <v>78033.259999999995</v>
      </c>
    </row>
    <row r="1744" spans="1:9" x14ac:dyDescent="0.3">
      <c r="A1744" s="5" t="s">
        <v>48</v>
      </c>
      <c r="B1744" t="s">
        <v>254</v>
      </c>
      <c r="C1744" t="s">
        <v>261</v>
      </c>
      <c r="D1744" t="s">
        <v>266</v>
      </c>
      <c r="E1744" t="s">
        <v>272</v>
      </c>
      <c r="F1744" t="s">
        <v>276</v>
      </c>
      <c r="G1744" s="7">
        <v>1</v>
      </c>
      <c r="H1744" s="3">
        <v>23977.54</v>
      </c>
      <c r="I1744" s="3">
        <v>23977.54</v>
      </c>
    </row>
    <row r="1745" spans="1:9" x14ac:dyDescent="0.3">
      <c r="A1745" s="5" t="s">
        <v>48</v>
      </c>
      <c r="B1745" t="s">
        <v>260</v>
      </c>
      <c r="C1745" t="s">
        <v>265</v>
      </c>
      <c r="D1745" t="s">
        <v>269</v>
      </c>
      <c r="E1745" t="s">
        <v>271</v>
      </c>
      <c r="F1745" t="s">
        <v>281</v>
      </c>
      <c r="G1745" s="7">
        <v>4</v>
      </c>
      <c r="H1745" s="3">
        <v>9706.74</v>
      </c>
      <c r="I1745" s="3">
        <v>38826.959999999999</v>
      </c>
    </row>
    <row r="1746" spans="1:9" x14ac:dyDescent="0.3">
      <c r="A1746" s="5" t="s">
        <v>48</v>
      </c>
      <c r="B1746" t="s">
        <v>253</v>
      </c>
      <c r="C1746" t="s">
        <v>261</v>
      </c>
      <c r="D1746" t="s">
        <v>268</v>
      </c>
      <c r="E1746" t="s">
        <v>274</v>
      </c>
      <c r="F1746" t="s">
        <v>287</v>
      </c>
      <c r="G1746" s="7">
        <v>5</v>
      </c>
      <c r="H1746" s="3">
        <v>38575.96</v>
      </c>
      <c r="I1746" s="3">
        <v>192879.8</v>
      </c>
    </row>
    <row r="1747" spans="1:9" x14ac:dyDescent="0.3">
      <c r="A1747" s="5" t="s">
        <v>48</v>
      </c>
      <c r="B1747" t="s">
        <v>259</v>
      </c>
      <c r="C1747" t="s">
        <v>262</v>
      </c>
      <c r="D1747" t="s">
        <v>266</v>
      </c>
      <c r="E1747" t="s">
        <v>272</v>
      </c>
      <c r="F1747" t="s">
        <v>276</v>
      </c>
      <c r="G1747" s="7">
        <v>6</v>
      </c>
      <c r="H1747" s="3">
        <v>24490.76</v>
      </c>
      <c r="I1747" s="3">
        <v>146944.56</v>
      </c>
    </row>
    <row r="1748" spans="1:9" x14ac:dyDescent="0.3">
      <c r="A1748" s="5" t="s">
        <v>48</v>
      </c>
      <c r="B1748" t="s">
        <v>260</v>
      </c>
      <c r="C1748" t="s">
        <v>263</v>
      </c>
      <c r="D1748" t="s">
        <v>268</v>
      </c>
      <c r="E1748" t="s">
        <v>274</v>
      </c>
      <c r="F1748" t="s">
        <v>287</v>
      </c>
      <c r="G1748" s="7">
        <v>5</v>
      </c>
      <c r="H1748" s="3">
        <v>32960.82</v>
      </c>
      <c r="I1748" s="3">
        <v>164804.1</v>
      </c>
    </row>
    <row r="1749" spans="1:9" x14ac:dyDescent="0.3">
      <c r="A1749" s="5" t="s">
        <v>49</v>
      </c>
      <c r="B1749" t="s">
        <v>260</v>
      </c>
      <c r="C1749" t="s">
        <v>264</v>
      </c>
      <c r="D1749" t="s">
        <v>267</v>
      </c>
      <c r="E1749" t="s">
        <v>274</v>
      </c>
      <c r="F1749" t="s">
        <v>287</v>
      </c>
      <c r="G1749" s="7">
        <v>1</v>
      </c>
      <c r="H1749" s="3">
        <v>29820.41</v>
      </c>
      <c r="I1749" s="3">
        <v>29820.41</v>
      </c>
    </row>
    <row r="1750" spans="1:9" x14ac:dyDescent="0.3">
      <c r="A1750" s="5" t="s">
        <v>49</v>
      </c>
      <c r="B1750" t="s">
        <v>260</v>
      </c>
      <c r="C1750" t="s">
        <v>265</v>
      </c>
      <c r="D1750" t="s">
        <v>268</v>
      </c>
      <c r="E1750" t="s">
        <v>274</v>
      </c>
      <c r="F1750" t="s">
        <v>289</v>
      </c>
      <c r="G1750" s="7">
        <v>3</v>
      </c>
      <c r="H1750" s="3">
        <v>34451.43</v>
      </c>
      <c r="I1750" s="3">
        <v>103354.29</v>
      </c>
    </row>
    <row r="1751" spans="1:9" x14ac:dyDescent="0.3">
      <c r="A1751" s="5" t="s">
        <v>49</v>
      </c>
      <c r="B1751" t="s">
        <v>256</v>
      </c>
      <c r="C1751" t="s">
        <v>264</v>
      </c>
      <c r="D1751" t="s">
        <v>267</v>
      </c>
      <c r="E1751" t="s">
        <v>272</v>
      </c>
      <c r="F1751" t="s">
        <v>276</v>
      </c>
      <c r="G1751" s="7">
        <v>1</v>
      </c>
      <c r="H1751" s="3">
        <v>31074.880000000001</v>
      </c>
      <c r="I1751" s="3">
        <v>31074.880000000001</v>
      </c>
    </row>
    <row r="1752" spans="1:9" x14ac:dyDescent="0.3">
      <c r="A1752" s="5" t="s">
        <v>49</v>
      </c>
      <c r="B1752" t="s">
        <v>259</v>
      </c>
      <c r="C1752" t="s">
        <v>262</v>
      </c>
      <c r="D1752" t="s">
        <v>270</v>
      </c>
      <c r="E1752" t="s">
        <v>271</v>
      </c>
      <c r="F1752" t="s">
        <v>281</v>
      </c>
      <c r="G1752" s="7">
        <v>5</v>
      </c>
      <c r="H1752" s="3">
        <v>8253.92</v>
      </c>
      <c r="I1752" s="3">
        <v>41269.599999999999</v>
      </c>
    </row>
    <row r="1753" spans="1:9" x14ac:dyDescent="0.3">
      <c r="A1753" s="5" t="s">
        <v>49</v>
      </c>
      <c r="B1753" t="s">
        <v>260</v>
      </c>
      <c r="C1753" t="s">
        <v>264</v>
      </c>
      <c r="D1753" t="s">
        <v>270</v>
      </c>
      <c r="E1753" t="s">
        <v>272</v>
      </c>
      <c r="F1753" t="s">
        <v>277</v>
      </c>
      <c r="G1753" s="7">
        <v>5</v>
      </c>
      <c r="H1753" s="3">
        <v>28951.79</v>
      </c>
      <c r="I1753" s="3">
        <v>144758.95000000001</v>
      </c>
    </row>
    <row r="1754" spans="1:9" x14ac:dyDescent="0.3">
      <c r="A1754" s="5" t="s">
        <v>49</v>
      </c>
      <c r="B1754" t="s">
        <v>254</v>
      </c>
      <c r="C1754" t="s">
        <v>265</v>
      </c>
      <c r="D1754" t="s">
        <v>269</v>
      </c>
      <c r="E1754" t="s">
        <v>271</v>
      </c>
      <c r="F1754" t="s">
        <v>281</v>
      </c>
      <c r="G1754" s="7">
        <v>6</v>
      </c>
      <c r="H1754" s="3">
        <v>8174.75</v>
      </c>
      <c r="I1754" s="3">
        <v>49048.5</v>
      </c>
    </row>
    <row r="1755" spans="1:9" x14ac:dyDescent="0.3">
      <c r="A1755" s="5" t="s">
        <v>50</v>
      </c>
      <c r="B1755" t="s">
        <v>255</v>
      </c>
      <c r="C1755" t="s">
        <v>262</v>
      </c>
      <c r="D1755" t="s">
        <v>266</v>
      </c>
      <c r="E1755" t="s">
        <v>274</v>
      </c>
      <c r="F1755" t="s">
        <v>284</v>
      </c>
      <c r="G1755" s="7">
        <v>8</v>
      </c>
      <c r="H1755" s="3">
        <v>31928.21</v>
      </c>
      <c r="I1755" s="3">
        <v>255425.68</v>
      </c>
    </row>
    <row r="1756" spans="1:9" x14ac:dyDescent="0.3">
      <c r="A1756" s="5" t="s">
        <v>50</v>
      </c>
      <c r="B1756" t="s">
        <v>260</v>
      </c>
      <c r="C1756" t="s">
        <v>264</v>
      </c>
      <c r="D1756" t="s">
        <v>269</v>
      </c>
      <c r="E1756" t="s">
        <v>273</v>
      </c>
      <c r="F1756" t="s">
        <v>288</v>
      </c>
      <c r="G1756" s="7">
        <v>1</v>
      </c>
      <c r="H1756" s="3">
        <v>41121.72</v>
      </c>
      <c r="I1756" s="3">
        <v>41121.72</v>
      </c>
    </row>
    <row r="1757" spans="1:9" x14ac:dyDescent="0.3">
      <c r="A1757" s="5" t="s">
        <v>50</v>
      </c>
      <c r="B1757" t="s">
        <v>256</v>
      </c>
      <c r="C1757" t="s">
        <v>263</v>
      </c>
      <c r="D1757" t="s">
        <v>267</v>
      </c>
      <c r="E1757" t="s">
        <v>274</v>
      </c>
      <c r="F1757" t="s">
        <v>287</v>
      </c>
      <c r="G1757" s="7">
        <v>4</v>
      </c>
      <c r="H1757" s="3">
        <v>38535.160000000003</v>
      </c>
      <c r="I1757" s="3">
        <v>154140.64000000001</v>
      </c>
    </row>
    <row r="1758" spans="1:9" x14ac:dyDescent="0.3">
      <c r="A1758" s="5" t="s">
        <v>50</v>
      </c>
      <c r="B1758" t="s">
        <v>253</v>
      </c>
      <c r="C1758" t="s">
        <v>262</v>
      </c>
      <c r="D1758" t="s">
        <v>269</v>
      </c>
      <c r="E1758" t="s">
        <v>271</v>
      </c>
      <c r="F1758" t="s">
        <v>285</v>
      </c>
      <c r="G1758" s="7">
        <v>1</v>
      </c>
      <c r="H1758" s="3">
        <v>7259.04</v>
      </c>
      <c r="I1758" s="3">
        <v>7259.04</v>
      </c>
    </row>
    <row r="1759" spans="1:9" x14ac:dyDescent="0.3">
      <c r="A1759" s="5" t="s">
        <v>50</v>
      </c>
      <c r="B1759" t="s">
        <v>259</v>
      </c>
      <c r="C1759" t="s">
        <v>262</v>
      </c>
      <c r="D1759" t="s">
        <v>268</v>
      </c>
      <c r="E1759" t="s">
        <v>272</v>
      </c>
      <c r="F1759" t="s">
        <v>276</v>
      </c>
      <c r="G1759" s="7">
        <v>9</v>
      </c>
      <c r="H1759" s="3">
        <v>33682.980000000003</v>
      </c>
      <c r="I1759" s="3">
        <v>303146.82</v>
      </c>
    </row>
    <row r="1760" spans="1:9" x14ac:dyDescent="0.3">
      <c r="A1760" s="5" t="s">
        <v>50</v>
      </c>
      <c r="B1760" t="s">
        <v>257</v>
      </c>
      <c r="C1760" t="s">
        <v>263</v>
      </c>
      <c r="D1760" t="s">
        <v>267</v>
      </c>
      <c r="E1760" t="s">
        <v>274</v>
      </c>
      <c r="F1760" t="s">
        <v>284</v>
      </c>
      <c r="G1760" s="7">
        <v>7</v>
      </c>
      <c r="H1760" s="3">
        <v>34517.49</v>
      </c>
      <c r="I1760" s="3">
        <v>241622.43</v>
      </c>
    </row>
    <row r="1761" spans="1:9" x14ac:dyDescent="0.3">
      <c r="A1761" s="5" t="s">
        <v>50</v>
      </c>
      <c r="B1761" t="s">
        <v>256</v>
      </c>
      <c r="C1761" t="s">
        <v>261</v>
      </c>
      <c r="D1761" t="s">
        <v>270</v>
      </c>
      <c r="E1761" t="s">
        <v>272</v>
      </c>
      <c r="F1761" t="s">
        <v>290</v>
      </c>
      <c r="G1761" s="7">
        <v>7</v>
      </c>
      <c r="H1761" s="3">
        <v>27514.57</v>
      </c>
      <c r="I1761" s="3">
        <v>192601.99</v>
      </c>
    </row>
    <row r="1762" spans="1:9" x14ac:dyDescent="0.3">
      <c r="A1762" s="5" t="s">
        <v>51</v>
      </c>
      <c r="B1762" t="s">
        <v>260</v>
      </c>
      <c r="C1762" t="s">
        <v>265</v>
      </c>
      <c r="D1762" t="s">
        <v>266</v>
      </c>
      <c r="E1762" t="s">
        <v>272</v>
      </c>
      <c r="F1762" t="s">
        <v>277</v>
      </c>
      <c r="G1762" s="7">
        <v>5</v>
      </c>
      <c r="H1762" s="3">
        <v>31898.240000000002</v>
      </c>
      <c r="I1762" s="3">
        <v>159491.20000000001</v>
      </c>
    </row>
    <row r="1763" spans="1:9" x14ac:dyDescent="0.3">
      <c r="A1763" s="5" t="s">
        <v>51</v>
      </c>
      <c r="B1763" t="s">
        <v>259</v>
      </c>
      <c r="C1763" t="s">
        <v>261</v>
      </c>
      <c r="D1763" t="s">
        <v>267</v>
      </c>
      <c r="E1763" t="s">
        <v>272</v>
      </c>
      <c r="F1763" t="s">
        <v>277</v>
      </c>
      <c r="G1763" s="7">
        <v>7</v>
      </c>
      <c r="H1763" s="3">
        <v>29486.82</v>
      </c>
      <c r="I1763" s="3">
        <v>206407.74</v>
      </c>
    </row>
    <row r="1764" spans="1:9" x14ac:dyDescent="0.3">
      <c r="A1764" s="5" t="s">
        <v>51</v>
      </c>
      <c r="B1764" t="s">
        <v>255</v>
      </c>
      <c r="C1764" t="s">
        <v>264</v>
      </c>
      <c r="D1764" t="s">
        <v>267</v>
      </c>
      <c r="E1764" t="s">
        <v>274</v>
      </c>
      <c r="F1764" t="s">
        <v>284</v>
      </c>
      <c r="G1764" s="7">
        <v>2</v>
      </c>
      <c r="H1764" s="3">
        <v>33588.589999999997</v>
      </c>
      <c r="I1764" s="3">
        <v>67177.179999999993</v>
      </c>
    </row>
    <row r="1765" spans="1:9" x14ac:dyDescent="0.3">
      <c r="A1765" s="5" t="s">
        <v>51</v>
      </c>
      <c r="B1765" t="s">
        <v>260</v>
      </c>
      <c r="C1765" t="s">
        <v>263</v>
      </c>
      <c r="D1765" t="s">
        <v>268</v>
      </c>
      <c r="E1765" t="s">
        <v>272</v>
      </c>
      <c r="F1765" t="s">
        <v>277</v>
      </c>
      <c r="G1765" s="7">
        <v>4</v>
      </c>
      <c r="H1765" s="3">
        <v>25033.59</v>
      </c>
      <c r="I1765" s="3">
        <v>100134.36</v>
      </c>
    </row>
    <row r="1766" spans="1:9" x14ac:dyDescent="0.3">
      <c r="A1766" s="5" t="s">
        <v>51</v>
      </c>
      <c r="B1766" t="s">
        <v>256</v>
      </c>
      <c r="C1766" t="s">
        <v>261</v>
      </c>
      <c r="D1766" t="s">
        <v>266</v>
      </c>
      <c r="E1766" t="s">
        <v>272</v>
      </c>
      <c r="F1766" t="s">
        <v>290</v>
      </c>
      <c r="G1766" s="7">
        <v>7</v>
      </c>
      <c r="H1766" s="3">
        <v>28162.58</v>
      </c>
      <c r="I1766" s="3">
        <v>197138.06</v>
      </c>
    </row>
    <row r="1767" spans="1:9" x14ac:dyDescent="0.3">
      <c r="A1767" s="5" t="s">
        <v>51</v>
      </c>
      <c r="B1767" t="s">
        <v>258</v>
      </c>
      <c r="C1767" t="s">
        <v>262</v>
      </c>
      <c r="D1767" t="s">
        <v>270</v>
      </c>
      <c r="E1767" t="s">
        <v>274</v>
      </c>
      <c r="F1767" t="s">
        <v>289</v>
      </c>
      <c r="G1767" s="7">
        <v>3</v>
      </c>
      <c r="H1767" s="3">
        <v>30285.62</v>
      </c>
      <c r="I1767" s="3">
        <v>90856.86</v>
      </c>
    </row>
    <row r="1768" spans="1:9" x14ac:dyDescent="0.3">
      <c r="A1768" s="5" t="s">
        <v>52</v>
      </c>
      <c r="B1768" t="s">
        <v>254</v>
      </c>
      <c r="C1768" t="s">
        <v>264</v>
      </c>
      <c r="D1768" t="s">
        <v>267</v>
      </c>
      <c r="E1768" t="s">
        <v>272</v>
      </c>
      <c r="F1768" t="s">
        <v>277</v>
      </c>
      <c r="G1768" s="7">
        <v>2</v>
      </c>
      <c r="H1768" s="3">
        <v>23975.79</v>
      </c>
      <c r="I1768" s="3">
        <v>47951.58</v>
      </c>
    </row>
    <row r="1769" spans="1:9" x14ac:dyDescent="0.3">
      <c r="A1769" s="5" t="s">
        <v>52</v>
      </c>
      <c r="B1769" t="s">
        <v>257</v>
      </c>
      <c r="C1769" t="s">
        <v>264</v>
      </c>
      <c r="D1769" t="s">
        <v>267</v>
      </c>
      <c r="E1769" t="s">
        <v>274</v>
      </c>
      <c r="F1769" t="s">
        <v>280</v>
      </c>
      <c r="G1769" s="7">
        <v>2</v>
      </c>
      <c r="H1769" s="3">
        <v>31809.279999999999</v>
      </c>
      <c r="I1769" s="3">
        <v>63618.559999999998</v>
      </c>
    </row>
    <row r="1770" spans="1:9" x14ac:dyDescent="0.3">
      <c r="A1770" s="5" t="s">
        <v>52</v>
      </c>
      <c r="B1770" t="s">
        <v>253</v>
      </c>
      <c r="C1770" t="s">
        <v>261</v>
      </c>
      <c r="D1770" t="s">
        <v>268</v>
      </c>
      <c r="E1770" t="s">
        <v>271</v>
      </c>
      <c r="F1770" t="s">
        <v>281</v>
      </c>
      <c r="G1770" s="7">
        <v>1</v>
      </c>
      <c r="H1770" s="3">
        <v>7530.4</v>
      </c>
      <c r="I1770" s="3">
        <v>7530.4</v>
      </c>
    </row>
    <row r="1771" spans="1:9" x14ac:dyDescent="0.3">
      <c r="A1771" s="5" t="s">
        <v>52</v>
      </c>
      <c r="B1771" t="s">
        <v>256</v>
      </c>
      <c r="C1771" t="s">
        <v>261</v>
      </c>
      <c r="D1771" t="s">
        <v>269</v>
      </c>
      <c r="E1771" t="s">
        <v>271</v>
      </c>
      <c r="F1771" t="s">
        <v>282</v>
      </c>
      <c r="G1771" s="7">
        <v>5</v>
      </c>
      <c r="H1771" s="3">
        <v>8098.22</v>
      </c>
      <c r="I1771" s="3">
        <v>40491.1</v>
      </c>
    </row>
    <row r="1772" spans="1:9" x14ac:dyDescent="0.3">
      <c r="A1772" s="5" t="s">
        <v>52</v>
      </c>
      <c r="B1772" t="s">
        <v>259</v>
      </c>
      <c r="C1772" t="s">
        <v>263</v>
      </c>
      <c r="D1772" t="s">
        <v>270</v>
      </c>
      <c r="E1772" t="s">
        <v>271</v>
      </c>
      <c r="F1772" t="s">
        <v>285</v>
      </c>
      <c r="G1772" s="7">
        <v>6</v>
      </c>
      <c r="H1772" s="3">
        <v>7539.56</v>
      </c>
      <c r="I1772" s="3">
        <v>45237.36</v>
      </c>
    </row>
    <row r="1773" spans="1:9" x14ac:dyDescent="0.3">
      <c r="A1773" s="5" t="s">
        <v>52</v>
      </c>
      <c r="B1773" t="s">
        <v>257</v>
      </c>
      <c r="C1773" t="s">
        <v>265</v>
      </c>
      <c r="D1773" t="s">
        <v>266</v>
      </c>
      <c r="E1773" t="s">
        <v>272</v>
      </c>
      <c r="F1773" t="s">
        <v>276</v>
      </c>
      <c r="G1773" s="7">
        <v>6</v>
      </c>
      <c r="H1773" s="3">
        <v>24930.55</v>
      </c>
      <c r="I1773" s="3">
        <v>149583.29999999999</v>
      </c>
    </row>
    <row r="1774" spans="1:9" x14ac:dyDescent="0.3">
      <c r="A1774" s="5" t="s">
        <v>53</v>
      </c>
      <c r="B1774" t="s">
        <v>257</v>
      </c>
      <c r="C1774" t="s">
        <v>261</v>
      </c>
      <c r="D1774" t="s">
        <v>267</v>
      </c>
      <c r="E1774" t="s">
        <v>273</v>
      </c>
      <c r="F1774" t="s">
        <v>283</v>
      </c>
      <c r="G1774" s="7">
        <v>9</v>
      </c>
      <c r="H1774" s="3">
        <v>41832.199999999997</v>
      </c>
      <c r="I1774" s="3">
        <v>376489.8</v>
      </c>
    </row>
    <row r="1775" spans="1:9" x14ac:dyDescent="0.3">
      <c r="A1775" s="5" t="s">
        <v>53</v>
      </c>
      <c r="B1775" t="s">
        <v>257</v>
      </c>
      <c r="C1775" t="s">
        <v>261</v>
      </c>
      <c r="D1775" t="s">
        <v>267</v>
      </c>
      <c r="E1775" t="s">
        <v>273</v>
      </c>
      <c r="F1775" t="s">
        <v>278</v>
      </c>
      <c r="G1775" s="7">
        <v>4</v>
      </c>
      <c r="H1775" s="3">
        <v>56247.29</v>
      </c>
      <c r="I1775" s="3">
        <v>224989.16</v>
      </c>
    </row>
    <row r="1776" spans="1:9" x14ac:dyDescent="0.3">
      <c r="A1776" s="5" t="s">
        <v>53</v>
      </c>
      <c r="B1776" t="s">
        <v>260</v>
      </c>
      <c r="C1776" t="s">
        <v>262</v>
      </c>
      <c r="D1776" t="s">
        <v>270</v>
      </c>
      <c r="E1776" t="s">
        <v>272</v>
      </c>
      <c r="F1776" t="s">
        <v>286</v>
      </c>
      <c r="G1776" s="7">
        <v>1</v>
      </c>
      <c r="H1776" s="3">
        <v>23824.46</v>
      </c>
      <c r="I1776" s="3">
        <v>23824.46</v>
      </c>
    </row>
    <row r="1777" spans="1:9" x14ac:dyDescent="0.3">
      <c r="A1777" s="5" t="s">
        <v>53</v>
      </c>
      <c r="B1777" t="s">
        <v>254</v>
      </c>
      <c r="C1777" t="s">
        <v>264</v>
      </c>
      <c r="D1777" t="s">
        <v>269</v>
      </c>
      <c r="E1777" t="s">
        <v>273</v>
      </c>
      <c r="F1777" t="s">
        <v>279</v>
      </c>
      <c r="G1777" s="7">
        <v>6</v>
      </c>
      <c r="H1777" s="3">
        <v>49746.11</v>
      </c>
      <c r="I1777" s="3">
        <v>298476.65999999997</v>
      </c>
    </row>
    <row r="1778" spans="1:9" x14ac:dyDescent="0.3">
      <c r="A1778" s="5" t="s">
        <v>53</v>
      </c>
      <c r="B1778" t="s">
        <v>260</v>
      </c>
      <c r="C1778" t="s">
        <v>265</v>
      </c>
      <c r="D1778" t="s">
        <v>267</v>
      </c>
      <c r="E1778" t="s">
        <v>274</v>
      </c>
      <c r="F1778" t="s">
        <v>280</v>
      </c>
      <c r="G1778" s="7">
        <v>5</v>
      </c>
      <c r="H1778" s="3">
        <v>29007.919999999998</v>
      </c>
      <c r="I1778" s="3">
        <v>145039.6</v>
      </c>
    </row>
    <row r="1779" spans="1:9" x14ac:dyDescent="0.3">
      <c r="A1779" s="5" t="s">
        <v>53</v>
      </c>
      <c r="B1779" t="s">
        <v>259</v>
      </c>
      <c r="C1779" t="s">
        <v>262</v>
      </c>
      <c r="D1779" t="s">
        <v>270</v>
      </c>
      <c r="E1779" t="s">
        <v>273</v>
      </c>
      <c r="F1779" t="s">
        <v>288</v>
      </c>
      <c r="G1779" s="7">
        <v>6</v>
      </c>
      <c r="H1779" s="3">
        <v>54821.31</v>
      </c>
      <c r="I1779" s="3">
        <v>328927.86</v>
      </c>
    </row>
    <row r="1780" spans="1:9" x14ac:dyDescent="0.3">
      <c r="A1780" s="5" t="s">
        <v>54</v>
      </c>
      <c r="B1780" t="s">
        <v>260</v>
      </c>
      <c r="C1780" t="s">
        <v>263</v>
      </c>
      <c r="D1780" t="s">
        <v>268</v>
      </c>
      <c r="E1780" t="s">
        <v>272</v>
      </c>
      <c r="F1780" t="s">
        <v>286</v>
      </c>
      <c r="G1780" s="7">
        <v>3</v>
      </c>
      <c r="H1780" s="3">
        <v>24848.69</v>
      </c>
      <c r="I1780" s="3">
        <v>74546.070000000007</v>
      </c>
    </row>
    <row r="1781" spans="1:9" x14ac:dyDescent="0.3">
      <c r="A1781" s="5" t="s">
        <v>54</v>
      </c>
      <c r="B1781" t="s">
        <v>258</v>
      </c>
      <c r="C1781" t="s">
        <v>263</v>
      </c>
      <c r="D1781" t="s">
        <v>269</v>
      </c>
      <c r="E1781" t="s">
        <v>272</v>
      </c>
      <c r="F1781" t="s">
        <v>276</v>
      </c>
      <c r="G1781" s="7">
        <v>2</v>
      </c>
      <c r="H1781" s="3">
        <v>34496.71</v>
      </c>
      <c r="I1781" s="3">
        <v>68993.42</v>
      </c>
    </row>
    <row r="1782" spans="1:9" x14ac:dyDescent="0.3">
      <c r="A1782" s="5" t="s">
        <v>54</v>
      </c>
      <c r="B1782" t="s">
        <v>254</v>
      </c>
      <c r="C1782" t="s">
        <v>261</v>
      </c>
      <c r="D1782" t="s">
        <v>266</v>
      </c>
      <c r="E1782" t="s">
        <v>274</v>
      </c>
      <c r="F1782" t="s">
        <v>284</v>
      </c>
      <c r="G1782" s="7">
        <v>6</v>
      </c>
      <c r="H1782" s="3">
        <v>35019.86</v>
      </c>
      <c r="I1782" s="3">
        <v>210119.16</v>
      </c>
    </row>
    <row r="1783" spans="1:9" x14ac:dyDescent="0.3">
      <c r="A1783" s="5" t="s">
        <v>54</v>
      </c>
      <c r="B1783" t="s">
        <v>254</v>
      </c>
      <c r="C1783" t="s">
        <v>261</v>
      </c>
      <c r="D1783" t="s">
        <v>267</v>
      </c>
      <c r="E1783" t="s">
        <v>271</v>
      </c>
      <c r="F1783" t="s">
        <v>281</v>
      </c>
      <c r="G1783" s="7">
        <v>1</v>
      </c>
      <c r="H1783" s="3">
        <v>7229.31</v>
      </c>
      <c r="I1783" s="3">
        <v>7229.31</v>
      </c>
    </row>
    <row r="1784" spans="1:9" x14ac:dyDescent="0.3">
      <c r="A1784" s="5" t="s">
        <v>54</v>
      </c>
      <c r="B1784" t="s">
        <v>259</v>
      </c>
      <c r="C1784" t="s">
        <v>263</v>
      </c>
      <c r="D1784" t="s">
        <v>270</v>
      </c>
      <c r="E1784" t="s">
        <v>272</v>
      </c>
      <c r="F1784" t="s">
        <v>277</v>
      </c>
      <c r="G1784" s="7">
        <v>7</v>
      </c>
      <c r="H1784" s="3">
        <v>33812.879999999997</v>
      </c>
      <c r="I1784" s="3">
        <v>236690.16</v>
      </c>
    </row>
    <row r="1785" spans="1:9" x14ac:dyDescent="0.3">
      <c r="A1785" s="5" t="s">
        <v>54</v>
      </c>
      <c r="B1785" t="s">
        <v>253</v>
      </c>
      <c r="C1785" t="s">
        <v>261</v>
      </c>
      <c r="D1785" t="s">
        <v>268</v>
      </c>
      <c r="E1785" t="s">
        <v>274</v>
      </c>
      <c r="F1785" t="s">
        <v>284</v>
      </c>
      <c r="G1785" s="7">
        <v>7</v>
      </c>
      <c r="H1785" s="3">
        <v>33877.910000000003</v>
      </c>
      <c r="I1785" s="3">
        <v>237145.37</v>
      </c>
    </row>
    <row r="1786" spans="1:9" x14ac:dyDescent="0.3">
      <c r="A1786" s="5" t="s">
        <v>55</v>
      </c>
      <c r="B1786" t="s">
        <v>258</v>
      </c>
      <c r="C1786" t="s">
        <v>265</v>
      </c>
      <c r="D1786" t="s">
        <v>266</v>
      </c>
      <c r="E1786" t="s">
        <v>273</v>
      </c>
      <c r="F1786" t="s">
        <v>278</v>
      </c>
      <c r="G1786" s="7">
        <v>7</v>
      </c>
      <c r="H1786" s="3">
        <v>42978.06</v>
      </c>
      <c r="I1786" s="3">
        <v>300846.42</v>
      </c>
    </row>
    <row r="1787" spans="1:9" x14ac:dyDescent="0.3">
      <c r="A1787" s="5" t="s">
        <v>55</v>
      </c>
      <c r="B1787" t="s">
        <v>256</v>
      </c>
      <c r="C1787" t="s">
        <v>261</v>
      </c>
      <c r="D1787" t="s">
        <v>270</v>
      </c>
      <c r="E1787" t="s">
        <v>273</v>
      </c>
      <c r="F1787" t="s">
        <v>278</v>
      </c>
      <c r="G1787" s="7">
        <v>1</v>
      </c>
      <c r="H1787" s="3">
        <v>52061.03</v>
      </c>
      <c r="I1787" s="3">
        <v>52061.03</v>
      </c>
    </row>
    <row r="1788" spans="1:9" x14ac:dyDescent="0.3">
      <c r="A1788" s="5" t="s">
        <v>55</v>
      </c>
      <c r="B1788" t="s">
        <v>260</v>
      </c>
      <c r="C1788" t="s">
        <v>264</v>
      </c>
      <c r="D1788" t="s">
        <v>270</v>
      </c>
      <c r="E1788" t="s">
        <v>274</v>
      </c>
      <c r="F1788" t="s">
        <v>287</v>
      </c>
      <c r="G1788" s="7">
        <v>4</v>
      </c>
      <c r="H1788" s="3">
        <v>39061.32</v>
      </c>
      <c r="I1788" s="3">
        <v>156245.28</v>
      </c>
    </row>
    <row r="1789" spans="1:9" x14ac:dyDescent="0.3">
      <c r="A1789" s="5" t="s">
        <v>55</v>
      </c>
      <c r="B1789" t="s">
        <v>255</v>
      </c>
      <c r="C1789" t="s">
        <v>261</v>
      </c>
      <c r="D1789" t="s">
        <v>266</v>
      </c>
      <c r="E1789" t="s">
        <v>274</v>
      </c>
      <c r="F1789" t="s">
        <v>287</v>
      </c>
      <c r="G1789" s="7">
        <v>7</v>
      </c>
      <c r="H1789" s="3">
        <v>33391.24</v>
      </c>
      <c r="I1789" s="3">
        <v>233738.68</v>
      </c>
    </row>
    <row r="1790" spans="1:9" x14ac:dyDescent="0.3">
      <c r="A1790" s="5" t="s">
        <v>55</v>
      </c>
      <c r="B1790" t="s">
        <v>260</v>
      </c>
      <c r="C1790" t="s">
        <v>262</v>
      </c>
      <c r="D1790" t="s">
        <v>268</v>
      </c>
      <c r="E1790" t="s">
        <v>272</v>
      </c>
      <c r="F1790" t="s">
        <v>277</v>
      </c>
      <c r="G1790" s="7">
        <v>9</v>
      </c>
      <c r="H1790" s="3">
        <v>27334.2</v>
      </c>
      <c r="I1790" s="3">
        <v>246007.8</v>
      </c>
    </row>
    <row r="1791" spans="1:9" x14ac:dyDescent="0.3">
      <c r="A1791" s="5" t="s">
        <v>55</v>
      </c>
      <c r="B1791" t="s">
        <v>257</v>
      </c>
      <c r="C1791" t="s">
        <v>265</v>
      </c>
      <c r="D1791" t="s">
        <v>268</v>
      </c>
      <c r="E1791" t="s">
        <v>273</v>
      </c>
      <c r="F1791" t="s">
        <v>279</v>
      </c>
      <c r="G1791" s="7">
        <v>5</v>
      </c>
      <c r="H1791" s="3">
        <v>52451.01</v>
      </c>
      <c r="I1791" s="3">
        <v>262255.05</v>
      </c>
    </row>
    <row r="1792" spans="1:9" x14ac:dyDescent="0.3">
      <c r="A1792" s="5" t="s">
        <v>56</v>
      </c>
      <c r="B1792" t="s">
        <v>260</v>
      </c>
      <c r="C1792" t="s">
        <v>262</v>
      </c>
      <c r="D1792" t="s">
        <v>269</v>
      </c>
      <c r="E1792" t="s">
        <v>274</v>
      </c>
      <c r="F1792" t="s">
        <v>289</v>
      </c>
      <c r="G1792" s="7">
        <v>2</v>
      </c>
      <c r="H1792" s="3">
        <v>35926.85</v>
      </c>
      <c r="I1792" s="3">
        <v>71853.7</v>
      </c>
    </row>
    <row r="1793" spans="1:9" x14ac:dyDescent="0.3">
      <c r="A1793" s="5" t="s">
        <v>56</v>
      </c>
      <c r="B1793" t="s">
        <v>256</v>
      </c>
      <c r="C1793" t="s">
        <v>262</v>
      </c>
      <c r="D1793" t="s">
        <v>267</v>
      </c>
      <c r="E1793" t="s">
        <v>273</v>
      </c>
      <c r="F1793" t="s">
        <v>283</v>
      </c>
      <c r="G1793" s="7">
        <v>7</v>
      </c>
      <c r="H1793" s="3">
        <v>54247.54</v>
      </c>
      <c r="I1793" s="3">
        <v>379732.78</v>
      </c>
    </row>
    <row r="1794" spans="1:9" x14ac:dyDescent="0.3">
      <c r="A1794" s="5" t="s">
        <v>56</v>
      </c>
      <c r="B1794" t="s">
        <v>260</v>
      </c>
      <c r="C1794" t="s">
        <v>264</v>
      </c>
      <c r="D1794" t="s">
        <v>266</v>
      </c>
      <c r="E1794" t="s">
        <v>274</v>
      </c>
      <c r="F1794" t="s">
        <v>287</v>
      </c>
      <c r="G1794" s="7">
        <v>1</v>
      </c>
      <c r="H1794" s="3">
        <v>36064.18</v>
      </c>
      <c r="I1794" s="3">
        <v>36064.18</v>
      </c>
    </row>
    <row r="1795" spans="1:9" x14ac:dyDescent="0.3">
      <c r="A1795" s="5" t="s">
        <v>56</v>
      </c>
      <c r="B1795" t="s">
        <v>258</v>
      </c>
      <c r="C1795" t="s">
        <v>265</v>
      </c>
      <c r="D1795" t="s">
        <v>266</v>
      </c>
      <c r="E1795" t="s">
        <v>273</v>
      </c>
      <c r="F1795" t="s">
        <v>278</v>
      </c>
      <c r="G1795" s="7">
        <v>7</v>
      </c>
      <c r="H1795" s="3">
        <v>42633.51</v>
      </c>
      <c r="I1795" s="3">
        <v>298434.57</v>
      </c>
    </row>
    <row r="1796" spans="1:9" x14ac:dyDescent="0.3">
      <c r="A1796" s="5" t="s">
        <v>56</v>
      </c>
      <c r="B1796" t="s">
        <v>258</v>
      </c>
      <c r="C1796" t="s">
        <v>265</v>
      </c>
      <c r="D1796" t="s">
        <v>266</v>
      </c>
      <c r="E1796" t="s">
        <v>271</v>
      </c>
      <c r="F1796" t="s">
        <v>282</v>
      </c>
      <c r="G1796" s="7">
        <v>6</v>
      </c>
      <c r="H1796" s="3">
        <v>10392.64</v>
      </c>
      <c r="I1796" s="3">
        <v>62355.839999999997</v>
      </c>
    </row>
    <row r="1797" spans="1:9" x14ac:dyDescent="0.3">
      <c r="A1797" s="5" t="s">
        <v>56</v>
      </c>
      <c r="B1797" t="s">
        <v>254</v>
      </c>
      <c r="C1797" t="s">
        <v>265</v>
      </c>
      <c r="D1797" t="s">
        <v>268</v>
      </c>
      <c r="E1797" t="s">
        <v>272</v>
      </c>
      <c r="F1797" t="s">
        <v>290</v>
      </c>
      <c r="G1797" s="7">
        <v>7</v>
      </c>
      <c r="H1797" s="3">
        <v>24974.16</v>
      </c>
      <c r="I1797" s="3">
        <v>174819.12</v>
      </c>
    </row>
    <row r="1798" spans="1:9" x14ac:dyDescent="0.3">
      <c r="A1798" s="5" t="s">
        <v>56</v>
      </c>
      <c r="B1798" t="s">
        <v>259</v>
      </c>
      <c r="C1798" t="s">
        <v>265</v>
      </c>
      <c r="D1798" t="s">
        <v>267</v>
      </c>
      <c r="E1798" t="s">
        <v>273</v>
      </c>
      <c r="F1798" t="s">
        <v>283</v>
      </c>
      <c r="G1798" s="7">
        <v>3</v>
      </c>
      <c r="H1798" s="3">
        <v>43072.97</v>
      </c>
      <c r="I1798" s="3">
        <v>129218.91</v>
      </c>
    </row>
    <row r="1799" spans="1:9" x14ac:dyDescent="0.3">
      <c r="A1799" s="5" t="s">
        <v>57</v>
      </c>
      <c r="B1799" t="s">
        <v>253</v>
      </c>
      <c r="C1799" t="s">
        <v>265</v>
      </c>
      <c r="D1799" t="s">
        <v>269</v>
      </c>
      <c r="E1799" t="s">
        <v>271</v>
      </c>
      <c r="F1799" t="s">
        <v>285</v>
      </c>
      <c r="G1799" s="7">
        <v>3</v>
      </c>
      <c r="H1799" s="3">
        <v>8993.66</v>
      </c>
      <c r="I1799" s="3">
        <v>26980.98</v>
      </c>
    </row>
    <row r="1800" spans="1:9" x14ac:dyDescent="0.3">
      <c r="A1800" s="5" t="s">
        <v>57</v>
      </c>
      <c r="B1800" t="s">
        <v>255</v>
      </c>
      <c r="C1800" t="s">
        <v>264</v>
      </c>
      <c r="D1800" t="s">
        <v>270</v>
      </c>
      <c r="E1800" t="s">
        <v>273</v>
      </c>
      <c r="F1800" t="s">
        <v>279</v>
      </c>
      <c r="G1800" s="7">
        <v>7</v>
      </c>
      <c r="H1800" s="3">
        <v>48433.36</v>
      </c>
      <c r="I1800" s="3">
        <v>339033.52</v>
      </c>
    </row>
    <row r="1801" spans="1:9" x14ac:dyDescent="0.3">
      <c r="A1801" s="5" t="s">
        <v>57</v>
      </c>
      <c r="B1801" t="s">
        <v>257</v>
      </c>
      <c r="C1801" t="s">
        <v>261</v>
      </c>
      <c r="D1801" t="s">
        <v>270</v>
      </c>
      <c r="E1801" t="s">
        <v>273</v>
      </c>
      <c r="F1801" t="s">
        <v>279</v>
      </c>
      <c r="G1801" s="7">
        <v>2</v>
      </c>
      <c r="H1801" s="3">
        <v>38525.589999999997</v>
      </c>
      <c r="I1801" s="3">
        <v>77051.179999999993</v>
      </c>
    </row>
    <row r="1802" spans="1:9" x14ac:dyDescent="0.3">
      <c r="A1802" s="5" t="s">
        <v>57</v>
      </c>
      <c r="B1802" t="s">
        <v>260</v>
      </c>
      <c r="C1802" t="s">
        <v>262</v>
      </c>
      <c r="D1802" t="s">
        <v>266</v>
      </c>
      <c r="E1802" t="s">
        <v>271</v>
      </c>
      <c r="F1802" t="s">
        <v>281</v>
      </c>
      <c r="G1802" s="7">
        <v>1</v>
      </c>
      <c r="H1802" s="3">
        <v>9878.9500000000007</v>
      </c>
      <c r="I1802" s="3">
        <v>9878.9500000000007</v>
      </c>
    </row>
    <row r="1803" spans="1:9" x14ac:dyDescent="0.3">
      <c r="A1803" s="5" t="s">
        <v>57</v>
      </c>
      <c r="B1803" t="s">
        <v>260</v>
      </c>
      <c r="C1803" t="s">
        <v>265</v>
      </c>
      <c r="D1803" t="s">
        <v>267</v>
      </c>
      <c r="E1803" t="s">
        <v>273</v>
      </c>
      <c r="F1803" t="s">
        <v>278</v>
      </c>
      <c r="G1803" s="7">
        <v>9</v>
      </c>
      <c r="H1803" s="3">
        <v>44758.93</v>
      </c>
      <c r="I1803" s="3">
        <v>402830.37</v>
      </c>
    </row>
    <row r="1804" spans="1:9" x14ac:dyDescent="0.3">
      <c r="A1804" s="5" t="s">
        <v>57</v>
      </c>
      <c r="B1804" t="s">
        <v>256</v>
      </c>
      <c r="C1804" t="s">
        <v>261</v>
      </c>
      <c r="D1804" t="s">
        <v>268</v>
      </c>
      <c r="E1804" t="s">
        <v>273</v>
      </c>
      <c r="F1804" t="s">
        <v>283</v>
      </c>
      <c r="G1804" s="7">
        <v>9</v>
      </c>
      <c r="H1804" s="3">
        <v>45565.53</v>
      </c>
      <c r="I1804" s="3">
        <v>410089.77</v>
      </c>
    </row>
    <row r="1805" spans="1:9" x14ac:dyDescent="0.3">
      <c r="A1805" s="5" t="s">
        <v>58</v>
      </c>
      <c r="B1805" t="s">
        <v>259</v>
      </c>
      <c r="C1805" t="s">
        <v>261</v>
      </c>
      <c r="D1805" t="s">
        <v>267</v>
      </c>
      <c r="E1805" t="s">
        <v>272</v>
      </c>
      <c r="F1805" t="s">
        <v>290</v>
      </c>
      <c r="G1805" s="7">
        <v>7</v>
      </c>
      <c r="H1805" s="3">
        <v>32864.94</v>
      </c>
      <c r="I1805" s="3">
        <v>230054.58</v>
      </c>
    </row>
    <row r="1806" spans="1:9" x14ac:dyDescent="0.3">
      <c r="A1806" s="5" t="s">
        <v>58</v>
      </c>
      <c r="B1806" t="s">
        <v>258</v>
      </c>
      <c r="C1806" t="s">
        <v>262</v>
      </c>
      <c r="D1806" t="s">
        <v>267</v>
      </c>
      <c r="E1806" t="s">
        <v>271</v>
      </c>
      <c r="F1806" t="s">
        <v>282</v>
      </c>
      <c r="G1806" s="7">
        <v>7</v>
      </c>
      <c r="H1806" s="3">
        <v>8514.56</v>
      </c>
      <c r="I1806" s="3">
        <v>59601.919999999998</v>
      </c>
    </row>
    <row r="1807" spans="1:9" x14ac:dyDescent="0.3">
      <c r="A1807" s="5" t="s">
        <v>58</v>
      </c>
      <c r="B1807" t="s">
        <v>255</v>
      </c>
      <c r="C1807" t="s">
        <v>264</v>
      </c>
      <c r="D1807" t="s">
        <v>268</v>
      </c>
      <c r="E1807" t="s">
        <v>271</v>
      </c>
      <c r="F1807" t="s">
        <v>275</v>
      </c>
      <c r="G1807" s="7">
        <v>3</v>
      </c>
      <c r="H1807" s="3">
        <v>7385.56</v>
      </c>
      <c r="I1807" s="3">
        <v>22156.68</v>
      </c>
    </row>
    <row r="1808" spans="1:9" x14ac:dyDescent="0.3">
      <c r="A1808" s="5" t="s">
        <v>58</v>
      </c>
      <c r="B1808" t="s">
        <v>254</v>
      </c>
      <c r="C1808" t="s">
        <v>263</v>
      </c>
      <c r="D1808" t="s">
        <v>266</v>
      </c>
      <c r="E1808" t="s">
        <v>274</v>
      </c>
      <c r="F1808" t="s">
        <v>280</v>
      </c>
      <c r="G1808" s="7">
        <v>2</v>
      </c>
      <c r="H1808" s="3">
        <v>29458.43</v>
      </c>
      <c r="I1808" s="3">
        <v>58916.86</v>
      </c>
    </row>
    <row r="1809" spans="1:9" x14ac:dyDescent="0.3">
      <c r="A1809" s="5" t="s">
        <v>58</v>
      </c>
      <c r="B1809" t="s">
        <v>258</v>
      </c>
      <c r="C1809" t="s">
        <v>263</v>
      </c>
      <c r="D1809" t="s">
        <v>267</v>
      </c>
      <c r="E1809" t="s">
        <v>273</v>
      </c>
      <c r="F1809" t="s">
        <v>288</v>
      </c>
      <c r="G1809" s="7">
        <v>7</v>
      </c>
      <c r="H1809" s="3">
        <v>55456.26</v>
      </c>
      <c r="I1809" s="3">
        <v>388193.82</v>
      </c>
    </row>
    <row r="1810" spans="1:9" x14ac:dyDescent="0.3">
      <c r="A1810" s="5" t="s">
        <v>58</v>
      </c>
      <c r="B1810" t="s">
        <v>257</v>
      </c>
      <c r="C1810" t="s">
        <v>261</v>
      </c>
      <c r="D1810" t="s">
        <v>270</v>
      </c>
      <c r="E1810" t="s">
        <v>272</v>
      </c>
      <c r="F1810" t="s">
        <v>286</v>
      </c>
      <c r="G1810" s="7">
        <v>9</v>
      </c>
      <c r="H1810" s="3">
        <v>24588.54</v>
      </c>
      <c r="I1810" s="3">
        <v>221296.86</v>
      </c>
    </row>
    <row r="1811" spans="1:9" x14ac:dyDescent="0.3">
      <c r="A1811" s="5" t="s">
        <v>59</v>
      </c>
      <c r="B1811" t="s">
        <v>259</v>
      </c>
      <c r="C1811" t="s">
        <v>262</v>
      </c>
      <c r="D1811" t="s">
        <v>268</v>
      </c>
      <c r="E1811" t="s">
        <v>273</v>
      </c>
      <c r="F1811" t="s">
        <v>283</v>
      </c>
      <c r="G1811" s="7">
        <v>1</v>
      </c>
      <c r="H1811" s="3">
        <v>44638.76</v>
      </c>
      <c r="I1811" s="3">
        <v>44638.76</v>
      </c>
    </row>
    <row r="1812" spans="1:9" x14ac:dyDescent="0.3">
      <c r="A1812" s="5" t="s">
        <v>59</v>
      </c>
      <c r="B1812" t="s">
        <v>257</v>
      </c>
      <c r="C1812" t="s">
        <v>263</v>
      </c>
      <c r="D1812" t="s">
        <v>269</v>
      </c>
      <c r="E1812" t="s">
        <v>273</v>
      </c>
      <c r="F1812" t="s">
        <v>283</v>
      </c>
      <c r="G1812" s="7">
        <v>4</v>
      </c>
      <c r="H1812" s="3">
        <v>47307.23</v>
      </c>
      <c r="I1812" s="3">
        <v>189228.92</v>
      </c>
    </row>
    <row r="1813" spans="1:9" x14ac:dyDescent="0.3">
      <c r="A1813" s="5" t="s">
        <v>59</v>
      </c>
      <c r="B1813" t="s">
        <v>253</v>
      </c>
      <c r="C1813" t="s">
        <v>261</v>
      </c>
      <c r="D1813" t="s">
        <v>266</v>
      </c>
      <c r="E1813" t="s">
        <v>274</v>
      </c>
      <c r="F1813" t="s">
        <v>289</v>
      </c>
      <c r="G1813" s="7">
        <v>6</v>
      </c>
      <c r="H1813" s="3">
        <v>33513.99</v>
      </c>
      <c r="I1813" s="3">
        <v>201083.94</v>
      </c>
    </row>
    <row r="1814" spans="1:9" x14ac:dyDescent="0.3">
      <c r="A1814" s="5" t="s">
        <v>59</v>
      </c>
      <c r="B1814" t="s">
        <v>254</v>
      </c>
      <c r="C1814" t="s">
        <v>264</v>
      </c>
      <c r="D1814" t="s">
        <v>268</v>
      </c>
      <c r="E1814" t="s">
        <v>273</v>
      </c>
      <c r="F1814" t="s">
        <v>278</v>
      </c>
      <c r="G1814" s="7">
        <v>7</v>
      </c>
      <c r="H1814" s="3">
        <v>38321.279999999999</v>
      </c>
      <c r="I1814" s="3">
        <v>268248.96000000002</v>
      </c>
    </row>
    <row r="1815" spans="1:9" x14ac:dyDescent="0.3">
      <c r="A1815" s="5" t="s">
        <v>59</v>
      </c>
      <c r="B1815" t="s">
        <v>253</v>
      </c>
      <c r="C1815" t="s">
        <v>263</v>
      </c>
      <c r="D1815" t="s">
        <v>269</v>
      </c>
      <c r="E1815" t="s">
        <v>272</v>
      </c>
      <c r="F1815" t="s">
        <v>286</v>
      </c>
      <c r="G1815" s="7">
        <v>7</v>
      </c>
      <c r="H1815" s="3">
        <v>29413.02</v>
      </c>
      <c r="I1815" s="3">
        <v>205891.14</v>
      </c>
    </row>
    <row r="1816" spans="1:9" x14ac:dyDescent="0.3">
      <c r="A1816" s="5" t="s">
        <v>59</v>
      </c>
      <c r="B1816" t="s">
        <v>256</v>
      </c>
      <c r="C1816" t="s">
        <v>261</v>
      </c>
      <c r="D1816" t="s">
        <v>269</v>
      </c>
      <c r="E1816" t="s">
        <v>272</v>
      </c>
      <c r="F1816" t="s">
        <v>277</v>
      </c>
      <c r="G1816" s="7">
        <v>2</v>
      </c>
      <c r="H1816" s="3">
        <v>28098.25</v>
      </c>
      <c r="I1816" s="3">
        <v>56196.5</v>
      </c>
    </row>
    <row r="1817" spans="1:9" x14ac:dyDescent="0.3">
      <c r="A1817" s="5" t="s">
        <v>60</v>
      </c>
      <c r="B1817" t="s">
        <v>257</v>
      </c>
      <c r="C1817" t="s">
        <v>261</v>
      </c>
      <c r="D1817" t="s">
        <v>267</v>
      </c>
      <c r="E1817" t="s">
        <v>274</v>
      </c>
      <c r="F1817" t="s">
        <v>289</v>
      </c>
      <c r="G1817" s="7">
        <v>4</v>
      </c>
      <c r="H1817" s="3">
        <v>39642.620000000003</v>
      </c>
      <c r="I1817" s="3">
        <v>158570.48000000001</v>
      </c>
    </row>
    <row r="1818" spans="1:9" x14ac:dyDescent="0.3">
      <c r="A1818" s="5" t="s">
        <v>60</v>
      </c>
      <c r="B1818" t="s">
        <v>256</v>
      </c>
      <c r="C1818" t="s">
        <v>265</v>
      </c>
      <c r="D1818" t="s">
        <v>267</v>
      </c>
      <c r="E1818" t="s">
        <v>273</v>
      </c>
      <c r="F1818" t="s">
        <v>278</v>
      </c>
      <c r="G1818" s="7">
        <v>5</v>
      </c>
      <c r="H1818" s="3">
        <v>41114.86</v>
      </c>
      <c r="I1818" s="3">
        <v>205574.3</v>
      </c>
    </row>
    <row r="1819" spans="1:9" x14ac:dyDescent="0.3">
      <c r="A1819" s="5" t="s">
        <v>60</v>
      </c>
      <c r="B1819" t="s">
        <v>260</v>
      </c>
      <c r="C1819" t="s">
        <v>264</v>
      </c>
      <c r="D1819" t="s">
        <v>267</v>
      </c>
      <c r="E1819" t="s">
        <v>272</v>
      </c>
      <c r="F1819" t="s">
        <v>276</v>
      </c>
      <c r="G1819" s="7">
        <v>1</v>
      </c>
      <c r="H1819" s="3">
        <v>27766.53</v>
      </c>
      <c r="I1819" s="3">
        <v>27766.53</v>
      </c>
    </row>
    <row r="1820" spans="1:9" x14ac:dyDescent="0.3">
      <c r="A1820" s="5" t="s">
        <v>60</v>
      </c>
      <c r="B1820" t="s">
        <v>253</v>
      </c>
      <c r="C1820" t="s">
        <v>265</v>
      </c>
      <c r="D1820" t="s">
        <v>268</v>
      </c>
      <c r="E1820" t="s">
        <v>273</v>
      </c>
      <c r="F1820" t="s">
        <v>279</v>
      </c>
      <c r="G1820" s="7">
        <v>1</v>
      </c>
      <c r="H1820" s="3">
        <v>45800.67</v>
      </c>
      <c r="I1820" s="3">
        <v>45800.67</v>
      </c>
    </row>
    <row r="1821" spans="1:9" x14ac:dyDescent="0.3">
      <c r="A1821" s="5" t="s">
        <v>60</v>
      </c>
      <c r="B1821" t="s">
        <v>259</v>
      </c>
      <c r="C1821" t="s">
        <v>262</v>
      </c>
      <c r="D1821" t="s">
        <v>268</v>
      </c>
      <c r="E1821" t="s">
        <v>273</v>
      </c>
      <c r="F1821" t="s">
        <v>288</v>
      </c>
      <c r="G1821" s="7">
        <v>3</v>
      </c>
      <c r="H1821" s="3">
        <v>45282.48</v>
      </c>
      <c r="I1821" s="3">
        <v>135847.44</v>
      </c>
    </row>
    <row r="1822" spans="1:9" x14ac:dyDescent="0.3">
      <c r="A1822" s="5" t="s">
        <v>60</v>
      </c>
      <c r="B1822" t="s">
        <v>257</v>
      </c>
      <c r="C1822" t="s">
        <v>265</v>
      </c>
      <c r="D1822" t="s">
        <v>266</v>
      </c>
      <c r="E1822" t="s">
        <v>273</v>
      </c>
      <c r="F1822" t="s">
        <v>278</v>
      </c>
      <c r="G1822" s="7">
        <v>3</v>
      </c>
      <c r="H1822" s="3">
        <v>50234.95</v>
      </c>
      <c r="I1822" s="3">
        <v>150704.85</v>
      </c>
    </row>
    <row r="1823" spans="1:9" x14ac:dyDescent="0.3">
      <c r="A1823" s="5" t="s">
        <v>61</v>
      </c>
      <c r="B1823" t="s">
        <v>255</v>
      </c>
      <c r="C1823" t="s">
        <v>265</v>
      </c>
      <c r="D1823" t="s">
        <v>267</v>
      </c>
      <c r="E1823" t="s">
        <v>274</v>
      </c>
      <c r="F1823" t="s">
        <v>287</v>
      </c>
      <c r="G1823" s="7">
        <v>8</v>
      </c>
      <c r="H1823" s="3">
        <v>29958.560000000001</v>
      </c>
      <c r="I1823" s="3">
        <v>239668.48000000001</v>
      </c>
    </row>
    <row r="1824" spans="1:9" x14ac:dyDescent="0.3">
      <c r="A1824" s="5" t="s">
        <v>61</v>
      </c>
      <c r="B1824" t="s">
        <v>254</v>
      </c>
      <c r="C1824" t="s">
        <v>263</v>
      </c>
      <c r="D1824" t="s">
        <v>269</v>
      </c>
      <c r="E1824" t="s">
        <v>273</v>
      </c>
      <c r="F1824" t="s">
        <v>288</v>
      </c>
      <c r="G1824" s="7">
        <v>9</v>
      </c>
      <c r="H1824" s="3">
        <v>42229.29</v>
      </c>
      <c r="I1824" s="3">
        <v>380063.61</v>
      </c>
    </row>
    <row r="1825" spans="1:9" x14ac:dyDescent="0.3">
      <c r="A1825" s="5" t="s">
        <v>61</v>
      </c>
      <c r="B1825" t="s">
        <v>258</v>
      </c>
      <c r="C1825" t="s">
        <v>261</v>
      </c>
      <c r="D1825" t="s">
        <v>270</v>
      </c>
      <c r="E1825" t="s">
        <v>272</v>
      </c>
      <c r="F1825" t="s">
        <v>286</v>
      </c>
      <c r="G1825" s="7">
        <v>1</v>
      </c>
      <c r="H1825" s="3">
        <v>31967.16</v>
      </c>
      <c r="I1825" s="3">
        <v>31967.16</v>
      </c>
    </row>
    <row r="1826" spans="1:9" x14ac:dyDescent="0.3">
      <c r="A1826" s="5" t="s">
        <v>61</v>
      </c>
      <c r="B1826" t="s">
        <v>259</v>
      </c>
      <c r="C1826" t="s">
        <v>264</v>
      </c>
      <c r="D1826" t="s">
        <v>266</v>
      </c>
      <c r="E1826" t="s">
        <v>273</v>
      </c>
      <c r="F1826" t="s">
        <v>278</v>
      </c>
      <c r="G1826" s="7">
        <v>2</v>
      </c>
      <c r="H1826" s="3">
        <v>47255.23</v>
      </c>
      <c r="I1826" s="3">
        <v>94510.46</v>
      </c>
    </row>
    <row r="1827" spans="1:9" x14ac:dyDescent="0.3">
      <c r="A1827" s="5" t="s">
        <v>61</v>
      </c>
      <c r="B1827" t="s">
        <v>259</v>
      </c>
      <c r="C1827" t="s">
        <v>265</v>
      </c>
      <c r="D1827" t="s">
        <v>268</v>
      </c>
      <c r="E1827" t="s">
        <v>272</v>
      </c>
      <c r="F1827" t="s">
        <v>277</v>
      </c>
      <c r="G1827" s="7">
        <v>2</v>
      </c>
      <c r="H1827" s="3">
        <v>28449.74</v>
      </c>
      <c r="I1827" s="3">
        <v>56899.48</v>
      </c>
    </row>
    <row r="1828" spans="1:9" x14ac:dyDescent="0.3">
      <c r="A1828" s="5" t="s">
        <v>61</v>
      </c>
      <c r="B1828" t="s">
        <v>256</v>
      </c>
      <c r="C1828" t="s">
        <v>264</v>
      </c>
      <c r="D1828" t="s">
        <v>266</v>
      </c>
      <c r="E1828" t="s">
        <v>273</v>
      </c>
      <c r="F1828" t="s">
        <v>288</v>
      </c>
      <c r="G1828" s="7">
        <v>4</v>
      </c>
      <c r="H1828" s="3">
        <v>41295.65</v>
      </c>
      <c r="I1828" s="3">
        <v>165182.6</v>
      </c>
    </row>
    <row r="1829" spans="1:9" x14ac:dyDescent="0.3">
      <c r="A1829" s="5" t="s">
        <v>62</v>
      </c>
      <c r="B1829" t="s">
        <v>253</v>
      </c>
      <c r="C1829" t="s">
        <v>265</v>
      </c>
      <c r="D1829" t="s">
        <v>266</v>
      </c>
      <c r="E1829" t="s">
        <v>272</v>
      </c>
      <c r="F1829" t="s">
        <v>277</v>
      </c>
      <c r="G1829" s="7">
        <v>2</v>
      </c>
      <c r="H1829" s="3">
        <v>25900.3</v>
      </c>
      <c r="I1829" s="3">
        <v>51800.6</v>
      </c>
    </row>
    <row r="1830" spans="1:9" x14ac:dyDescent="0.3">
      <c r="A1830" s="5" t="s">
        <v>62</v>
      </c>
      <c r="B1830" t="s">
        <v>257</v>
      </c>
      <c r="C1830" t="s">
        <v>262</v>
      </c>
      <c r="D1830" t="s">
        <v>266</v>
      </c>
      <c r="E1830" t="s">
        <v>272</v>
      </c>
      <c r="F1830" t="s">
        <v>277</v>
      </c>
      <c r="G1830" s="7">
        <v>7</v>
      </c>
      <c r="H1830" s="3">
        <v>23918.18</v>
      </c>
      <c r="I1830" s="3">
        <v>167427.26</v>
      </c>
    </row>
    <row r="1831" spans="1:9" x14ac:dyDescent="0.3">
      <c r="A1831" s="5" t="s">
        <v>62</v>
      </c>
      <c r="B1831" t="s">
        <v>257</v>
      </c>
      <c r="C1831" t="s">
        <v>265</v>
      </c>
      <c r="D1831" t="s">
        <v>266</v>
      </c>
      <c r="E1831" t="s">
        <v>273</v>
      </c>
      <c r="F1831" t="s">
        <v>279</v>
      </c>
      <c r="G1831" s="7">
        <v>9</v>
      </c>
      <c r="H1831" s="3">
        <v>39895.67</v>
      </c>
      <c r="I1831" s="3">
        <v>359061.03</v>
      </c>
    </row>
    <row r="1832" spans="1:9" x14ac:dyDescent="0.3">
      <c r="A1832" s="5" t="s">
        <v>62</v>
      </c>
      <c r="B1832" t="s">
        <v>260</v>
      </c>
      <c r="C1832" t="s">
        <v>263</v>
      </c>
      <c r="D1832" t="s">
        <v>270</v>
      </c>
      <c r="E1832" t="s">
        <v>273</v>
      </c>
      <c r="F1832" t="s">
        <v>283</v>
      </c>
      <c r="G1832" s="7">
        <v>7</v>
      </c>
      <c r="H1832" s="3">
        <v>48273.1</v>
      </c>
      <c r="I1832" s="3">
        <v>337911.7</v>
      </c>
    </row>
    <row r="1833" spans="1:9" x14ac:dyDescent="0.3">
      <c r="A1833" s="5" t="s">
        <v>62</v>
      </c>
      <c r="B1833" t="s">
        <v>260</v>
      </c>
      <c r="C1833" t="s">
        <v>261</v>
      </c>
      <c r="D1833" t="s">
        <v>267</v>
      </c>
      <c r="E1833" t="s">
        <v>272</v>
      </c>
      <c r="F1833" t="s">
        <v>290</v>
      </c>
      <c r="G1833" s="7">
        <v>6</v>
      </c>
      <c r="H1833" s="3">
        <v>33788.980000000003</v>
      </c>
      <c r="I1833" s="3">
        <v>202733.88</v>
      </c>
    </row>
    <row r="1834" spans="1:9" x14ac:dyDescent="0.3">
      <c r="A1834" s="5" t="s">
        <v>62</v>
      </c>
      <c r="B1834" t="s">
        <v>254</v>
      </c>
      <c r="C1834" t="s">
        <v>262</v>
      </c>
      <c r="D1834" t="s">
        <v>269</v>
      </c>
      <c r="E1834" t="s">
        <v>271</v>
      </c>
      <c r="F1834" t="s">
        <v>275</v>
      </c>
      <c r="G1834" s="7">
        <v>1</v>
      </c>
      <c r="H1834" s="3">
        <v>8201.36</v>
      </c>
      <c r="I1834" s="3">
        <v>8201.36</v>
      </c>
    </row>
    <row r="1835" spans="1:9" x14ac:dyDescent="0.3">
      <c r="A1835" s="5" t="s">
        <v>62</v>
      </c>
      <c r="B1835" t="s">
        <v>256</v>
      </c>
      <c r="C1835" t="s">
        <v>265</v>
      </c>
      <c r="D1835" t="s">
        <v>266</v>
      </c>
      <c r="E1835" t="s">
        <v>274</v>
      </c>
      <c r="F1835" t="s">
        <v>287</v>
      </c>
      <c r="G1835" s="7">
        <v>9</v>
      </c>
      <c r="H1835" s="3">
        <v>31395.16</v>
      </c>
      <c r="I1835" s="3">
        <v>282556.44</v>
      </c>
    </row>
    <row r="1836" spans="1:9" x14ac:dyDescent="0.3">
      <c r="A1836" s="5" t="s">
        <v>63</v>
      </c>
      <c r="B1836" t="s">
        <v>259</v>
      </c>
      <c r="C1836" t="s">
        <v>264</v>
      </c>
      <c r="D1836" t="s">
        <v>266</v>
      </c>
      <c r="E1836" t="s">
        <v>271</v>
      </c>
      <c r="F1836" t="s">
        <v>275</v>
      </c>
      <c r="G1836" s="7">
        <v>5</v>
      </c>
      <c r="H1836" s="3">
        <v>7618.06</v>
      </c>
      <c r="I1836" s="3">
        <v>38090.300000000003</v>
      </c>
    </row>
    <row r="1837" spans="1:9" x14ac:dyDescent="0.3">
      <c r="A1837" s="5" t="s">
        <v>63</v>
      </c>
      <c r="B1837" t="s">
        <v>257</v>
      </c>
      <c r="C1837" t="s">
        <v>262</v>
      </c>
      <c r="D1837" t="s">
        <v>266</v>
      </c>
      <c r="E1837" t="s">
        <v>271</v>
      </c>
      <c r="F1837" t="s">
        <v>282</v>
      </c>
      <c r="G1837" s="7">
        <v>5</v>
      </c>
      <c r="H1837" s="3">
        <v>8546.35</v>
      </c>
      <c r="I1837" s="3">
        <v>42731.75</v>
      </c>
    </row>
    <row r="1838" spans="1:9" x14ac:dyDescent="0.3">
      <c r="A1838" s="5" t="s">
        <v>63</v>
      </c>
      <c r="B1838" t="s">
        <v>255</v>
      </c>
      <c r="C1838" t="s">
        <v>262</v>
      </c>
      <c r="D1838" t="s">
        <v>267</v>
      </c>
      <c r="E1838" t="s">
        <v>273</v>
      </c>
      <c r="F1838" t="s">
        <v>288</v>
      </c>
      <c r="G1838" s="7">
        <v>6</v>
      </c>
      <c r="H1838" s="3">
        <v>38919.99</v>
      </c>
      <c r="I1838" s="3">
        <v>233519.94</v>
      </c>
    </row>
    <row r="1839" spans="1:9" x14ac:dyDescent="0.3">
      <c r="A1839" s="5" t="s">
        <v>63</v>
      </c>
      <c r="B1839" t="s">
        <v>256</v>
      </c>
      <c r="C1839" t="s">
        <v>265</v>
      </c>
      <c r="D1839" t="s">
        <v>268</v>
      </c>
      <c r="E1839" t="s">
        <v>274</v>
      </c>
      <c r="F1839" t="s">
        <v>280</v>
      </c>
      <c r="G1839" s="7">
        <v>9</v>
      </c>
      <c r="H1839" s="3">
        <v>38945.29</v>
      </c>
      <c r="I1839" s="3">
        <v>350507.61</v>
      </c>
    </row>
    <row r="1840" spans="1:9" x14ac:dyDescent="0.3">
      <c r="A1840" s="5" t="s">
        <v>63</v>
      </c>
      <c r="B1840" t="s">
        <v>254</v>
      </c>
      <c r="C1840" t="s">
        <v>262</v>
      </c>
      <c r="D1840" t="s">
        <v>268</v>
      </c>
      <c r="E1840" t="s">
        <v>271</v>
      </c>
      <c r="F1840" t="s">
        <v>275</v>
      </c>
      <c r="G1840" s="7">
        <v>8</v>
      </c>
      <c r="H1840" s="3">
        <v>9513.58</v>
      </c>
      <c r="I1840" s="3">
        <v>76108.639999999999</v>
      </c>
    </row>
    <row r="1841" spans="1:9" x14ac:dyDescent="0.3">
      <c r="A1841" s="5" t="s">
        <v>63</v>
      </c>
      <c r="B1841" t="s">
        <v>254</v>
      </c>
      <c r="C1841" t="s">
        <v>264</v>
      </c>
      <c r="D1841" t="s">
        <v>270</v>
      </c>
      <c r="E1841" t="s">
        <v>273</v>
      </c>
      <c r="F1841" t="s">
        <v>279</v>
      </c>
      <c r="G1841" s="7">
        <v>8</v>
      </c>
      <c r="H1841" s="3">
        <v>56083.48</v>
      </c>
      <c r="I1841" s="3">
        <v>448667.84</v>
      </c>
    </row>
    <row r="1842" spans="1:9" x14ac:dyDescent="0.3">
      <c r="A1842" s="5" t="s">
        <v>64</v>
      </c>
      <c r="B1842" t="s">
        <v>256</v>
      </c>
      <c r="C1842" t="s">
        <v>262</v>
      </c>
      <c r="D1842" t="s">
        <v>268</v>
      </c>
      <c r="E1842" t="s">
        <v>271</v>
      </c>
      <c r="F1842" t="s">
        <v>285</v>
      </c>
      <c r="G1842" s="7">
        <v>8</v>
      </c>
      <c r="H1842" s="3">
        <v>10226.6</v>
      </c>
      <c r="I1842" s="3">
        <v>81812.800000000003</v>
      </c>
    </row>
    <row r="1843" spans="1:9" x14ac:dyDescent="0.3">
      <c r="A1843" s="5" t="s">
        <v>64</v>
      </c>
      <c r="B1843" t="s">
        <v>254</v>
      </c>
      <c r="C1843" t="s">
        <v>264</v>
      </c>
      <c r="D1843" t="s">
        <v>266</v>
      </c>
      <c r="E1843" t="s">
        <v>271</v>
      </c>
      <c r="F1843" t="s">
        <v>281</v>
      </c>
      <c r="G1843" s="7">
        <v>1</v>
      </c>
      <c r="H1843" s="3">
        <v>8833.17</v>
      </c>
      <c r="I1843" s="3">
        <v>8833.17</v>
      </c>
    </row>
    <row r="1844" spans="1:9" x14ac:dyDescent="0.3">
      <c r="A1844" s="5" t="s">
        <v>64</v>
      </c>
      <c r="B1844" t="s">
        <v>256</v>
      </c>
      <c r="C1844" t="s">
        <v>265</v>
      </c>
      <c r="D1844" t="s">
        <v>266</v>
      </c>
      <c r="E1844" t="s">
        <v>273</v>
      </c>
      <c r="F1844" t="s">
        <v>278</v>
      </c>
      <c r="G1844" s="7">
        <v>1</v>
      </c>
      <c r="H1844" s="3">
        <v>47604.33</v>
      </c>
      <c r="I1844" s="3">
        <v>47604.33</v>
      </c>
    </row>
    <row r="1845" spans="1:9" x14ac:dyDescent="0.3">
      <c r="A1845" s="5" t="s">
        <v>64</v>
      </c>
      <c r="B1845" t="s">
        <v>258</v>
      </c>
      <c r="C1845" t="s">
        <v>261</v>
      </c>
      <c r="D1845" t="s">
        <v>266</v>
      </c>
      <c r="E1845" t="s">
        <v>273</v>
      </c>
      <c r="F1845" t="s">
        <v>283</v>
      </c>
      <c r="G1845" s="7">
        <v>8</v>
      </c>
      <c r="H1845" s="3">
        <v>41680.370000000003</v>
      </c>
      <c r="I1845" s="3">
        <v>333442.96000000002</v>
      </c>
    </row>
    <row r="1846" spans="1:9" x14ac:dyDescent="0.3">
      <c r="A1846" s="5" t="s">
        <v>64</v>
      </c>
      <c r="B1846" t="s">
        <v>256</v>
      </c>
      <c r="C1846" t="s">
        <v>262</v>
      </c>
      <c r="D1846" t="s">
        <v>270</v>
      </c>
      <c r="E1846" t="s">
        <v>273</v>
      </c>
      <c r="F1846" t="s">
        <v>283</v>
      </c>
      <c r="G1846" s="7">
        <v>5</v>
      </c>
      <c r="H1846" s="3">
        <v>46566.71</v>
      </c>
      <c r="I1846" s="3">
        <v>232833.55</v>
      </c>
    </row>
    <row r="1847" spans="1:9" x14ac:dyDescent="0.3">
      <c r="A1847" s="5" t="s">
        <v>64</v>
      </c>
      <c r="B1847" t="s">
        <v>253</v>
      </c>
      <c r="C1847" t="s">
        <v>261</v>
      </c>
      <c r="D1847" t="s">
        <v>266</v>
      </c>
      <c r="E1847" t="s">
        <v>274</v>
      </c>
      <c r="F1847" t="s">
        <v>289</v>
      </c>
      <c r="G1847" s="7">
        <v>9</v>
      </c>
      <c r="H1847" s="3">
        <v>38758.76</v>
      </c>
      <c r="I1847" s="3">
        <v>348828.84</v>
      </c>
    </row>
    <row r="1848" spans="1:9" x14ac:dyDescent="0.3">
      <c r="A1848" s="5" t="s">
        <v>65</v>
      </c>
      <c r="B1848" t="s">
        <v>256</v>
      </c>
      <c r="C1848" t="s">
        <v>264</v>
      </c>
      <c r="D1848" t="s">
        <v>268</v>
      </c>
      <c r="E1848" t="s">
        <v>271</v>
      </c>
      <c r="F1848" t="s">
        <v>282</v>
      </c>
      <c r="G1848" s="7">
        <v>2</v>
      </c>
      <c r="H1848" s="3">
        <v>7397.9</v>
      </c>
      <c r="I1848" s="3">
        <v>14795.8</v>
      </c>
    </row>
    <row r="1849" spans="1:9" x14ac:dyDescent="0.3">
      <c r="A1849" s="5" t="s">
        <v>65</v>
      </c>
      <c r="B1849" t="s">
        <v>254</v>
      </c>
      <c r="C1849" t="s">
        <v>262</v>
      </c>
      <c r="D1849" t="s">
        <v>267</v>
      </c>
      <c r="E1849" t="s">
        <v>273</v>
      </c>
      <c r="F1849" t="s">
        <v>278</v>
      </c>
      <c r="G1849" s="7">
        <v>9</v>
      </c>
      <c r="H1849" s="3">
        <v>53794.02</v>
      </c>
      <c r="I1849" s="3">
        <v>484146.18</v>
      </c>
    </row>
    <row r="1850" spans="1:9" x14ac:dyDescent="0.3">
      <c r="A1850" s="5" t="s">
        <v>65</v>
      </c>
      <c r="B1850" t="s">
        <v>257</v>
      </c>
      <c r="C1850" t="s">
        <v>263</v>
      </c>
      <c r="D1850" t="s">
        <v>267</v>
      </c>
      <c r="E1850" t="s">
        <v>272</v>
      </c>
      <c r="F1850" t="s">
        <v>277</v>
      </c>
      <c r="G1850" s="7">
        <v>8</v>
      </c>
      <c r="H1850" s="3">
        <v>27618.62</v>
      </c>
      <c r="I1850" s="3">
        <v>220948.96</v>
      </c>
    </row>
    <row r="1851" spans="1:9" x14ac:dyDescent="0.3">
      <c r="A1851" s="5" t="s">
        <v>65</v>
      </c>
      <c r="B1851" t="s">
        <v>253</v>
      </c>
      <c r="C1851" t="s">
        <v>261</v>
      </c>
      <c r="D1851" t="s">
        <v>269</v>
      </c>
      <c r="E1851" t="s">
        <v>271</v>
      </c>
      <c r="F1851" t="s">
        <v>275</v>
      </c>
      <c r="G1851" s="7">
        <v>9</v>
      </c>
      <c r="H1851" s="3">
        <v>10283.34</v>
      </c>
      <c r="I1851" s="3">
        <v>92550.06</v>
      </c>
    </row>
    <row r="1852" spans="1:9" x14ac:dyDescent="0.3">
      <c r="A1852" s="5" t="s">
        <v>65</v>
      </c>
      <c r="B1852" t="s">
        <v>254</v>
      </c>
      <c r="C1852" t="s">
        <v>262</v>
      </c>
      <c r="D1852" t="s">
        <v>268</v>
      </c>
      <c r="E1852" t="s">
        <v>272</v>
      </c>
      <c r="F1852" t="s">
        <v>286</v>
      </c>
      <c r="G1852" s="7">
        <v>4</v>
      </c>
      <c r="H1852" s="3">
        <v>34337.85</v>
      </c>
      <c r="I1852" s="3">
        <v>137351.4</v>
      </c>
    </row>
    <row r="1853" spans="1:9" x14ac:dyDescent="0.3">
      <c r="A1853" s="5" t="s">
        <v>65</v>
      </c>
      <c r="B1853" t="s">
        <v>260</v>
      </c>
      <c r="C1853" t="s">
        <v>261</v>
      </c>
      <c r="D1853" t="s">
        <v>266</v>
      </c>
      <c r="E1853" t="s">
        <v>274</v>
      </c>
      <c r="F1853" t="s">
        <v>287</v>
      </c>
      <c r="G1853" s="7">
        <v>1</v>
      </c>
      <c r="H1853" s="3">
        <v>35787.07</v>
      </c>
      <c r="I1853" s="3">
        <v>35787.07</v>
      </c>
    </row>
    <row r="1854" spans="1:9" x14ac:dyDescent="0.3">
      <c r="A1854" s="5" t="s">
        <v>66</v>
      </c>
      <c r="B1854" t="s">
        <v>260</v>
      </c>
      <c r="C1854" t="s">
        <v>262</v>
      </c>
      <c r="D1854" t="s">
        <v>267</v>
      </c>
      <c r="E1854" t="s">
        <v>273</v>
      </c>
      <c r="F1854" t="s">
        <v>278</v>
      </c>
      <c r="G1854" s="7">
        <v>1</v>
      </c>
      <c r="H1854" s="3">
        <v>50209.63</v>
      </c>
      <c r="I1854" s="3">
        <v>50209.63</v>
      </c>
    </row>
    <row r="1855" spans="1:9" x14ac:dyDescent="0.3">
      <c r="A1855" s="5" t="s">
        <v>66</v>
      </c>
      <c r="B1855" t="s">
        <v>257</v>
      </c>
      <c r="C1855" t="s">
        <v>265</v>
      </c>
      <c r="D1855" t="s">
        <v>268</v>
      </c>
      <c r="E1855" t="s">
        <v>272</v>
      </c>
      <c r="F1855" t="s">
        <v>286</v>
      </c>
      <c r="G1855" s="7">
        <v>5</v>
      </c>
      <c r="H1855" s="3">
        <v>28870.85</v>
      </c>
      <c r="I1855" s="3">
        <v>144354.25</v>
      </c>
    </row>
    <row r="1856" spans="1:9" x14ac:dyDescent="0.3">
      <c r="A1856" s="5" t="s">
        <v>66</v>
      </c>
      <c r="B1856" t="s">
        <v>257</v>
      </c>
      <c r="C1856" t="s">
        <v>261</v>
      </c>
      <c r="D1856" t="s">
        <v>267</v>
      </c>
      <c r="E1856" t="s">
        <v>274</v>
      </c>
      <c r="F1856" t="s">
        <v>289</v>
      </c>
      <c r="G1856" s="7">
        <v>2</v>
      </c>
      <c r="H1856" s="3">
        <v>37894.910000000003</v>
      </c>
      <c r="I1856" s="3">
        <v>75789.820000000007</v>
      </c>
    </row>
    <row r="1857" spans="1:9" x14ac:dyDescent="0.3">
      <c r="A1857" s="5" t="s">
        <v>66</v>
      </c>
      <c r="B1857" t="s">
        <v>253</v>
      </c>
      <c r="C1857" t="s">
        <v>263</v>
      </c>
      <c r="D1857" t="s">
        <v>266</v>
      </c>
      <c r="E1857" t="s">
        <v>273</v>
      </c>
      <c r="F1857" t="s">
        <v>283</v>
      </c>
      <c r="G1857" s="7">
        <v>8</v>
      </c>
      <c r="H1857" s="3">
        <v>55559.03</v>
      </c>
      <c r="I1857" s="3">
        <v>444472.24</v>
      </c>
    </row>
    <row r="1858" spans="1:9" x14ac:dyDescent="0.3">
      <c r="A1858" s="5" t="s">
        <v>66</v>
      </c>
      <c r="B1858" t="s">
        <v>258</v>
      </c>
      <c r="C1858" t="s">
        <v>263</v>
      </c>
      <c r="D1858" t="s">
        <v>267</v>
      </c>
      <c r="E1858" t="s">
        <v>272</v>
      </c>
      <c r="F1858" t="s">
        <v>290</v>
      </c>
      <c r="G1858" s="7">
        <v>5</v>
      </c>
      <c r="H1858" s="3">
        <v>32480.92</v>
      </c>
      <c r="I1858" s="3">
        <v>162404.6</v>
      </c>
    </row>
    <row r="1859" spans="1:9" x14ac:dyDescent="0.3">
      <c r="A1859" s="5" t="s">
        <v>66</v>
      </c>
      <c r="B1859" t="s">
        <v>257</v>
      </c>
      <c r="C1859" t="s">
        <v>264</v>
      </c>
      <c r="D1859" t="s">
        <v>269</v>
      </c>
      <c r="E1859" t="s">
        <v>272</v>
      </c>
      <c r="F1859" t="s">
        <v>277</v>
      </c>
      <c r="G1859" s="7">
        <v>5</v>
      </c>
      <c r="H1859" s="3">
        <v>30765.69</v>
      </c>
      <c r="I1859" s="3">
        <v>153828.45000000001</v>
      </c>
    </row>
    <row r="1860" spans="1:9" x14ac:dyDescent="0.3">
      <c r="A1860" s="5" t="s">
        <v>67</v>
      </c>
      <c r="B1860" t="s">
        <v>260</v>
      </c>
      <c r="C1860" t="s">
        <v>262</v>
      </c>
      <c r="D1860" t="s">
        <v>269</v>
      </c>
      <c r="E1860" t="s">
        <v>274</v>
      </c>
      <c r="F1860" t="s">
        <v>289</v>
      </c>
      <c r="G1860" s="7">
        <v>2</v>
      </c>
      <c r="H1860" s="3">
        <v>34966.949999999997</v>
      </c>
      <c r="I1860" s="3">
        <v>69933.899999999994</v>
      </c>
    </row>
    <row r="1861" spans="1:9" x14ac:dyDescent="0.3">
      <c r="A1861" s="5" t="s">
        <v>67</v>
      </c>
      <c r="B1861" t="s">
        <v>256</v>
      </c>
      <c r="C1861" t="s">
        <v>261</v>
      </c>
      <c r="D1861" t="s">
        <v>267</v>
      </c>
      <c r="E1861" t="s">
        <v>273</v>
      </c>
      <c r="F1861" t="s">
        <v>278</v>
      </c>
      <c r="G1861" s="7">
        <v>7</v>
      </c>
      <c r="H1861" s="3">
        <v>53540.46</v>
      </c>
      <c r="I1861" s="3">
        <v>374783.22</v>
      </c>
    </row>
    <row r="1862" spans="1:9" x14ac:dyDescent="0.3">
      <c r="A1862" s="5" t="s">
        <v>67</v>
      </c>
      <c r="B1862" t="s">
        <v>254</v>
      </c>
      <c r="C1862" t="s">
        <v>264</v>
      </c>
      <c r="D1862" t="s">
        <v>268</v>
      </c>
      <c r="E1862" t="s">
        <v>273</v>
      </c>
      <c r="F1862" t="s">
        <v>288</v>
      </c>
      <c r="G1862" s="7">
        <v>8</v>
      </c>
      <c r="H1862" s="3">
        <v>47991.67</v>
      </c>
      <c r="I1862" s="3">
        <v>383933.36</v>
      </c>
    </row>
    <row r="1863" spans="1:9" x14ac:dyDescent="0.3">
      <c r="A1863" s="5" t="s">
        <v>67</v>
      </c>
      <c r="B1863" t="s">
        <v>260</v>
      </c>
      <c r="C1863" t="s">
        <v>261</v>
      </c>
      <c r="D1863" t="s">
        <v>268</v>
      </c>
      <c r="E1863" t="s">
        <v>272</v>
      </c>
      <c r="F1863" t="s">
        <v>290</v>
      </c>
      <c r="G1863" s="7">
        <v>1</v>
      </c>
      <c r="H1863" s="3">
        <v>32803.230000000003</v>
      </c>
      <c r="I1863" s="3">
        <v>32803.230000000003</v>
      </c>
    </row>
    <row r="1864" spans="1:9" x14ac:dyDescent="0.3">
      <c r="A1864" s="5" t="s">
        <v>67</v>
      </c>
      <c r="B1864" t="s">
        <v>260</v>
      </c>
      <c r="C1864" t="s">
        <v>262</v>
      </c>
      <c r="D1864" t="s">
        <v>268</v>
      </c>
      <c r="E1864" t="s">
        <v>272</v>
      </c>
      <c r="F1864" t="s">
        <v>286</v>
      </c>
      <c r="G1864" s="7">
        <v>2</v>
      </c>
      <c r="H1864" s="3">
        <v>29499.51</v>
      </c>
      <c r="I1864" s="3">
        <v>58999.02</v>
      </c>
    </row>
    <row r="1865" spans="1:9" x14ac:dyDescent="0.3">
      <c r="A1865" s="5" t="s">
        <v>67</v>
      </c>
      <c r="B1865" t="s">
        <v>258</v>
      </c>
      <c r="C1865" t="s">
        <v>263</v>
      </c>
      <c r="D1865" t="s">
        <v>267</v>
      </c>
      <c r="E1865" t="s">
        <v>272</v>
      </c>
      <c r="F1865" t="s">
        <v>276</v>
      </c>
      <c r="G1865" s="7">
        <v>4</v>
      </c>
      <c r="H1865" s="3">
        <v>24499.38</v>
      </c>
      <c r="I1865" s="3">
        <v>97997.52</v>
      </c>
    </row>
    <row r="1866" spans="1:9" x14ac:dyDescent="0.3">
      <c r="A1866" s="5" t="s">
        <v>68</v>
      </c>
      <c r="B1866" t="s">
        <v>253</v>
      </c>
      <c r="C1866" t="s">
        <v>265</v>
      </c>
      <c r="D1866" t="s">
        <v>268</v>
      </c>
      <c r="E1866" t="s">
        <v>273</v>
      </c>
      <c r="F1866" t="s">
        <v>279</v>
      </c>
      <c r="G1866" s="7">
        <v>5</v>
      </c>
      <c r="H1866" s="3">
        <v>45161.05</v>
      </c>
      <c r="I1866" s="3">
        <v>225805.25</v>
      </c>
    </row>
    <row r="1867" spans="1:9" x14ac:dyDescent="0.3">
      <c r="A1867" s="5" t="s">
        <v>68</v>
      </c>
      <c r="B1867" t="s">
        <v>253</v>
      </c>
      <c r="C1867" t="s">
        <v>263</v>
      </c>
      <c r="D1867" t="s">
        <v>266</v>
      </c>
      <c r="E1867" t="s">
        <v>274</v>
      </c>
      <c r="F1867" t="s">
        <v>280</v>
      </c>
      <c r="G1867" s="7">
        <v>2</v>
      </c>
      <c r="H1867" s="3">
        <v>32888.839999999997</v>
      </c>
      <c r="I1867" s="3">
        <v>65777.679999999993</v>
      </c>
    </row>
    <row r="1868" spans="1:9" x14ac:dyDescent="0.3">
      <c r="A1868" s="5" t="s">
        <v>68</v>
      </c>
      <c r="B1868" t="s">
        <v>259</v>
      </c>
      <c r="C1868" t="s">
        <v>264</v>
      </c>
      <c r="D1868" t="s">
        <v>269</v>
      </c>
      <c r="E1868" t="s">
        <v>274</v>
      </c>
      <c r="F1868" t="s">
        <v>287</v>
      </c>
      <c r="G1868" s="7">
        <v>1</v>
      </c>
      <c r="H1868" s="3">
        <v>29012.7</v>
      </c>
      <c r="I1868" s="3">
        <v>29012.7</v>
      </c>
    </row>
    <row r="1869" spans="1:9" x14ac:dyDescent="0.3">
      <c r="A1869" s="5" t="s">
        <v>68</v>
      </c>
      <c r="B1869" t="s">
        <v>258</v>
      </c>
      <c r="C1869" t="s">
        <v>265</v>
      </c>
      <c r="D1869" t="s">
        <v>266</v>
      </c>
      <c r="E1869" t="s">
        <v>273</v>
      </c>
      <c r="F1869" t="s">
        <v>288</v>
      </c>
      <c r="G1869" s="7">
        <v>9</v>
      </c>
      <c r="H1869" s="3">
        <v>40094.93</v>
      </c>
      <c r="I1869" s="3">
        <v>360854.37</v>
      </c>
    </row>
    <row r="1870" spans="1:9" x14ac:dyDescent="0.3">
      <c r="A1870" s="5" t="s">
        <v>68</v>
      </c>
      <c r="B1870" t="s">
        <v>256</v>
      </c>
      <c r="C1870" t="s">
        <v>264</v>
      </c>
      <c r="D1870" t="s">
        <v>268</v>
      </c>
      <c r="E1870" t="s">
        <v>271</v>
      </c>
      <c r="F1870" t="s">
        <v>282</v>
      </c>
      <c r="G1870" s="7">
        <v>1</v>
      </c>
      <c r="H1870" s="3">
        <v>9045.58</v>
      </c>
      <c r="I1870" s="3">
        <v>9045.58</v>
      </c>
    </row>
    <row r="1871" spans="1:9" x14ac:dyDescent="0.3">
      <c r="A1871" s="5" t="s">
        <v>68</v>
      </c>
      <c r="B1871" t="s">
        <v>253</v>
      </c>
      <c r="C1871" t="s">
        <v>262</v>
      </c>
      <c r="D1871" t="s">
        <v>266</v>
      </c>
      <c r="E1871" t="s">
        <v>274</v>
      </c>
      <c r="F1871" t="s">
        <v>287</v>
      </c>
      <c r="G1871" s="7">
        <v>4</v>
      </c>
      <c r="H1871" s="3">
        <v>28289.84</v>
      </c>
      <c r="I1871" s="3">
        <v>113159.36</v>
      </c>
    </row>
    <row r="1872" spans="1:9" x14ac:dyDescent="0.3">
      <c r="A1872" s="5" t="s">
        <v>68</v>
      </c>
      <c r="B1872" t="s">
        <v>254</v>
      </c>
      <c r="C1872" t="s">
        <v>265</v>
      </c>
      <c r="D1872" t="s">
        <v>268</v>
      </c>
      <c r="E1872" t="s">
        <v>272</v>
      </c>
      <c r="F1872" t="s">
        <v>277</v>
      </c>
      <c r="G1872" s="7">
        <v>2</v>
      </c>
      <c r="H1872" s="3">
        <v>27192.99</v>
      </c>
      <c r="I1872" s="3">
        <v>54385.98</v>
      </c>
    </row>
    <row r="1873" spans="1:9" x14ac:dyDescent="0.3">
      <c r="A1873" s="5" t="s">
        <v>69</v>
      </c>
      <c r="B1873" t="s">
        <v>257</v>
      </c>
      <c r="C1873" t="s">
        <v>264</v>
      </c>
      <c r="D1873" t="s">
        <v>267</v>
      </c>
      <c r="E1873" t="s">
        <v>271</v>
      </c>
      <c r="F1873" t="s">
        <v>275</v>
      </c>
      <c r="G1873" s="7">
        <v>4</v>
      </c>
      <c r="H1873" s="3">
        <v>9756.6299999999992</v>
      </c>
      <c r="I1873" s="3">
        <v>39026.519999999997</v>
      </c>
    </row>
    <row r="1874" spans="1:9" x14ac:dyDescent="0.3">
      <c r="A1874" s="5" t="s">
        <v>69</v>
      </c>
      <c r="B1874" t="s">
        <v>258</v>
      </c>
      <c r="C1874" t="s">
        <v>262</v>
      </c>
      <c r="D1874" t="s">
        <v>266</v>
      </c>
      <c r="E1874" t="s">
        <v>271</v>
      </c>
      <c r="F1874" t="s">
        <v>285</v>
      </c>
      <c r="G1874" s="7">
        <v>8</v>
      </c>
      <c r="H1874" s="3">
        <v>10504.07</v>
      </c>
      <c r="I1874" s="3">
        <v>84032.56</v>
      </c>
    </row>
    <row r="1875" spans="1:9" x14ac:dyDescent="0.3">
      <c r="A1875" s="5" t="s">
        <v>69</v>
      </c>
      <c r="B1875" t="s">
        <v>257</v>
      </c>
      <c r="C1875" t="s">
        <v>263</v>
      </c>
      <c r="D1875" t="s">
        <v>267</v>
      </c>
      <c r="E1875" t="s">
        <v>274</v>
      </c>
      <c r="F1875" t="s">
        <v>284</v>
      </c>
      <c r="G1875" s="7">
        <v>8</v>
      </c>
      <c r="H1875" s="3">
        <v>36388.74</v>
      </c>
      <c r="I1875" s="3">
        <v>291109.92</v>
      </c>
    </row>
    <row r="1876" spans="1:9" x14ac:dyDescent="0.3">
      <c r="A1876" s="5" t="s">
        <v>69</v>
      </c>
      <c r="B1876" t="s">
        <v>260</v>
      </c>
      <c r="C1876" t="s">
        <v>262</v>
      </c>
      <c r="D1876" t="s">
        <v>267</v>
      </c>
      <c r="E1876" t="s">
        <v>271</v>
      </c>
      <c r="F1876" t="s">
        <v>285</v>
      </c>
      <c r="G1876" s="7">
        <v>9</v>
      </c>
      <c r="H1876" s="3">
        <v>10599.93</v>
      </c>
      <c r="I1876" s="3">
        <v>95399.37</v>
      </c>
    </row>
    <row r="1877" spans="1:9" x14ac:dyDescent="0.3">
      <c r="A1877" s="5" t="s">
        <v>69</v>
      </c>
      <c r="B1877" t="s">
        <v>254</v>
      </c>
      <c r="C1877" t="s">
        <v>261</v>
      </c>
      <c r="D1877" t="s">
        <v>270</v>
      </c>
      <c r="E1877" t="s">
        <v>271</v>
      </c>
      <c r="F1877" t="s">
        <v>275</v>
      </c>
      <c r="G1877" s="7">
        <v>5</v>
      </c>
      <c r="H1877" s="3">
        <v>9599.35</v>
      </c>
      <c r="I1877" s="3">
        <v>47996.75</v>
      </c>
    </row>
    <row r="1878" spans="1:9" x14ac:dyDescent="0.3">
      <c r="A1878" s="5" t="s">
        <v>69</v>
      </c>
      <c r="B1878" t="s">
        <v>254</v>
      </c>
      <c r="C1878" t="s">
        <v>262</v>
      </c>
      <c r="D1878" t="s">
        <v>268</v>
      </c>
      <c r="E1878" t="s">
        <v>274</v>
      </c>
      <c r="F1878" t="s">
        <v>287</v>
      </c>
      <c r="G1878" s="7">
        <v>7</v>
      </c>
      <c r="H1878" s="3">
        <v>30960.57</v>
      </c>
      <c r="I1878" s="3">
        <v>216723.99</v>
      </c>
    </row>
    <row r="1879" spans="1:9" x14ac:dyDescent="0.3">
      <c r="A1879" s="5" t="s">
        <v>70</v>
      </c>
      <c r="B1879" t="s">
        <v>260</v>
      </c>
      <c r="C1879" t="s">
        <v>262</v>
      </c>
      <c r="D1879" t="s">
        <v>269</v>
      </c>
      <c r="E1879" t="s">
        <v>274</v>
      </c>
      <c r="F1879" t="s">
        <v>287</v>
      </c>
      <c r="G1879" s="7">
        <v>3</v>
      </c>
      <c r="H1879" s="3">
        <v>35802.269999999997</v>
      </c>
      <c r="I1879" s="3">
        <v>107406.81</v>
      </c>
    </row>
    <row r="1880" spans="1:9" x14ac:dyDescent="0.3">
      <c r="A1880" s="5" t="s">
        <v>70</v>
      </c>
      <c r="B1880" t="s">
        <v>258</v>
      </c>
      <c r="C1880" t="s">
        <v>261</v>
      </c>
      <c r="D1880" t="s">
        <v>268</v>
      </c>
      <c r="E1880" t="s">
        <v>271</v>
      </c>
      <c r="F1880" t="s">
        <v>285</v>
      </c>
      <c r="G1880" s="7">
        <v>4</v>
      </c>
      <c r="H1880" s="3">
        <v>9612.33</v>
      </c>
      <c r="I1880" s="3">
        <v>38449.32</v>
      </c>
    </row>
    <row r="1881" spans="1:9" x14ac:dyDescent="0.3">
      <c r="A1881" s="5" t="s">
        <v>70</v>
      </c>
      <c r="B1881" t="s">
        <v>260</v>
      </c>
      <c r="C1881" t="s">
        <v>264</v>
      </c>
      <c r="D1881" t="s">
        <v>269</v>
      </c>
      <c r="E1881" t="s">
        <v>272</v>
      </c>
      <c r="F1881" t="s">
        <v>277</v>
      </c>
      <c r="G1881" s="7">
        <v>9</v>
      </c>
      <c r="H1881" s="3">
        <v>27963.34</v>
      </c>
      <c r="I1881" s="3">
        <v>251670.06</v>
      </c>
    </row>
    <row r="1882" spans="1:9" x14ac:dyDescent="0.3">
      <c r="A1882" s="5" t="s">
        <v>70</v>
      </c>
      <c r="B1882" t="s">
        <v>257</v>
      </c>
      <c r="C1882" t="s">
        <v>264</v>
      </c>
      <c r="D1882" t="s">
        <v>268</v>
      </c>
      <c r="E1882" t="s">
        <v>273</v>
      </c>
      <c r="F1882" t="s">
        <v>288</v>
      </c>
      <c r="G1882" s="7">
        <v>1</v>
      </c>
      <c r="H1882" s="3">
        <v>38568.85</v>
      </c>
      <c r="I1882" s="3">
        <v>38568.85</v>
      </c>
    </row>
    <row r="1883" spans="1:9" x14ac:dyDescent="0.3">
      <c r="A1883" s="5" t="s">
        <v>70</v>
      </c>
      <c r="B1883" t="s">
        <v>259</v>
      </c>
      <c r="C1883" t="s">
        <v>262</v>
      </c>
      <c r="D1883" t="s">
        <v>267</v>
      </c>
      <c r="E1883" t="s">
        <v>271</v>
      </c>
      <c r="F1883" t="s">
        <v>275</v>
      </c>
      <c r="G1883" s="7">
        <v>2</v>
      </c>
      <c r="H1883" s="3">
        <v>9615.8799999999992</v>
      </c>
      <c r="I1883" s="3">
        <v>19231.759999999998</v>
      </c>
    </row>
    <row r="1884" spans="1:9" x14ac:dyDescent="0.3">
      <c r="A1884" s="5" t="s">
        <v>70</v>
      </c>
      <c r="B1884" t="s">
        <v>254</v>
      </c>
      <c r="C1884" t="s">
        <v>261</v>
      </c>
      <c r="D1884" t="s">
        <v>266</v>
      </c>
      <c r="E1884" t="s">
        <v>271</v>
      </c>
      <c r="F1884" t="s">
        <v>281</v>
      </c>
      <c r="G1884" s="7">
        <v>5</v>
      </c>
      <c r="H1884" s="3">
        <v>7298.78</v>
      </c>
      <c r="I1884" s="3">
        <v>36493.9</v>
      </c>
    </row>
    <row r="1885" spans="1:9" x14ac:dyDescent="0.3">
      <c r="A1885" s="5" t="s">
        <v>71</v>
      </c>
      <c r="B1885" t="s">
        <v>255</v>
      </c>
      <c r="C1885" t="s">
        <v>261</v>
      </c>
      <c r="D1885" t="s">
        <v>266</v>
      </c>
      <c r="E1885" t="s">
        <v>272</v>
      </c>
      <c r="F1885" t="s">
        <v>286</v>
      </c>
      <c r="G1885" s="7">
        <v>3</v>
      </c>
      <c r="H1885" s="3">
        <v>30869.31</v>
      </c>
      <c r="I1885" s="3">
        <v>92607.93</v>
      </c>
    </row>
    <row r="1886" spans="1:9" x14ac:dyDescent="0.3">
      <c r="A1886" s="5" t="s">
        <v>71</v>
      </c>
      <c r="B1886" t="s">
        <v>255</v>
      </c>
      <c r="C1886" t="s">
        <v>263</v>
      </c>
      <c r="D1886" t="s">
        <v>270</v>
      </c>
      <c r="E1886" t="s">
        <v>271</v>
      </c>
      <c r="F1886" t="s">
        <v>282</v>
      </c>
      <c r="G1886" s="7">
        <v>2</v>
      </c>
      <c r="H1886" s="3">
        <v>7781.3</v>
      </c>
      <c r="I1886" s="3">
        <v>15562.6</v>
      </c>
    </row>
    <row r="1887" spans="1:9" x14ac:dyDescent="0.3">
      <c r="A1887" s="5" t="s">
        <v>71</v>
      </c>
      <c r="B1887" t="s">
        <v>257</v>
      </c>
      <c r="C1887" t="s">
        <v>264</v>
      </c>
      <c r="D1887" t="s">
        <v>269</v>
      </c>
      <c r="E1887" t="s">
        <v>271</v>
      </c>
      <c r="F1887" t="s">
        <v>282</v>
      </c>
      <c r="G1887" s="7">
        <v>1</v>
      </c>
      <c r="H1887" s="3">
        <v>9148.0499999999993</v>
      </c>
      <c r="I1887" s="3">
        <v>9148.0499999999993</v>
      </c>
    </row>
    <row r="1888" spans="1:9" x14ac:dyDescent="0.3">
      <c r="A1888" s="5" t="s">
        <v>71</v>
      </c>
      <c r="B1888" t="s">
        <v>256</v>
      </c>
      <c r="C1888" t="s">
        <v>265</v>
      </c>
      <c r="D1888" t="s">
        <v>269</v>
      </c>
      <c r="E1888" t="s">
        <v>273</v>
      </c>
      <c r="F1888" t="s">
        <v>283</v>
      </c>
      <c r="G1888" s="7">
        <v>3</v>
      </c>
      <c r="H1888" s="3">
        <v>47320.43</v>
      </c>
      <c r="I1888" s="3">
        <v>141961.29</v>
      </c>
    </row>
    <row r="1889" spans="1:9" x14ac:dyDescent="0.3">
      <c r="A1889" s="5" t="s">
        <v>71</v>
      </c>
      <c r="B1889" t="s">
        <v>253</v>
      </c>
      <c r="C1889" t="s">
        <v>264</v>
      </c>
      <c r="D1889" t="s">
        <v>269</v>
      </c>
      <c r="E1889" t="s">
        <v>273</v>
      </c>
      <c r="F1889" t="s">
        <v>283</v>
      </c>
      <c r="G1889" s="7">
        <v>1</v>
      </c>
      <c r="H1889" s="3">
        <v>38493.25</v>
      </c>
      <c r="I1889" s="3">
        <v>38493.25</v>
      </c>
    </row>
    <row r="1890" spans="1:9" x14ac:dyDescent="0.3">
      <c r="A1890" s="5" t="s">
        <v>71</v>
      </c>
      <c r="B1890" t="s">
        <v>260</v>
      </c>
      <c r="C1890" t="s">
        <v>264</v>
      </c>
      <c r="D1890" t="s">
        <v>267</v>
      </c>
      <c r="E1890" t="s">
        <v>273</v>
      </c>
      <c r="F1890" t="s">
        <v>278</v>
      </c>
      <c r="G1890" s="7">
        <v>1</v>
      </c>
      <c r="H1890" s="3">
        <v>44781.58</v>
      </c>
      <c r="I1890" s="3">
        <v>44781.58</v>
      </c>
    </row>
    <row r="1891" spans="1:9" x14ac:dyDescent="0.3">
      <c r="A1891" s="5" t="s">
        <v>72</v>
      </c>
      <c r="B1891" t="s">
        <v>260</v>
      </c>
      <c r="C1891" t="s">
        <v>263</v>
      </c>
      <c r="D1891" t="s">
        <v>269</v>
      </c>
      <c r="E1891" t="s">
        <v>274</v>
      </c>
      <c r="F1891" t="s">
        <v>280</v>
      </c>
      <c r="G1891" s="7">
        <v>1</v>
      </c>
      <c r="H1891" s="3">
        <v>34893.97</v>
      </c>
      <c r="I1891" s="3">
        <v>34893.97</v>
      </c>
    </row>
    <row r="1892" spans="1:9" x14ac:dyDescent="0.3">
      <c r="A1892" s="5" t="s">
        <v>72</v>
      </c>
      <c r="B1892" t="s">
        <v>256</v>
      </c>
      <c r="C1892" t="s">
        <v>265</v>
      </c>
      <c r="D1892" t="s">
        <v>266</v>
      </c>
      <c r="E1892" t="s">
        <v>274</v>
      </c>
      <c r="F1892" t="s">
        <v>280</v>
      </c>
      <c r="G1892" s="7">
        <v>8</v>
      </c>
      <c r="H1892" s="3">
        <v>38062.160000000003</v>
      </c>
      <c r="I1892" s="3">
        <v>304497.28000000003</v>
      </c>
    </row>
    <row r="1893" spans="1:9" x14ac:dyDescent="0.3">
      <c r="A1893" s="5" t="s">
        <v>72</v>
      </c>
      <c r="B1893" t="s">
        <v>256</v>
      </c>
      <c r="C1893" t="s">
        <v>263</v>
      </c>
      <c r="D1893" t="s">
        <v>267</v>
      </c>
      <c r="E1893" t="s">
        <v>273</v>
      </c>
      <c r="F1893" t="s">
        <v>283</v>
      </c>
      <c r="G1893" s="7">
        <v>3</v>
      </c>
      <c r="H1893" s="3">
        <v>54245.56</v>
      </c>
      <c r="I1893" s="3">
        <v>162736.68</v>
      </c>
    </row>
    <row r="1894" spans="1:9" x14ac:dyDescent="0.3">
      <c r="A1894" s="5" t="s">
        <v>72</v>
      </c>
      <c r="B1894" t="s">
        <v>257</v>
      </c>
      <c r="C1894" t="s">
        <v>265</v>
      </c>
      <c r="D1894" t="s">
        <v>268</v>
      </c>
      <c r="E1894" t="s">
        <v>273</v>
      </c>
      <c r="F1894" t="s">
        <v>288</v>
      </c>
      <c r="G1894" s="7">
        <v>1</v>
      </c>
      <c r="H1894" s="3">
        <v>46959.3</v>
      </c>
      <c r="I1894" s="3">
        <v>46959.3</v>
      </c>
    </row>
    <row r="1895" spans="1:9" x14ac:dyDescent="0.3">
      <c r="A1895" s="5" t="s">
        <v>72</v>
      </c>
      <c r="B1895" t="s">
        <v>257</v>
      </c>
      <c r="C1895" t="s">
        <v>262</v>
      </c>
      <c r="D1895" t="s">
        <v>269</v>
      </c>
      <c r="E1895" t="s">
        <v>274</v>
      </c>
      <c r="F1895" t="s">
        <v>287</v>
      </c>
      <c r="G1895" s="7">
        <v>7</v>
      </c>
      <c r="H1895" s="3">
        <v>36523.81</v>
      </c>
      <c r="I1895" s="3">
        <v>255666.67</v>
      </c>
    </row>
    <row r="1896" spans="1:9" x14ac:dyDescent="0.3">
      <c r="A1896" s="5" t="s">
        <v>72</v>
      </c>
      <c r="B1896" t="s">
        <v>256</v>
      </c>
      <c r="C1896" t="s">
        <v>265</v>
      </c>
      <c r="D1896" t="s">
        <v>269</v>
      </c>
      <c r="E1896" t="s">
        <v>272</v>
      </c>
      <c r="F1896" t="s">
        <v>290</v>
      </c>
      <c r="G1896" s="7">
        <v>3</v>
      </c>
      <c r="H1896" s="3">
        <v>27344.29</v>
      </c>
      <c r="I1896" s="3">
        <v>82032.87</v>
      </c>
    </row>
    <row r="1897" spans="1:9" x14ac:dyDescent="0.3">
      <c r="A1897" s="5" t="s">
        <v>73</v>
      </c>
      <c r="B1897" t="s">
        <v>254</v>
      </c>
      <c r="C1897" t="s">
        <v>263</v>
      </c>
      <c r="D1897" t="s">
        <v>268</v>
      </c>
      <c r="E1897" t="s">
        <v>271</v>
      </c>
      <c r="F1897" t="s">
        <v>275</v>
      </c>
      <c r="G1897" s="7">
        <v>8</v>
      </c>
      <c r="H1897" s="3">
        <v>8388.43</v>
      </c>
      <c r="I1897" s="3">
        <v>67107.44</v>
      </c>
    </row>
    <row r="1898" spans="1:9" x14ac:dyDescent="0.3">
      <c r="A1898" s="5" t="s">
        <v>73</v>
      </c>
      <c r="B1898" t="s">
        <v>257</v>
      </c>
      <c r="C1898" t="s">
        <v>264</v>
      </c>
      <c r="D1898" t="s">
        <v>269</v>
      </c>
      <c r="E1898" t="s">
        <v>271</v>
      </c>
      <c r="F1898" t="s">
        <v>275</v>
      </c>
      <c r="G1898" s="7">
        <v>4</v>
      </c>
      <c r="H1898" s="3">
        <v>7886.18</v>
      </c>
      <c r="I1898" s="3">
        <v>31544.720000000001</v>
      </c>
    </row>
    <row r="1899" spans="1:9" x14ac:dyDescent="0.3">
      <c r="A1899" s="5" t="s">
        <v>73</v>
      </c>
      <c r="B1899" t="s">
        <v>259</v>
      </c>
      <c r="C1899" t="s">
        <v>265</v>
      </c>
      <c r="D1899" t="s">
        <v>268</v>
      </c>
      <c r="E1899" t="s">
        <v>273</v>
      </c>
      <c r="F1899" t="s">
        <v>283</v>
      </c>
      <c r="G1899" s="7">
        <v>4</v>
      </c>
      <c r="H1899" s="3">
        <v>48365.07</v>
      </c>
      <c r="I1899" s="3">
        <v>193460.28</v>
      </c>
    </row>
    <row r="1900" spans="1:9" x14ac:dyDescent="0.3">
      <c r="A1900" s="5" t="s">
        <v>73</v>
      </c>
      <c r="B1900" t="s">
        <v>257</v>
      </c>
      <c r="C1900" t="s">
        <v>265</v>
      </c>
      <c r="D1900" t="s">
        <v>267</v>
      </c>
      <c r="E1900" t="s">
        <v>272</v>
      </c>
      <c r="F1900" t="s">
        <v>290</v>
      </c>
      <c r="G1900" s="7">
        <v>5</v>
      </c>
      <c r="H1900" s="3">
        <v>27323.119999999999</v>
      </c>
      <c r="I1900" s="3">
        <v>136615.6</v>
      </c>
    </row>
    <row r="1901" spans="1:9" x14ac:dyDescent="0.3">
      <c r="A1901" s="5" t="s">
        <v>73</v>
      </c>
      <c r="B1901" t="s">
        <v>260</v>
      </c>
      <c r="C1901" t="s">
        <v>261</v>
      </c>
      <c r="D1901" t="s">
        <v>266</v>
      </c>
      <c r="E1901" t="s">
        <v>274</v>
      </c>
      <c r="F1901" t="s">
        <v>287</v>
      </c>
      <c r="G1901" s="7">
        <v>6</v>
      </c>
      <c r="H1901" s="3">
        <v>28279.95</v>
      </c>
      <c r="I1901" s="3">
        <v>169679.7</v>
      </c>
    </row>
    <row r="1902" spans="1:9" x14ac:dyDescent="0.3">
      <c r="A1902" s="5" t="s">
        <v>73</v>
      </c>
      <c r="B1902" t="s">
        <v>257</v>
      </c>
      <c r="C1902" t="s">
        <v>264</v>
      </c>
      <c r="D1902" t="s">
        <v>268</v>
      </c>
      <c r="E1902" t="s">
        <v>273</v>
      </c>
      <c r="F1902" t="s">
        <v>279</v>
      </c>
      <c r="G1902" s="7">
        <v>7</v>
      </c>
      <c r="H1902" s="3">
        <v>50580.11</v>
      </c>
      <c r="I1902" s="3">
        <v>354060.77</v>
      </c>
    </row>
    <row r="1903" spans="1:9" x14ac:dyDescent="0.3">
      <c r="A1903" s="5" t="s">
        <v>74</v>
      </c>
      <c r="B1903" t="s">
        <v>254</v>
      </c>
      <c r="C1903" t="s">
        <v>262</v>
      </c>
      <c r="D1903" t="s">
        <v>270</v>
      </c>
      <c r="E1903" t="s">
        <v>272</v>
      </c>
      <c r="F1903" t="s">
        <v>290</v>
      </c>
      <c r="G1903" s="7">
        <v>4</v>
      </c>
      <c r="H1903" s="3">
        <v>31726.84</v>
      </c>
      <c r="I1903" s="3">
        <v>126907.36</v>
      </c>
    </row>
    <row r="1904" spans="1:9" x14ac:dyDescent="0.3">
      <c r="A1904" s="5" t="s">
        <v>74</v>
      </c>
      <c r="B1904" t="s">
        <v>256</v>
      </c>
      <c r="C1904" t="s">
        <v>263</v>
      </c>
      <c r="D1904" t="s">
        <v>268</v>
      </c>
      <c r="E1904" t="s">
        <v>272</v>
      </c>
      <c r="F1904" t="s">
        <v>277</v>
      </c>
      <c r="G1904" s="7">
        <v>8</v>
      </c>
      <c r="H1904" s="3">
        <v>27831.919999999998</v>
      </c>
      <c r="I1904" s="3">
        <v>222655.35999999999</v>
      </c>
    </row>
    <row r="1905" spans="1:9" x14ac:dyDescent="0.3">
      <c r="A1905" s="5" t="s">
        <v>74</v>
      </c>
      <c r="B1905" t="s">
        <v>260</v>
      </c>
      <c r="C1905" t="s">
        <v>262</v>
      </c>
      <c r="D1905" t="s">
        <v>269</v>
      </c>
      <c r="E1905" t="s">
        <v>272</v>
      </c>
      <c r="F1905" t="s">
        <v>276</v>
      </c>
      <c r="G1905" s="7">
        <v>6</v>
      </c>
      <c r="H1905" s="3">
        <v>24659.3</v>
      </c>
      <c r="I1905" s="3">
        <v>147955.79999999999</v>
      </c>
    </row>
    <row r="1906" spans="1:9" x14ac:dyDescent="0.3">
      <c r="A1906" s="5" t="s">
        <v>74</v>
      </c>
      <c r="B1906" t="s">
        <v>257</v>
      </c>
      <c r="C1906" t="s">
        <v>264</v>
      </c>
      <c r="D1906" t="s">
        <v>267</v>
      </c>
      <c r="E1906" t="s">
        <v>274</v>
      </c>
      <c r="F1906" t="s">
        <v>289</v>
      </c>
      <c r="G1906" s="7">
        <v>1</v>
      </c>
      <c r="H1906" s="3">
        <v>32656.61</v>
      </c>
      <c r="I1906" s="3">
        <v>32656.61</v>
      </c>
    </row>
    <row r="1907" spans="1:9" x14ac:dyDescent="0.3">
      <c r="A1907" s="5" t="s">
        <v>74</v>
      </c>
      <c r="B1907" t="s">
        <v>254</v>
      </c>
      <c r="C1907" t="s">
        <v>265</v>
      </c>
      <c r="D1907" t="s">
        <v>267</v>
      </c>
      <c r="E1907" t="s">
        <v>274</v>
      </c>
      <c r="F1907" t="s">
        <v>287</v>
      </c>
      <c r="G1907" s="7">
        <v>1</v>
      </c>
      <c r="H1907" s="3">
        <v>32861.89</v>
      </c>
      <c r="I1907" s="3">
        <v>32861.89</v>
      </c>
    </row>
    <row r="1908" spans="1:9" x14ac:dyDescent="0.3">
      <c r="A1908" s="5" t="s">
        <v>74</v>
      </c>
      <c r="B1908" t="s">
        <v>259</v>
      </c>
      <c r="C1908" t="s">
        <v>265</v>
      </c>
      <c r="D1908" t="s">
        <v>268</v>
      </c>
      <c r="E1908" t="s">
        <v>271</v>
      </c>
      <c r="F1908" t="s">
        <v>282</v>
      </c>
      <c r="G1908" s="7">
        <v>9</v>
      </c>
      <c r="H1908" s="3">
        <v>9498.48</v>
      </c>
      <c r="I1908" s="3">
        <v>85486.32</v>
      </c>
    </row>
    <row r="1909" spans="1:9" x14ac:dyDescent="0.3">
      <c r="A1909" s="5" t="s">
        <v>74</v>
      </c>
      <c r="B1909" t="s">
        <v>257</v>
      </c>
      <c r="C1909" t="s">
        <v>264</v>
      </c>
      <c r="D1909" t="s">
        <v>266</v>
      </c>
      <c r="E1909" t="s">
        <v>271</v>
      </c>
      <c r="F1909" t="s">
        <v>281</v>
      </c>
      <c r="G1909" s="7">
        <v>6</v>
      </c>
      <c r="H1909" s="3">
        <v>8297.42</v>
      </c>
      <c r="I1909" s="3">
        <v>49784.52</v>
      </c>
    </row>
    <row r="1910" spans="1:9" x14ac:dyDescent="0.3">
      <c r="A1910" s="5" t="s">
        <v>75</v>
      </c>
      <c r="B1910" t="s">
        <v>254</v>
      </c>
      <c r="C1910" t="s">
        <v>265</v>
      </c>
      <c r="D1910" t="s">
        <v>270</v>
      </c>
      <c r="E1910" t="s">
        <v>272</v>
      </c>
      <c r="F1910" t="s">
        <v>276</v>
      </c>
      <c r="G1910" s="7">
        <v>8</v>
      </c>
      <c r="H1910" s="3">
        <v>31445.11</v>
      </c>
      <c r="I1910" s="3">
        <v>251560.88</v>
      </c>
    </row>
    <row r="1911" spans="1:9" x14ac:dyDescent="0.3">
      <c r="A1911" s="5" t="s">
        <v>75</v>
      </c>
      <c r="B1911" t="s">
        <v>259</v>
      </c>
      <c r="C1911" t="s">
        <v>265</v>
      </c>
      <c r="D1911" t="s">
        <v>267</v>
      </c>
      <c r="E1911" t="s">
        <v>272</v>
      </c>
      <c r="F1911" t="s">
        <v>290</v>
      </c>
      <c r="G1911" s="7">
        <v>7</v>
      </c>
      <c r="H1911" s="3">
        <v>33560.67</v>
      </c>
      <c r="I1911" s="3">
        <v>234924.69</v>
      </c>
    </row>
    <row r="1912" spans="1:9" x14ac:dyDescent="0.3">
      <c r="A1912" s="5" t="s">
        <v>75</v>
      </c>
      <c r="B1912" t="s">
        <v>256</v>
      </c>
      <c r="C1912" t="s">
        <v>265</v>
      </c>
      <c r="D1912" t="s">
        <v>269</v>
      </c>
      <c r="E1912" t="s">
        <v>274</v>
      </c>
      <c r="F1912" t="s">
        <v>284</v>
      </c>
      <c r="G1912" s="7">
        <v>6</v>
      </c>
      <c r="H1912" s="3">
        <v>30239.82</v>
      </c>
      <c r="I1912" s="3">
        <v>181438.92</v>
      </c>
    </row>
    <row r="1913" spans="1:9" x14ac:dyDescent="0.3">
      <c r="A1913" s="5" t="s">
        <v>75</v>
      </c>
      <c r="B1913" t="s">
        <v>257</v>
      </c>
      <c r="C1913" t="s">
        <v>263</v>
      </c>
      <c r="D1913" t="s">
        <v>269</v>
      </c>
      <c r="E1913" t="s">
        <v>271</v>
      </c>
      <c r="F1913" t="s">
        <v>275</v>
      </c>
      <c r="G1913" s="7">
        <v>4</v>
      </c>
      <c r="H1913" s="3">
        <v>10553.33</v>
      </c>
      <c r="I1913" s="3">
        <v>42213.32</v>
      </c>
    </row>
    <row r="1914" spans="1:9" x14ac:dyDescent="0.3">
      <c r="A1914" s="5" t="s">
        <v>75</v>
      </c>
      <c r="B1914" t="s">
        <v>259</v>
      </c>
      <c r="C1914" t="s">
        <v>263</v>
      </c>
      <c r="D1914" t="s">
        <v>266</v>
      </c>
      <c r="E1914" t="s">
        <v>272</v>
      </c>
      <c r="F1914" t="s">
        <v>277</v>
      </c>
      <c r="G1914" s="7">
        <v>7</v>
      </c>
      <c r="H1914" s="3">
        <v>28127.32</v>
      </c>
      <c r="I1914" s="3">
        <v>196891.24</v>
      </c>
    </row>
    <row r="1915" spans="1:9" x14ac:dyDescent="0.3">
      <c r="A1915" s="5" t="s">
        <v>75</v>
      </c>
      <c r="B1915" t="s">
        <v>260</v>
      </c>
      <c r="C1915" t="s">
        <v>261</v>
      </c>
      <c r="D1915" t="s">
        <v>267</v>
      </c>
      <c r="E1915" t="s">
        <v>271</v>
      </c>
      <c r="F1915" t="s">
        <v>281</v>
      </c>
      <c r="G1915" s="7">
        <v>9</v>
      </c>
      <c r="H1915" s="3">
        <v>8133.68</v>
      </c>
      <c r="I1915" s="3">
        <v>73203.12</v>
      </c>
    </row>
    <row r="1916" spans="1:9" x14ac:dyDescent="0.3">
      <c r="A1916" s="5" t="s">
        <v>76</v>
      </c>
      <c r="B1916" t="s">
        <v>256</v>
      </c>
      <c r="C1916" t="s">
        <v>262</v>
      </c>
      <c r="D1916" t="s">
        <v>268</v>
      </c>
      <c r="E1916" t="s">
        <v>271</v>
      </c>
      <c r="F1916" t="s">
        <v>285</v>
      </c>
      <c r="G1916" s="7">
        <v>7</v>
      </c>
      <c r="H1916" s="3">
        <v>8658.14</v>
      </c>
      <c r="I1916" s="3">
        <v>60606.98</v>
      </c>
    </row>
    <row r="1917" spans="1:9" x14ac:dyDescent="0.3">
      <c r="A1917" s="5" t="s">
        <v>76</v>
      </c>
      <c r="B1917" t="s">
        <v>260</v>
      </c>
      <c r="C1917" t="s">
        <v>264</v>
      </c>
      <c r="D1917" t="s">
        <v>269</v>
      </c>
      <c r="E1917" t="s">
        <v>272</v>
      </c>
      <c r="F1917" t="s">
        <v>276</v>
      </c>
      <c r="G1917" s="7">
        <v>1</v>
      </c>
      <c r="H1917" s="3">
        <v>24857.25</v>
      </c>
      <c r="I1917" s="3">
        <v>24857.25</v>
      </c>
    </row>
    <row r="1918" spans="1:9" x14ac:dyDescent="0.3">
      <c r="A1918" s="5" t="s">
        <v>76</v>
      </c>
      <c r="B1918" t="s">
        <v>255</v>
      </c>
      <c r="C1918" t="s">
        <v>264</v>
      </c>
      <c r="D1918" t="s">
        <v>266</v>
      </c>
      <c r="E1918" t="s">
        <v>274</v>
      </c>
      <c r="F1918" t="s">
        <v>280</v>
      </c>
      <c r="G1918" s="7">
        <v>9</v>
      </c>
      <c r="H1918" s="3">
        <v>28809.040000000001</v>
      </c>
      <c r="I1918" s="3">
        <v>259281.36</v>
      </c>
    </row>
    <row r="1919" spans="1:9" x14ac:dyDescent="0.3">
      <c r="A1919" s="5" t="s">
        <v>76</v>
      </c>
      <c r="B1919" t="s">
        <v>258</v>
      </c>
      <c r="C1919" t="s">
        <v>264</v>
      </c>
      <c r="D1919" t="s">
        <v>267</v>
      </c>
      <c r="E1919" t="s">
        <v>272</v>
      </c>
      <c r="F1919" t="s">
        <v>290</v>
      </c>
      <c r="G1919" s="7">
        <v>4</v>
      </c>
      <c r="H1919" s="3">
        <v>28441.66</v>
      </c>
      <c r="I1919" s="3">
        <v>113766.64</v>
      </c>
    </row>
    <row r="1920" spans="1:9" x14ac:dyDescent="0.3">
      <c r="A1920" s="5" t="s">
        <v>76</v>
      </c>
      <c r="B1920" t="s">
        <v>257</v>
      </c>
      <c r="C1920" t="s">
        <v>261</v>
      </c>
      <c r="D1920" t="s">
        <v>267</v>
      </c>
      <c r="E1920" t="s">
        <v>272</v>
      </c>
      <c r="F1920" t="s">
        <v>286</v>
      </c>
      <c r="G1920" s="7">
        <v>3</v>
      </c>
      <c r="H1920" s="3">
        <v>32339.38</v>
      </c>
      <c r="I1920" s="3">
        <v>97018.14</v>
      </c>
    </row>
    <row r="1921" spans="1:9" x14ac:dyDescent="0.3">
      <c r="A1921" s="5" t="s">
        <v>76</v>
      </c>
      <c r="B1921" t="s">
        <v>259</v>
      </c>
      <c r="C1921" t="s">
        <v>263</v>
      </c>
      <c r="D1921" t="s">
        <v>267</v>
      </c>
      <c r="E1921" t="s">
        <v>271</v>
      </c>
      <c r="F1921" t="s">
        <v>275</v>
      </c>
      <c r="G1921" s="7">
        <v>4</v>
      </c>
      <c r="H1921" s="3">
        <v>10286.06</v>
      </c>
      <c r="I1921" s="3">
        <v>41144.239999999998</v>
      </c>
    </row>
    <row r="1922" spans="1:9" x14ac:dyDescent="0.3">
      <c r="A1922" s="5" t="s">
        <v>77</v>
      </c>
      <c r="B1922" t="s">
        <v>258</v>
      </c>
      <c r="C1922" t="s">
        <v>261</v>
      </c>
      <c r="D1922" t="s">
        <v>267</v>
      </c>
      <c r="E1922" t="s">
        <v>272</v>
      </c>
      <c r="F1922" t="s">
        <v>286</v>
      </c>
      <c r="G1922" s="7">
        <v>4</v>
      </c>
      <c r="H1922" s="3">
        <v>31245.96</v>
      </c>
      <c r="I1922" s="3">
        <v>124983.84</v>
      </c>
    </row>
    <row r="1923" spans="1:9" x14ac:dyDescent="0.3">
      <c r="A1923" s="5" t="s">
        <v>77</v>
      </c>
      <c r="B1923" t="s">
        <v>258</v>
      </c>
      <c r="C1923" t="s">
        <v>264</v>
      </c>
      <c r="D1923" t="s">
        <v>267</v>
      </c>
      <c r="E1923" t="s">
        <v>274</v>
      </c>
      <c r="F1923" t="s">
        <v>289</v>
      </c>
      <c r="G1923" s="7">
        <v>2</v>
      </c>
      <c r="H1923" s="3">
        <v>28546.81</v>
      </c>
      <c r="I1923" s="3">
        <v>57093.62</v>
      </c>
    </row>
    <row r="1924" spans="1:9" x14ac:dyDescent="0.3">
      <c r="A1924" s="5" t="s">
        <v>77</v>
      </c>
      <c r="B1924" t="s">
        <v>259</v>
      </c>
      <c r="C1924" t="s">
        <v>262</v>
      </c>
      <c r="D1924" t="s">
        <v>269</v>
      </c>
      <c r="E1924" t="s">
        <v>272</v>
      </c>
      <c r="F1924" t="s">
        <v>277</v>
      </c>
      <c r="G1924" s="7">
        <v>1</v>
      </c>
      <c r="H1924" s="3">
        <v>31326.62</v>
      </c>
      <c r="I1924" s="3">
        <v>31326.62</v>
      </c>
    </row>
    <row r="1925" spans="1:9" x14ac:dyDescent="0.3">
      <c r="A1925" s="5" t="s">
        <v>77</v>
      </c>
      <c r="B1925" t="s">
        <v>256</v>
      </c>
      <c r="C1925" t="s">
        <v>265</v>
      </c>
      <c r="D1925" t="s">
        <v>266</v>
      </c>
      <c r="E1925" t="s">
        <v>274</v>
      </c>
      <c r="F1925" t="s">
        <v>280</v>
      </c>
      <c r="G1925" s="7">
        <v>1</v>
      </c>
      <c r="H1925" s="3">
        <v>35333.480000000003</v>
      </c>
      <c r="I1925" s="3">
        <v>35333.480000000003</v>
      </c>
    </row>
    <row r="1926" spans="1:9" x14ac:dyDescent="0.3">
      <c r="A1926" s="5" t="s">
        <v>77</v>
      </c>
      <c r="B1926" t="s">
        <v>257</v>
      </c>
      <c r="C1926" t="s">
        <v>263</v>
      </c>
      <c r="D1926" t="s">
        <v>267</v>
      </c>
      <c r="E1926" t="s">
        <v>274</v>
      </c>
      <c r="F1926" t="s">
        <v>280</v>
      </c>
      <c r="G1926" s="7">
        <v>8</v>
      </c>
      <c r="H1926" s="3">
        <v>37513.78</v>
      </c>
      <c r="I1926" s="3">
        <v>300110.24</v>
      </c>
    </row>
    <row r="1927" spans="1:9" x14ac:dyDescent="0.3">
      <c r="A1927" s="5" t="s">
        <v>77</v>
      </c>
      <c r="B1927" t="s">
        <v>255</v>
      </c>
      <c r="C1927" t="s">
        <v>263</v>
      </c>
      <c r="D1927" t="s">
        <v>270</v>
      </c>
      <c r="E1927" t="s">
        <v>271</v>
      </c>
      <c r="F1927" t="s">
        <v>275</v>
      </c>
      <c r="G1927" s="7">
        <v>2</v>
      </c>
      <c r="H1927" s="3">
        <v>10030.85</v>
      </c>
      <c r="I1927" s="3">
        <v>20061.7</v>
      </c>
    </row>
    <row r="1928" spans="1:9" x14ac:dyDescent="0.3">
      <c r="A1928" s="5" t="s">
        <v>78</v>
      </c>
      <c r="B1928" t="s">
        <v>260</v>
      </c>
      <c r="C1928" t="s">
        <v>261</v>
      </c>
      <c r="D1928" t="s">
        <v>270</v>
      </c>
      <c r="E1928" t="s">
        <v>273</v>
      </c>
      <c r="F1928" t="s">
        <v>288</v>
      </c>
      <c r="G1928" s="7">
        <v>5</v>
      </c>
      <c r="H1928" s="3">
        <v>53877.66</v>
      </c>
      <c r="I1928" s="3">
        <v>269388.3</v>
      </c>
    </row>
    <row r="1929" spans="1:9" x14ac:dyDescent="0.3">
      <c r="A1929" s="5" t="s">
        <v>78</v>
      </c>
      <c r="B1929" t="s">
        <v>254</v>
      </c>
      <c r="C1929" t="s">
        <v>263</v>
      </c>
      <c r="D1929" t="s">
        <v>266</v>
      </c>
      <c r="E1929" t="s">
        <v>273</v>
      </c>
      <c r="F1929" t="s">
        <v>279</v>
      </c>
      <c r="G1929" s="7">
        <v>4</v>
      </c>
      <c r="H1929" s="3">
        <v>45704.37</v>
      </c>
      <c r="I1929" s="3">
        <v>182817.48</v>
      </c>
    </row>
    <row r="1930" spans="1:9" x14ac:dyDescent="0.3">
      <c r="A1930" s="5" t="s">
        <v>78</v>
      </c>
      <c r="B1930" t="s">
        <v>260</v>
      </c>
      <c r="C1930" t="s">
        <v>264</v>
      </c>
      <c r="D1930" t="s">
        <v>268</v>
      </c>
      <c r="E1930" t="s">
        <v>271</v>
      </c>
      <c r="F1930" t="s">
        <v>281</v>
      </c>
      <c r="G1930" s="7">
        <v>8</v>
      </c>
      <c r="H1930" s="3">
        <v>9597.74</v>
      </c>
      <c r="I1930" s="3">
        <v>76781.919999999998</v>
      </c>
    </row>
    <row r="1931" spans="1:9" x14ac:dyDescent="0.3">
      <c r="A1931" s="5" t="s">
        <v>78</v>
      </c>
      <c r="B1931" t="s">
        <v>254</v>
      </c>
      <c r="C1931" t="s">
        <v>264</v>
      </c>
      <c r="D1931" t="s">
        <v>268</v>
      </c>
      <c r="E1931" t="s">
        <v>272</v>
      </c>
      <c r="F1931" t="s">
        <v>286</v>
      </c>
      <c r="G1931" s="7">
        <v>2</v>
      </c>
      <c r="H1931" s="3">
        <v>26804.400000000001</v>
      </c>
      <c r="I1931" s="3">
        <v>53608.800000000003</v>
      </c>
    </row>
    <row r="1932" spans="1:9" x14ac:dyDescent="0.3">
      <c r="A1932" s="5" t="s">
        <v>78</v>
      </c>
      <c r="B1932" t="s">
        <v>260</v>
      </c>
      <c r="C1932" t="s">
        <v>261</v>
      </c>
      <c r="D1932" t="s">
        <v>268</v>
      </c>
      <c r="E1932" t="s">
        <v>271</v>
      </c>
      <c r="F1932" t="s">
        <v>275</v>
      </c>
      <c r="G1932" s="7">
        <v>9</v>
      </c>
      <c r="H1932" s="3">
        <v>10622.74</v>
      </c>
      <c r="I1932" s="3">
        <v>95604.66</v>
      </c>
    </row>
    <row r="1933" spans="1:9" x14ac:dyDescent="0.3">
      <c r="A1933" s="5" t="s">
        <v>78</v>
      </c>
      <c r="B1933" t="s">
        <v>259</v>
      </c>
      <c r="C1933" t="s">
        <v>264</v>
      </c>
      <c r="D1933" t="s">
        <v>270</v>
      </c>
      <c r="E1933" t="s">
        <v>274</v>
      </c>
      <c r="F1933" t="s">
        <v>287</v>
      </c>
      <c r="G1933" s="7">
        <v>7</v>
      </c>
      <c r="H1933" s="3">
        <v>29444.28</v>
      </c>
      <c r="I1933" s="3">
        <v>206109.96</v>
      </c>
    </row>
    <row r="1934" spans="1:9" x14ac:dyDescent="0.3">
      <c r="A1934" s="5" t="s">
        <v>79</v>
      </c>
      <c r="B1934" t="s">
        <v>255</v>
      </c>
      <c r="C1934" t="s">
        <v>262</v>
      </c>
      <c r="D1934" t="s">
        <v>268</v>
      </c>
      <c r="E1934" t="s">
        <v>273</v>
      </c>
      <c r="F1934" t="s">
        <v>278</v>
      </c>
      <c r="G1934" s="7">
        <v>7</v>
      </c>
      <c r="H1934" s="3">
        <v>38432.06</v>
      </c>
      <c r="I1934" s="3">
        <v>269024.42</v>
      </c>
    </row>
    <row r="1935" spans="1:9" x14ac:dyDescent="0.3">
      <c r="A1935" s="5" t="s">
        <v>79</v>
      </c>
      <c r="B1935" t="s">
        <v>257</v>
      </c>
      <c r="C1935" t="s">
        <v>261</v>
      </c>
      <c r="D1935" t="s">
        <v>269</v>
      </c>
      <c r="E1935" t="s">
        <v>271</v>
      </c>
      <c r="F1935" t="s">
        <v>275</v>
      </c>
      <c r="G1935" s="7">
        <v>1</v>
      </c>
      <c r="H1935" s="3">
        <v>7730.95</v>
      </c>
      <c r="I1935" s="3">
        <v>7730.95</v>
      </c>
    </row>
    <row r="1936" spans="1:9" x14ac:dyDescent="0.3">
      <c r="A1936" s="5" t="s">
        <v>79</v>
      </c>
      <c r="B1936" t="s">
        <v>254</v>
      </c>
      <c r="C1936" t="s">
        <v>262</v>
      </c>
      <c r="D1936" t="s">
        <v>267</v>
      </c>
      <c r="E1936" t="s">
        <v>272</v>
      </c>
      <c r="F1936" t="s">
        <v>277</v>
      </c>
      <c r="G1936" s="7">
        <v>2</v>
      </c>
      <c r="H1936" s="3">
        <v>32489.77</v>
      </c>
      <c r="I1936" s="3">
        <v>64979.54</v>
      </c>
    </row>
    <row r="1937" spans="1:9" x14ac:dyDescent="0.3">
      <c r="A1937" s="5" t="s">
        <v>79</v>
      </c>
      <c r="B1937" t="s">
        <v>257</v>
      </c>
      <c r="C1937" t="s">
        <v>265</v>
      </c>
      <c r="D1937" t="s">
        <v>270</v>
      </c>
      <c r="E1937" t="s">
        <v>271</v>
      </c>
      <c r="F1937" t="s">
        <v>275</v>
      </c>
      <c r="G1937" s="7">
        <v>4</v>
      </c>
      <c r="H1937" s="3">
        <v>8744.06</v>
      </c>
      <c r="I1937" s="3">
        <v>34976.239999999998</v>
      </c>
    </row>
    <row r="1938" spans="1:9" x14ac:dyDescent="0.3">
      <c r="A1938" s="5" t="s">
        <v>79</v>
      </c>
      <c r="B1938" t="s">
        <v>257</v>
      </c>
      <c r="C1938" t="s">
        <v>262</v>
      </c>
      <c r="D1938" t="s">
        <v>266</v>
      </c>
      <c r="E1938" t="s">
        <v>273</v>
      </c>
      <c r="F1938" t="s">
        <v>288</v>
      </c>
      <c r="G1938" s="7">
        <v>4</v>
      </c>
      <c r="H1938" s="3">
        <v>46305</v>
      </c>
      <c r="I1938" s="3">
        <v>185220</v>
      </c>
    </row>
    <row r="1939" spans="1:9" x14ac:dyDescent="0.3">
      <c r="A1939" s="5" t="s">
        <v>79</v>
      </c>
      <c r="B1939" t="s">
        <v>257</v>
      </c>
      <c r="C1939" t="s">
        <v>265</v>
      </c>
      <c r="D1939" t="s">
        <v>266</v>
      </c>
      <c r="E1939" t="s">
        <v>271</v>
      </c>
      <c r="F1939" t="s">
        <v>275</v>
      </c>
      <c r="G1939" s="7">
        <v>3</v>
      </c>
      <c r="H1939" s="3">
        <v>10472.08</v>
      </c>
      <c r="I1939" s="3">
        <v>31416.240000000002</v>
      </c>
    </row>
    <row r="1940" spans="1:9" x14ac:dyDescent="0.3">
      <c r="A1940" s="5" t="s">
        <v>80</v>
      </c>
      <c r="B1940" t="s">
        <v>253</v>
      </c>
      <c r="C1940" t="s">
        <v>265</v>
      </c>
      <c r="D1940" t="s">
        <v>267</v>
      </c>
      <c r="E1940" t="s">
        <v>271</v>
      </c>
      <c r="F1940" t="s">
        <v>285</v>
      </c>
      <c r="G1940" s="7">
        <v>7</v>
      </c>
      <c r="H1940" s="3">
        <v>10351.76</v>
      </c>
      <c r="I1940" s="3">
        <v>72462.320000000007</v>
      </c>
    </row>
    <row r="1941" spans="1:9" x14ac:dyDescent="0.3">
      <c r="A1941" s="5" t="s">
        <v>80</v>
      </c>
      <c r="B1941" t="s">
        <v>256</v>
      </c>
      <c r="C1941" t="s">
        <v>262</v>
      </c>
      <c r="D1941" t="s">
        <v>270</v>
      </c>
      <c r="E1941" t="s">
        <v>273</v>
      </c>
      <c r="F1941" t="s">
        <v>288</v>
      </c>
      <c r="G1941" s="7">
        <v>8</v>
      </c>
      <c r="H1941" s="3">
        <v>43851.51</v>
      </c>
      <c r="I1941" s="3">
        <v>350812.08</v>
      </c>
    </row>
    <row r="1942" spans="1:9" x14ac:dyDescent="0.3">
      <c r="A1942" s="5" t="s">
        <v>80</v>
      </c>
      <c r="B1942" t="s">
        <v>260</v>
      </c>
      <c r="C1942" t="s">
        <v>261</v>
      </c>
      <c r="D1942" t="s">
        <v>268</v>
      </c>
      <c r="E1942" t="s">
        <v>274</v>
      </c>
      <c r="F1942" t="s">
        <v>289</v>
      </c>
      <c r="G1942" s="7">
        <v>2</v>
      </c>
      <c r="H1942" s="3">
        <v>29875.94</v>
      </c>
      <c r="I1942" s="3">
        <v>59751.88</v>
      </c>
    </row>
    <row r="1943" spans="1:9" x14ac:dyDescent="0.3">
      <c r="A1943" s="5" t="s">
        <v>80</v>
      </c>
      <c r="B1943" t="s">
        <v>257</v>
      </c>
      <c r="C1943" t="s">
        <v>264</v>
      </c>
      <c r="D1943" t="s">
        <v>268</v>
      </c>
      <c r="E1943" t="s">
        <v>274</v>
      </c>
      <c r="F1943" t="s">
        <v>284</v>
      </c>
      <c r="G1943" s="7">
        <v>4</v>
      </c>
      <c r="H1943" s="3">
        <v>38060.57</v>
      </c>
      <c r="I1943" s="3">
        <v>152242.28</v>
      </c>
    </row>
    <row r="1944" spans="1:9" x14ac:dyDescent="0.3">
      <c r="A1944" s="5" t="s">
        <v>80</v>
      </c>
      <c r="B1944" t="s">
        <v>260</v>
      </c>
      <c r="C1944" t="s">
        <v>264</v>
      </c>
      <c r="D1944" t="s">
        <v>269</v>
      </c>
      <c r="E1944" t="s">
        <v>273</v>
      </c>
      <c r="F1944" t="s">
        <v>283</v>
      </c>
      <c r="G1944" s="7">
        <v>3</v>
      </c>
      <c r="H1944" s="3">
        <v>54558.34</v>
      </c>
      <c r="I1944" s="3">
        <v>163675.01999999999</v>
      </c>
    </row>
    <row r="1945" spans="1:9" x14ac:dyDescent="0.3">
      <c r="A1945" s="5" t="s">
        <v>80</v>
      </c>
      <c r="B1945" t="s">
        <v>257</v>
      </c>
      <c r="C1945" t="s">
        <v>265</v>
      </c>
      <c r="D1945" t="s">
        <v>269</v>
      </c>
      <c r="E1945" t="s">
        <v>271</v>
      </c>
      <c r="F1945" t="s">
        <v>282</v>
      </c>
      <c r="G1945" s="7">
        <v>2</v>
      </c>
      <c r="H1945" s="3">
        <v>9066.43</v>
      </c>
      <c r="I1945" s="3">
        <v>18132.86</v>
      </c>
    </row>
    <row r="1946" spans="1:9" x14ac:dyDescent="0.3">
      <c r="A1946" s="5" t="s">
        <v>80</v>
      </c>
      <c r="B1946" t="s">
        <v>254</v>
      </c>
      <c r="C1946" t="s">
        <v>265</v>
      </c>
      <c r="D1946" t="s">
        <v>268</v>
      </c>
      <c r="E1946" t="s">
        <v>273</v>
      </c>
      <c r="F1946" t="s">
        <v>283</v>
      </c>
      <c r="G1946" s="7">
        <v>6</v>
      </c>
      <c r="H1946" s="3">
        <v>49579.63</v>
      </c>
      <c r="I1946" s="3">
        <v>297477.78000000003</v>
      </c>
    </row>
    <row r="1947" spans="1:9" x14ac:dyDescent="0.3">
      <c r="A1947" s="5" t="s">
        <v>81</v>
      </c>
      <c r="B1947" t="s">
        <v>256</v>
      </c>
      <c r="C1947" t="s">
        <v>261</v>
      </c>
      <c r="D1947" t="s">
        <v>266</v>
      </c>
      <c r="E1947" t="s">
        <v>274</v>
      </c>
      <c r="F1947" t="s">
        <v>289</v>
      </c>
      <c r="G1947" s="7">
        <v>4</v>
      </c>
      <c r="H1947" s="3">
        <v>30488.5</v>
      </c>
      <c r="I1947" s="3">
        <v>121954</v>
      </c>
    </row>
    <row r="1948" spans="1:9" x14ac:dyDescent="0.3">
      <c r="A1948" s="5" t="s">
        <v>81</v>
      </c>
      <c r="B1948" t="s">
        <v>256</v>
      </c>
      <c r="C1948" t="s">
        <v>263</v>
      </c>
      <c r="D1948" t="s">
        <v>266</v>
      </c>
      <c r="E1948" t="s">
        <v>272</v>
      </c>
      <c r="F1948" t="s">
        <v>286</v>
      </c>
      <c r="G1948" s="7">
        <v>6</v>
      </c>
      <c r="H1948" s="3">
        <v>32768.99</v>
      </c>
      <c r="I1948" s="3">
        <v>196613.94</v>
      </c>
    </row>
    <row r="1949" spans="1:9" x14ac:dyDescent="0.3">
      <c r="A1949" s="5" t="s">
        <v>81</v>
      </c>
      <c r="B1949" t="s">
        <v>259</v>
      </c>
      <c r="C1949" t="s">
        <v>262</v>
      </c>
      <c r="D1949" t="s">
        <v>269</v>
      </c>
      <c r="E1949" t="s">
        <v>271</v>
      </c>
      <c r="F1949" t="s">
        <v>281</v>
      </c>
      <c r="G1949" s="7">
        <v>2</v>
      </c>
      <c r="H1949" s="3">
        <v>9374.2199999999993</v>
      </c>
      <c r="I1949" s="3">
        <v>18748.439999999999</v>
      </c>
    </row>
    <row r="1950" spans="1:9" x14ac:dyDescent="0.3">
      <c r="A1950" s="5" t="s">
        <v>81</v>
      </c>
      <c r="B1950" t="s">
        <v>253</v>
      </c>
      <c r="C1950" t="s">
        <v>265</v>
      </c>
      <c r="D1950" t="s">
        <v>267</v>
      </c>
      <c r="E1950" t="s">
        <v>274</v>
      </c>
      <c r="F1950" t="s">
        <v>289</v>
      </c>
      <c r="G1950" s="7">
        <v>4</v>
      </c>
      <c r="H1950" s="3">
        <v>33644.97</v>
      </c>
      <c r="I1950" s="3">
        <v>134579.88</v>
      </c>
    </row>
    <row r="1951" spans="1:9" x14ac:dyDescent="0.3">
      <c r="A1951" s="5" t="s">
        <v>81</v>
      </c>
      <c r="B1951" t="s">
        <v>259</v>
      </c>
      <c r="C1951" t="s">
        <v>264</v>
      </c>
      <c r="D1951" t="s">
        <v>268</v>
      </c>
      <c r="E1951" t="s">
        <v>271</v>
      </c>
      <c r="F1951" t="s">
        <v>281</v>
      </c>
      <c r="G1951" s="7">
        <v>6</v>
      </c>
      <c r="H1951" s="3">
        <v>7429.37</v>
      </c>
      <c r="I1951" s="3">
        <v>44576.22</v>
      </c>
    </row>
    <row r="1952" spans="1:9" x14ac:dyDescent="0.3">
      <c r="A1952" s="5" t="s">
        <v>81</v>
      </c>
      <c r="B1952" t="s">
        <v>259</v>
      </c>
      <c r="C1952" t="s">
        <v>261</v>
      </c>
      <c r="D1952" t="s">
        <v>269</v>
      </c>
      <c r="E1952" t="s">
        <v>273</v>
      </c>
      <c r="F1952" t="s">
        <v>278</v>
      </c>
      <c r="G1952" s="7">
        <v>5</v>
      </c>
      <c r="H1952" s="3">
        <v>54736.83</v>
      </c>
      <c r="I1952" s="3">
        <v>273684.15000000002</v>
      </c>
    </row>
    <row r="1953" spans="1:9" x14ac:dyDescent="0.3">
      <c r="A1953" s="5" t="s">
        <v>82</v>
      </c>
      <c r="B1953" t="s">
        <v>259</v>
      </c>
      <c r="C1953" t="s">
        <v>262</v>
      </c>
      <c r="D1953" t="s">
        <v>269</v>
      </c>
      <c r="E1953" t="s">
        <v>272</v>
      </c>
      <c r="F1953" t="s">
        <v>277</v>
      </c>
      <c r="G1953" s="7">
        <v>3</v>
      </c>
      <c r="H1953" s="3">
        <v>30693.06</v>
      </c>
      <c r="I1953" s="3">
        <v>92079.18</v>
      </c>
    </row>
    <row r="1954" spans="1:9" x14ac:dyDescent="0.3">
      <c r="A1954" s="5" t="s">
        <v>82</v>
      </c>
      <c r="B1954" t="s">
        <v>259</v>
      </c>
      <c r="C1954" t="s">
        <v>261</v>
      </c>
      <c r="D1954" t="s">
        <v>268</v>
      </c>
      <c r="E1954" t="s">
        <v>273</v>
      </c>
      <c r="F1954" t="s">
        <v>278</v>
      </c>
      <c r="G1954" s="7">
        <v>8</v>
      </c>
      <c r="H1954" s="3">
        <v>41718.44</v>
      </c>
      <c r="I1954" s="3">
        <v>333747.52</v>
      </c>
    </row>
    <row r="1955" spans="1:9" x14ac:dyDescent="0.3">
      <c r="A1955" s="5" t="s">
        <v>82</v>
      </c>
      <c r="B1955" t="s">
        <v>259</v>
      </c>
      <c r="C1955" t="s">
        <v>262</v>
      </c>
      <c r="D1955" t="s">
        <v>268</v>
      </c>
      <c r="E1955" t="s">
        <v>272</v>
      </c>
      <c r="F1955" t="s">
        <v>286</v>
      </c>
      <c r="G1955" s="7">
        <v>7</v>
      </c>
      <c r="H1955" s="3">
        <v>30591.52</v>
      </c>
      <c r="I1955" s="3">
        <v>214140.64</v>
      </c>
    </row>
    <row r="1956" spans="1:9" x14ac:dyDescent="0.3">
      <c r="A1956" s="5" t="s">
        <v>82</v>
      </c>
      <c r="B1956" t="s">
        <v>255</v>
      </c>
      <c r="C1956" t="s">
        <v>262</v>
      </c>
      <c r="D1956" t="s">
        <v>266</v>
      </c>
      <c r="E1956" t="s">
        <v>271</v>
      </c>
      <c r="F1956" t="s">
        <v>281</v>
      </c>
      <c r="G1956" s="7">
        <v>3</v>
      </c>
      <c r="H1956" s="3">
        <v>9528.3799999999992</v>
      </c>
      <c r="I1956" s="3">
        <v>28585.14</v>
      </c>
    </row>
    <row r="1957" spans="1:9" x14ac:dyDescent="0.3">
      <c r="A1957" s="5" t="s">
        <v>82</v>
      </c>
      <c r="B1957" t="s">
        <v>256</v>
      </c>
      <c r="C1957" t="s">
        <v>265</v>
      </c>
      <c r="D1957" t="s">
        <v>267</v>
      </c>
      <c r="E1957" t="s">
        <v>271</v>
      </c>
      <c r="F1957" t="s">
        <v>282</v>
      </c>
      <c r="G1957" s="7">
        <v>6</v>
      </c>
      <c r="H1957" s="3">
        <v>9012.6200000000008</v>
      </c>
      <c r="I1957" s="3">
        <v>54075.72</v>
      </c>
    </row>
    <row r="1958" spans="1:9" x14ac:dyDescent="0.3">
      <c r="A1958" s="5" t="s">
        <v>82</v>
      </c>
      <c r="B1958" t="s">
        <v>259</v>
      </c>
      <c r="C1958" t="s">
        <v>261</v>
      </c>
      <c r="D1958" t="s">
        <v>267</v>
      </c>
      <c r="E1958" t="s">
        <v>273</v>
      </c>
      <c r="F1958" t="s">
        <v>283</v>
      </c>
      <c r="G1958" s="7">
        <v>4</v>
      </c>
      <c r="H1958" s="3">
        <v>51175.83</v>
      </c>
      <c r="I1958" s="3">
        <v>204703.32</v>
      </c>
    </row>
    <row r="1959" spans="1:9" x14ac:dyDescent="0.3">
      <c r="A1959" s="5" t="s">
        <v>83</v>
      </c>
      <c r="B1959" t="s">
        <v>257</v>
      </c>
      <c r="C1959" t="s">
        <v>261</v>
      </c>
      <c r="D1959" t="s">
        <v>268</v>
      </c>
      <c r="E1959" t="s">
        <v>272</v>
      </c>
      <c r="F1959" t="s">
        <v>290</v>
      </c>
      <c r="G1959" s="7">
        <v>5</v>
      </c>
      <c r="H1959" s="3">
        <v>30312.28</v>
      </c>
      <c r="I1959" s="3">
        <v>151561.4</v>
      </c>
    </row>
    <row r="1960" spans="1:9" x14ac:dyDescent="0.3">
      <c r="A1960" s="5" t="s">
        <v>83</v>
      </c>
      <c r="B1960" t="s">
        <v>256</v>
      </c>
      <c r="C1960" t="s">
        <v>264</v>
      </c>
      <c r="D1960" t="s">
        <v>270</v>
      </c>
      <c r="E1960" t="s">
        <v>272</v>
      </c>
      <c r="F1960" t="s">
        <v>290</v>
      </c>
      <c r="G1960" s="7">
        <v>5</v>
      </c>
      <c r="H1960" s="3">
        <v>34415.019999999997</v>
      </c>
      <c r="I1960" s="3">
        <v>172075.1</v>
      </c>
    </row>
    <row r="1961" spans="1:9" x14ac:dyDescent="0.3">
      <c r="A1961" s="5" t="s">
        <v>83</v>
      </c>
      <c r="B1961" t="s">
        <v>256</v>
      </c>
      <c r="C1961" t="s">
        <v>264</v>
      </c>
      <c r="D1961" t="s">
        <v>269</v>
      </c>
      <c r="E1961" t="s">
        <v>271</v>
      </c>
      <c r="F1961" t="s">
        <v>281</v>
      </c>
      <c r="G1961" s="7">
        <v>7</v>
      </c>
      <c r="H1961" s="3">
        <v>7407.57</v>
      </c>
      <c r="I1961" s="3">
        <v>51852.99</v>
      </c>
    </row>
    <row r="1962" spans="1:9" x14ac:dyDescent="0.3">
      <c r="A1962" s="5" t="s">
        <v>83</v>
      </c>
      <c r="B1962" t="s">
        <v>258</v>
      </c>
      <c r="C1962" t="s">
        <v>265</v>
      </c>
      <c r="D1962" t="s">
        <v>269</v>
      </c>
      <c r="E1962" t="s">
        <v>273</v>
      </c>
      <c r="F1962" t="s">
        <v>278</v>
      </c>
      <c r="G1962" s="7">
        <v>5</v>
      </c>
      <c r="H1962" s="3">
        <v>40162.42</v>
      </c>
      <c r="I1962" s="3">
        <v>200812.1</v>
      </c>
    </row>
    <row r="1963" spans="1:9" x14ac:dyDescent="0.3">
      <c r="A1963" s="5" t="s">
        <v>83</v>
      </c>
      <c r="B1963" t="s">
        <v>255</v>
      </c>
      <c r="C1963" t="s">
        <v>265</v>
      </c>
      <c r="D1963" t="s">
        <v>268</v>
      </c>
      <c r="E1963" t="s">
        <v>272</v>
      </c>
      <c r="F1963" t="s">
        <v>286</v>
      </c>
      <c r="G1963" s="7">
        <v>3</v>
      </c>
      <c r="H1963" s="3">
        <v>25745.119999999999</v>
      </c>
      <c r="I1963" s="3">
        <v>77235.360000000001</v>
      </c>
    </row>
    <row r="1964" spans="1:9" x14ac:dyDescent="0.3">
      <c r="A1964" s="5" t="s">
        <v>83</v>
      </c>
      <c r="B1964" t="s">
        <v>259</v>
      </c>
      <c r="C1964" t="s">
        <v>263</v>
      </c>
      <c r="D1964" t="s">
        <v>270</v>
      </c>
      <c r="E1964" t="s">
        <v>271</v>
      </c>
      <c r="F1964" t="s">
        <v>282</v>
      </c>
      <c r="G1964" s="7">
        <v>5</v>
      </c>
      <c r="H1964" s="3">
        <v>9571.58</v>
      </c>
      <c r="I1964" s="3">
        <v>47857.9</v>
      </c>
    </row>
    <row r="1965" spans="1:9" x14ac:dyDescent="0.3">
      <c r="A1965" s="5" t="s">
        <v>84</v>
      </c>
      <c r="B1965" t="s">
        <v>260</v>
      </c>
      <c r="C1965" t="s">
        <v>264</v>
      </c>
      <c r="D1965" t="s">
        <v>266</v>
      </c>
      <c r="E1965" t="s">
        <v>274</v>
      </c>
      <c r="F1965" t="s">
        <v>287</v>
      </c>
      <c r="G1965" s="7">
        <v>7</v>
      </c>
      <c r="H1965" s="3">
        <v>35463.629999999997</v>
      </c>
      <c r="I1965" s="3">
        <v>248245.41</v>
      </c>
    </row>
    <row r="1966" spans="1:9" x14ac:dyDescent="0.3">
      <c r="A1966" s="5" t="s">
        <v>84</v>
      </c>
      <c r="B1966" t="s">
        <v>254</v>
      </c>
      <c r="C1966" t="s">
        <v>262</v>
      </c>
      <c r="D1966" t="s">
        <v>268</v>
      </c>
      <c r="E1966" t="s">
        <v>273</v>
      </c>
      <c r="F1966" t="s">
        <v>278</v>
      </c>
      <c r="G1966" s="7">
        <v>5</v>
      </c>
      <c r="H1966" s="3">
        <v>54307.06</v>
      </c>
      <c r="I1966" s="3">
        <v>271535.3</v>
      </c>
    </row>
    <row r="1967" spans="1:9" x14ac:dyDescent="0.3">
      <c r="A1967" s="5" t="s">
        <v>84</v>
      </c>
      <c r="B1967" t="s">
        <v>253</v>
      </c>
      <c r="C1967" t="s">
        <v>261</v>
      </c>
      <c r="D1967" t="s">
        <v>268</v>
      </c>
      <c r="E1967" t="s">
        <v>274</v>
      </c>
      <c r="F1967" t="s">
        <v>289</v>
      </c>
      <c r="G1967" s="7">
        <v>5</v>
      </c>
      <c r="H1967" s="3">
        <v>36580.83</v>
      </c>
      <c r="I1967" s="3">
        <v>182904.15</v>
      </c>
    </row>
    <row r="1968" spans="1:9" x14ac:dyDescent="0.3">
      <c r="A1968" s="5" t="s">
        <v>84</v>
      </c>
      <c r="B1968" t="s">
        <v>257</v>
      </c>
      <c r="C1968" t="s">
        <v>265</v>
      </c>
      <c r="D1968" t="s">
        <v>269</v>
      </c>
      <c r="E1968" t="s">
        <v>273</v>
      </c>
      <c r="F1968" t="s">
        <v>283</v>
      </c>
      <c r="G1968" s="7">
        <v>9</v>
      </c>
      <c r="H1968" s="3">
        <v>47400.4</v>
      </c>
      <c r="I1968" s="3">
        <v>426603.6</v>
      </c>
    </row>
    <row r="1969" spans="1:9" x14ac:dyDescent="0.3">
      <c r="A1969" s="5" t="s">
        <v>84</v>
      </c>
      <c r="B1969" t="s">
        <v>260</v>
      </c>
      <c r="C1969" t="s">
        <v>261</v>
      </c>
      <c r="D1969" t="s">
        <v>268</v>
      </c>
      <c r="E1969" t="s">
        <v>271</v>
      </c>
      <c r="F1969" t="s">
        <v>285</v>
      </c>
      <c r="G1969" s="7">
        <v>3</v>
      </c>
      <c r="H1969" s="3">
        <v>10597.23</v>
      </c>
      <c r="I1969" s="3">
        <v>31791.69</v>
      </c>
    </row>
    <row r="1970" spans="1:9" x14ac:dyDescent="0.3">
      <c r="A1970" s="5" t="s">
        <v>84</v>
      </c>
      <c r="B1970" t="s">
        <v>255</v>
      </c>
      <c r="C1970" t="s">
        <v>261</v>
      </c>
      <c r="D1970" t="s">
        <v>268</v>
      </c>
      <c r="E1970" t="s">
        <v>272</v>
      </c>
      <c r="F1970" t="s">
        <v>286</v>
      </c>
      <c r="G1970" s="7">
        <v>6</v>
      </c>
      <c r="H1970" s="3">
        <v>26780.41</v>
      </c>
      <c r="I1970" s="3">
        <v>160682.46</v>
      </c>
    </row>
    <row r="1971" spans="1:9" x14ac:dyDescent="0.3">
      <c r="A1971" s="5" t="s">
        <v>85</v>
      </c>
      <c r="B1971" t="s">
        <v>254</v>
      </c>
      <c r="C1971" t="s">
        <v>263</v>
      </c>
      <c r="D1971" t="s">
        <v>268</v>
      </c>
      <c r="E1971" t="s">
        <v>272</v>
      </c>
      <c r="F1971" t="s">
        <v>290</v>
      </c>
      <c r="G1971" s="7">
        <v>1</v>
      </c>
      <c r="H1971" s="3">
        <v>33131.75</v>
      </c>
      <c r="I1971" s="3">
        <v>33131.75</v>
      </c>
    </row>
    <row r="1972" spans="1:9" x14ac:dyDescent="0.3">
      <c r="A1972" s="5" t="s">
        <v>85</v>
      </c>
      <c r="B1972" t="s">
        <v>255</v>
      </c>
      <c r="C1972" t="s">
        <v>264</v>
      </c>
      <c r="D1972" t="s">
        <v>269</v>
      </c>
      <c r="E1972" t="s">
        <v>272</v>
      </c>
      <c r="F1972" t="s">
        <v>277</v>
      </c>
      <c r="G1972" s="7">
        <v>5</v>
      </c>
      <c r="H1972" s="3">
        <v>28580.05</v>
      </c>
      <c r="I1972" s="3">
        <v>142900.25</v>
      </c>
    </row>
    <row r="1973" spans="1:9" x14ac:dyDescent="0.3">
      <c r="A1973" s="5" t="s">
        <v>85</v>
      </c>
      <c r="B1973" t="s">
        <v>257</v>
      </c>
      <c r="C1973" t="s">
        <v>265</v>
      </c>
      <c r="D1973" t="s">
        <v>266</v>
      </c>
      <c r="E1973" t="s">
        <v>273</v>
      </c>
      <c r="F1973" t="s">
        <v>288</v>
      </c>
      <c r="G1973" s="7">
        <v>8</v>
      </c>
      <c r="H1973" s="3">
        <v>49927.23</v>
      </c>
      <c r="I1973" s="3">
        <v>399417.84</v>
      </c>
    </row>
    <row r="1974" spans="1:9" x14ac:dyDescent="0.3">
      <c r="A1974" s="5" t="s">
        <v>85</v>
      </c>
      <c r="B1974" t="s">
        <v>256</v>
      </c>
      <c r="C1974" t="s">
        <v>261</v>
      </c>
      <c r="D1974" t="s">
        <v>266</v>
      </c>
      <c r="E1974" t="s">
        <v>271</v>
      </c>
      <c r="F1974" t="s">
        <v>275</v>
      </c>
      <c r="G1974" s="7">
        <v>5</v>
      </c>
      <c r="H1974" s="3">
        <v>9697.7099999999991</v>
      </c>
      <c r="I1974" s="3">
        <v>48488.55</v>
      </c>
    </row>
    <row r="1975" spans="1:9" x14ac:dyDescent="0.3">
      <c r="A1975" s="5" t="s">
        <v>85</v>
      </c>
      <c r="B1975" t="s">
        <v>254</v>
      </c>
      <c r="C1975" t="s">
        <v>265</v>
      </c>
      <c r="D1975" t="s">
        <v>268</v>
      </c>
      <c r="E1975" t="s">
        <v>274</v>
      </c>
      <c r="F1975" t="s">
        <v>287</v>
      </c>
      <c r="G1975" s="7">
        <v>9</v>
      </c>
      <c r="H1975" s="3">
        <v>35312.050000000003</v>
      </c>
      <c r="I1975" s="3">
        <v>317808.45</v>
      </c>
    </row>
    <row r="1976" spans="1:9" x14ac:dyDescent="0.3">
      <c r="A1976" s="5" t="s">
        <v>85</v>
      </c>
      <c r="B1976" t="s">
        <v>256</v>
      </c>
      <c r="C1976" t="s">
        <v>262</v>
      </c>
      <c r="D1976" t="s">
        <v>269</v>
      </c>
      <c r="E1976" t="s">
        <v>271</v>
      </c>
      <c r="F1976" t="s">
        <v>285</v>
      </c>
      <c r="G1976" s="7">
        <v>6</v>
      </c>
      <c r="H1976" s="3">
        <v>7702.72</v>
      </c>
      <c r="I1976" s="3">
        <v>46216.32</v>
      </c>
    </row>
    <row r="1977" spans="1:9" x14ac:dyDescent="0.3">
      <c r="A1977" s="5" t="s">
        <v>86</v>
      </c>
      <c r="B1977" t="s">
        <v>257</v>
      </c>
      <c r="C1977" t="s">
        <v>263</v>
      </c>
      <c r="D1977" t="s">
        <v>266</v>
      </c>
      <c r="E1977" t="s">
        <v>274</v>
      </c>
      <c r="F1977" t="s">
        <v>280</v>
      </c>
      <c r="G1977" s="7">
        <v>8</v>
      </c>
      <c r="H1977" s="3">
        <v>32869.769999999997</v>
      </c>
      <c r="I1977" s="3">
        <v>262958.15999999997</v>
      </c>
    </row>
    <row r="1978" spans="1:9" x14ac:dyDescent="0.3">
      <c r="A1978" s="5" t="s">
        <v>86</v>
      </c>
      <c r="B1978" t="s">
        <v>260</v>
      </c>
      <c r="C1978" t="s">
        <v>262</v>
      </c>
      <c r="D1978" t="s">
        <v>266</v>
      </c>
      <c r="E1978" t="s">
        <v>273</v>
      </c>
      <c r="F1978" t="s">
        <v>288</v>
      </c>
      <c r="G1978" s="7">
        <v>8</v>
      </c>
      <c r="H1978" s="3">
        <v>48355.89</v>
      </c>
      <c r="I1978" s="3">
        <v>386847.12</v>
      </c>
    </row>
    <row r="1979" spans="1:9" x14ac:dyDescent="0.3">
      <c r="A1979" s="5" t="s">
        <v>86</v>
      </c>
      <c r="B1979" t="s">
        <v>257</v>
      </c>
      <c r="C1979" t="s">
        <v>265</v>
      </c>
      <c r="D1979" t="s">
        <v>266</v>
      </c>
      <c r="E1979" t="s">
        <v>273</v>
      </c>
      <c r="F1979" t="s">
        <v>283</v>
      </c>
      <c r="G1979" s="7">
        <v>3</v>
      </c>
      <c r="H1979" s="3">
        <v>53532.79</v>
      </c>
      <c r="I1979" s="3">
        <v>160598.37</v>
      </c>
    </row>
    <row r="1980" spans="1:9" x14ac:dyDescent="0.3">
      <c r="A1980" s="5" t="s">
        <v>86</v>
      </c>
      <c r="B1980" t="s">
        <v>260</v>
      </c>
      <c r="C1980" t="s">
        <v>265</v>
      </c>
      <c r="D1980" t="s">
        <v>269</v>
      </c>
      <c r="E1980" t="s">
        <v>274</v>
      </c>
      <c r="F1980" t="s">
        <v>289</v>
      </c>
      <c r="G1980" s="7">
        <v>7</v>
      </c>
      <c r="H1980" s="3">
        <v>32878.67</v>
      </c>
      <c r="I1980" s="3">
        <v>230150.69</v>
      </c>
    </row>
    <row r="1981" spans="1:9" x14ac:dyDescent="0.3">
      <c r="A1981" s="5" t="s">
        <v>86</v>
      </c>
      <c r="B1981" t="s">
        <v>254</v>
      </c>
      <c r="C1981" t="s">
        <v>264</v>
      </c>
      <c r="D1981" t="s">
        <v>269</v>
      </c>
      <c r="E1981" t="s">
        <v>274</v>
      </c>
      <c r="F1981" t="s">
        <v>284</v>
      </c>
      <c r="G1981" s="7">
        <v>7</v>
      </c>
      <c r="H1981" s="3">
        <v>38959.97</v>
      </c>
      <c r="I1981" s="3">
        <v>272719.78999999998</v>
      </c>
    </row>
    <row r="1982" spans="1:9" x14ac:dyDescent="0.3">
      <c r="A1982" s="5" t="s">
        <v>86</v>
      </c>
      <c r="B1982" t="s">
        <v>254</v>
      </c>
      <c r="C1982" t="s">
        <v>261</v>
      </c>
      <c r="D1982" t="s">
        <v>268</v>
      </c>
      <c r="E1982" t="s">
        <v>274</v>
      </c>
      <c r="F1982" t="s">
        <v>289</v>
      </c>
      <c r="G1982" s="7">
        <v>6</v>
      </c>
      <c r="H1982" s="3">
        <v>32836.79</v>
      </c>
      <c r="I1982" s="3">
        <v>197020.74</v>
      </c>
    </row>
    <row r="1983" spans="1:9" x14ac:dyDescent="0.3">
      <c r="A1983" s="5" t="s">
        <v>86</v>
      </c>
      <c r="B1983" t="s">
        <v>259</v>
      </c>
      <c r="C1983" t="s">
        <v>261</v>
      </c>
      <c r="D1983" t="s">
        <v>267</v>
      </c>
      <c r="E1983" t="s">
        <v>271</v>
      </c>
      <c r="F1983" t="s">
        <v>281</v>
      </c>
      <c r="G1983" s="7">
        <v>7</v>
      </c>
      <c r="H1983" s="3">
        <v>9090.85</v>
      </c>
      <c r="I1983" s="3">
        <v>63635.95</v>
      </c>
    </row>
    <row r="1984" spans="1:9" x14ac:dyDescent="0.3">
      <c r="A1984" s="5" t="s">
        <v>87</v>
      </c>
      <c r="B1984" t="s">
        <v>255</v>
      </c>
      <c r="C1984" t="s">
        <v>262</v>
      </c>
      <c r="D1984" t="s">
        <v>266</v>
      </c>
      <c r="E1984" t="s">
        <v>274</v>
      </c>
      <c r="F1984" t="s">
        <v>280</v>
      </c>
      <c r="G1984" s="7">
        <v>2</v>
      </c>
      <c r="H1984" s="3">
        <v>37392.46</v>
      </c>
      <c r="I1984" s="3">
        <v>74784.92</v>
      </c>
    </row>
    <row r="1985" spans="1:9" x14ac:dyDescent="0.3">
      <c r="A1985" s="5" t="s">
        <v>87</v>
      </c>
      <c r="B1985" t="s">
        <v>259</v>
      </c>
      <c r="C1985" t="s">
        <v>263</v>
      </c>
      <c r="D1985" t="s">
        <v>267</v>
      </c>
      <c r="E1985" t="s">
        <v>273</v>
      </c>
      <c r="F1985" t="s">
        <v>278</v>
      </c>
      <c r="G1985" s="7">
        <v>9</v>
      </c>
      <c r="H1985" s="3">
        <v>48745.22</v>
      </c>
      <c r="I1985" s="3">
        <v>438706.98</v>
      </c>
    </row>
    <row r="1986" spans="1:9" x14ac:dyDescent="0.3">
      <c r="A1986" s="5" t="s">
        <v>87</v>
      </c>
      <c r="B1986" t="s">
        <v>255</v>
      </c>
      <c r="C1986" t="s">
        <v>261</v>
      </c>
      <c r="D1986" t="s">
        <v>269</v>
      </c>
      <c r="E1986" t="s">
        <v>273</v>
      </c>
      <c r="F1986" t="s">
        <v>283</v>
      </c>
      <c r="G1986" s="7">
        <v>1</v>
      </c>
      <c r="H1986" s="3">
        <v>55533.93</v>
      </c>
      <c r="I1986" s="3">
        <v>55533.93</v>
      </c>
    </row>
    <row r="1987" spans="1:9" x14ac:dyDescent="0.3">
      <c r="A1987" s="5" t="s">
        <v>87</v>
      </c>
      <c r="B1987" t="s">
        <v>259</v>
      </c>
      <c r="C1987" t="s">
        <v>264</v>
      </c>
      <c r="D1987" t="s">
        <v>269</v>
      </c>
      <c r="E1987" t="s">
        <v>272</v>
      </c>
      <c r="F1987" t="s">
        <v>286</v>
      </c>
      <c r="G1987" s="7">
        <v>1</v>
      </c>
      <c r="H1987" s="3">
        <v>31195.759999999998</v>
      </c>
      <c r="I1987" s="3">
        <v>31195.759999999998</v>
      </c>
    </row>
    <row r="1988" spans="1:9" x14ac:dyDescent="0.3">
      <c r="A1988" s="5" t="s">
        <v>87</v>
      </c>
      <c r="B1988" t="s">
        <v>256</v>
      </c>
      <c r="C1988" t="s">
        <v>262</v>
      </c>
      <c r="D1988" t="s">
        <v>269</v>
      </c>
      <c r="E1988" t="s">
        <v>274</v>
      </c>
      <c r="F1988" t="s">
        <v>284</v>
      </c>
      <c r="G1988" s="7">
        <v>3</v>
      </c>
      <c r="H1988" s="3">
        <v>33890.68</v>
      </c>
      <c r="I1988" s="3">
        <v>101672.04</v>
      </c>
    </row>
    <row r="1989" spans="1:9" x14ac:dyDescent="0.3">
      <c r="A1989" s="5" t="s">
        <v>87</v>
      </c>
      <c r="B1989" t="s">
        <v>254</v>
      </c>
      <c r="C1989" t="s">
        <v>262</v>
      </c>
      <c r="D1989" t="s">
        <v>267</v>
      </c>
      <c r="E1989" t="s">
        <v>271</v>
      </c>
      <c r="F1989" t="s">
        <v>282</v>
      </c>
      <c r="G1989" s="7">
        <v>3</v>
      </c>
      <c r="H1989" s="3">
        <v>7305.21</v>
      </c>
      <c r="I1989" s="3">
        <v>21915.63</v>
      </c>
    </row>
    <row r="1990" spans="1:9" x14ac:dyDescent="0.3">
      <c r="A1990" s="5" t="s">
        <v>88</v>
      </c>
      <c r="B1990" t="s">
        <v>260</v>
      </c>
      <c r="C1990" t="s">
        <v>264</v>
      </c>
      <c r="D1990" t="s">
        <v>269</v>
      </c>
      <c r="E1990" t="s">
        <v>271</v>
      </c>
      <c r="F1990" t="s">
        <v>281</v>
      </c>
      <c r="G1990" s="7">
        <v>1</v>
      </c>
      <c r="H1990" s="3">
        <v>8631.69</v>
      </c>
      <c r="I1990" s="3">
        <v>8631.69</v>
      </c>
    </row>
    <row r="1991" spans="1:9" x14ac:dyDescent="0.3">
      <c r="A1991" s="5" t="s">
        <v>88</v>
      </c>
      <c r="B1991" t="s">
        <v>255</v>
      </c>
      <c r="C1991" t="s">
        <v>263</v>
      </c>
      <c r="D1991" t="s">
        <v>268</v>
      </c>
      <c r="E1991" t="s">
        <v>271</v>
      </c>
      <c r="F1991" t="s">
        <v>285</v>
      </c>
      <c r="G1991" s="7">
        <v>7</v>
      </c>
      <c r="H1991" s="3">
        <v>8242.44</v>
      </c>
      <c r="I1991" s="3">
        <v>57697.08</v>
      </c>
    </row>
    <row r="1992" spans="1:9" x14ac:dyDescent="0.3">
      <c r="A1992" s="5" t="s">
        <v>88</v>
      </c>
      <c r="B1992" t="s">
        <v>257</v>
      </c>
      <c r="C1992" t="s">
        <v>264</v>
      </c>
      <c r="D1992" t="s">
        <v>269</v>
      </c>
      <c r="E1992" t="s">
        <v>272</v>
      </c>
      <c r="F1992" t="s">
        <v>286</v>
      </c>
      <c r="G1992" s="7">
        <v>4</v>
      </c>
      <c r="H1992" s="3">
        <v>32178.78</v>
      </c>
      <c r="I1992" s="3">
        <v>128715.12</v>
      </c>
    </row>
    <row r="1993" spans="1:9" x14ac:dyDescent="0.3">
      <c r="A1993" s="5" t="s">
        <v>88</v>
      </c>
      <c r="B1993" t="s">
        <v>255</v>
      </c>
      <c r="C1993" t="s">
        <v>263</v>
      </c>
      <c r="D1993" t="s">
        <v>270</v>
      </c>
      <c r="E1993" t="s">
        <v>273</v>
      </c>
      <c r="F1993" t="s">
        <v>283</v>
      </c>
      <c r="G1993" s="7">
        <v>2</v>
      </c>
      <c r="H1993" s="3">
        <v>41999</v>
      </c>
      <c r="I1993" s="3">
        <v>83998</v>
      </c>
    </row>
    <row r="1994" spans="1:9" x14ac:dyDescent="0.3">
      <c r="A1994" s="5" t="s">
        <v>88</v>
      </c>
      <c r="B1994" t="s">
        <v>260</v>
      </c>
      <c r="C1994" t="s">
        <v>264</v>
      </c>
      <c r="D1994" t="s">
        <v>267</v>
      </c>
      <c r="E1994" t="s">
        <v>271</v>
      </c>
      <c r="F1994" t="s">
        <v>281</v>
      </c>
      <c r="G1994" s="7">
        <v>5</v>
      </c>
      <c r="H1994" s="3">
        <v>7922.75</v>
      </c>
      <c r="I1994" s="3">
        <v>39613.75</v>
      </c>
    </row>
    <row r="1995" spans="1:9" x14ac:dyDescent="0.3">
      <c r="A1995" s="5" t="s">
        <v>88</v>
      </c>
      <c r="B1995" t="s">
        <v>259</v>
      </c>
      <c r="C1995" t="s">
        <v>264</v>
      </c>
      <c r="D1995" t="s">
        <v>270</v>
      </c>
      <c r="E1995" t="s">
        <v>273</v>
      </c>
      <c r="F1995" t="s">
        <v>279</v>
      </c>
      <c r="G1995" s="7">
        <v>6</v>
      </c>
      <c r="H1995" s="3">
        <v>41661.339999999997</v>
      </c>
      <c r="I1995" s="3">
        <v>249968.04</v>
      </c>
    </row>
    <row r="1996" spans="1:9" x14ac:dyDescent="0.3">
      <c r="A1996" s="5" t="s">
        <v>89</v>
      </c>
      <c r="B1996" t="s">
        <v>255</v>
      </c>
      <c r="C1996" t="s">
        <v>265</v>
      </c>
      <c r="D1996" t="s">
        <v>269</v>
      </c>
      <c r="E1996" t="s">
        <v>272</v>
      </c>
      <c r="F1996" t="s">
        <v>277</v>
      </c>
      <c r="G1996" s="7">
        <v>9</v>
      </c>
      <c r="H1996" s="3">
        <v>25206.89</v>
      </c>
      <c r="I1996" s="3">
        <v>226862.01</v>
      </c>
    </row>
    <row r="1997" spans="1:9" x14ac:dyDescent="0.3">
      <c r="A1997" s="5" t="s">
        <v>89</v>
      </c>
      <c r="B1997" t="s">
        <v>253</v>
      </c>
      <c r="C1997" t="s">
        <v>262</v>
      </c>
      <c r="D1997" t="s">
        <v>268</v>
      </c>
      <c r="E1997" t="s">
        <v>274</v>
      </c>
      <c r="F1997" t="s">
        <v>289</v>
      </c>
      <c r="G1997" s="7">
        <v>4</v>
      </c>
      <c r="H1997" s="3">
        <v>31180.89</v>
      </c>
      <c r="I1997" s="3">
        <v>124723.56</v>
      </c>
    </row>
    <row r="1998" spans="1:9" x14ac:dyDescent="0.3">
      <c r="A1998" s="5" t="s">
        <v>89</v>
      </c>
      <c r="B1998" t="s">
        <v>256</v>
      </c>
      <c r="C1998" t="s">
        <v>264</v>
      </c>
      <c r="D1998" t="s">
        <v>266</v>
      </c>
      <c r="E1998" t="s">
        <v>274</v>
      </c>
      <c r="F1998" t="s">
        <v>284</v>
      </c>
      <c r="G1998" s="7">
        <v>2</v>
      </c>
      <c r="H1998" s="3">
        <v>38539.800000000003</v>
      </c>
      <c r="I1998" s="3">
        <v>77079.600000000006</v>
      </c>
    </row>
    <row r="1999" spans="1:9" x14ac:dyDescent="0.3">
      <c r="A1999" s="5" t="s">
        <v>89</v>
      </c>
      <c r="B1999" t="s">
        <v>254</v>
      </c>
      <c r="C1999" t="s">
        <v>264</v>
      </c>
      <c r="D1999" t="s">
        <v>269</v>
      </c>
      <c r="E1999" t="s">
        <v>274</v>
      </c>
      <c r="F1999" t="s">
        <v>287</v>
      </c>
      <c r="G1999" s="7">
        <v>5</v>
      </c>
      <c r="H1999" s="3">
        <v>37119.08</v>
      </c>
      <c r="I1999" s="3">
        <v>185595.4</v>
      </c>
    </row>
    <row r="2000" spans="1:9" x14ac:dyDescent="0.3">
      <c r="A2000" s="5" t="s">
        <v>89</v>
      </c>
      <c r="B2000" t="s">
        <v>260</v>
      </c>
      <c r="C2000" t="s">
        <v>261</v>
      </c>
      <c r="D2000" t="s">
        <v>268</v>
      </c>
      <c r="E2000" t="s">
        <v>271</v>
      </c>
      <c r="F2000" t="s">
        <v>281</v>
      </c>
      <c r="G2000" s="7">
        <v>3</v>
      </c>
      <c r="H2000" s="3">
        <v>9724.85</v>
      </c>
      <c r="I2000" s="3">
        <v>29174.55</v>
      </c>
    </row>
    <row r="2001" spans="1:9" x14ac:dyDescent="0.3">
      <c r="A2001" s="5" t="s">
        <v>89</v>
      </c>
      <c r="B2001" t="s">
        <v>254</v>
      </c>
      <c r="C2001" t="s">
        <v>262</v>
      </c>
      <c r="D2001" t="s">
        <v>267</v>
      </c>
      <c r="E2001" t="s">
        <v>274</v>
      </c>
      <c r="F2001" t="s">
        <v>280</v>
      </c>
      <c r="G2001" s="7">
        <v>2</v>
      </c>
      <c r="H2001" s="3">
        <v>37405.910000000003</v>
      </c>
      <c r="I2001" s="3">
        <v>74811.820000000007</v>
      </c>
    </row>
    <row r="2002" spans="1:9" x14ac:dyDescent="0.3">
      <c r="A2002" s="5" t="s">
        <v>90</v>
      </c>
      <c r="B2002" t="s">
        <v>253</v>
      </c>
      <c r="C2002" t="s">
        <v>261</v>
      </c>
      <c r="D2002" t="s">
        <v>270</v>
      </c>
      <c r="E2002" t="s">
        <v>271</v>
      </c>
      <c r="F2002" t="s">
        <v>281</v>
      </c>
      <c r="G2002" s="7">
        <v>1</v>
      </c>
      <c r="H2002" s="3">
        <v>8141.02</v>
      </c>
      <c r="I2002" s="3">
        <v>8141.02</v>
      </c>
    </row>
    <row r="2003" spans="1:9" x14ac:dyDescent="0.3">
      <c r="A2003" s="5" t="s">
        <v>90</v>
      </c>
      <c r="B2003" t="s">
        <v>255</v>
      </c>
      <c r="C2003" t="s">
        <v>262</v>
      </c>
      <c r="D2003" t="s">
        <v>270</v>
      </c>
      <c r="E2003" t="s">
        <v>272</v>
      </c>
      <c r="F2003" t="s">
        <v>286</v>
      </c>
      <c r="G2003" s="7">
        <v>2</v>
      </c>
      <c r="H2003" s="3">
        <v>33739.35</v>
      </c>
      <c r="I2003" s="3">
        <v>67478.7</v>
      </c>
    </row>
    <row r="2004" spans="1:9" x14ac:dyDescent="0.3">
      <c r="A2004" s="5" t="s">
        <v>90</v>
      </c>
      <c r="B2004" t="s">
        <v>255</v>
      </c>
      <c r="C2004" t="s">
        <v>261</v>
      </c>
      <c r="D2004" t="s">
        <v>270</v>
      </c>
      <c r="E2004" t="s">
        <v>272</v>
      </c>
      <c r="F2004" t="s">
        <v>276</v>
      </c>
      <c r="G2004" s="7">
        <v>6</v>
      </c>
      <c r="H2004" s="3">
        <v>25337.8</v>
      </c>
      <c r="I2004" s="3">
        <v>152026.79999999999</v>
      </c>
    </row>
    <row r="2005" spans="1:9" x14ac:dyDescent="0.3">
      <c r="A2005" s="5" t="s">
        <v>90</v>
      </c>
      <c r="B2005" t="s">
        <v>257</v>
      </c>
      <c r="C2005" t="s">
        <v>264</v>
      </c>
      <c r="D2005" t="s">
        <v>267</v>
      </c>
      <c r="E2005" t="s">
        <v>271</v>
      </c>
      <c r="F2005" t="s">
        <v>282</v>
      </c>
      <c r="G2005" s="7">
        <v>8</v>
      </c>
      <c r="H2005" s="3">
        <v>8368.58</v>
      </c>
      <c r="I2005" s="3">
        <v>66948.639999999999</v>
      </c>
    </row>
    <row r="2006" spans="1:9" x14ac:dyDescent="0.3">
      <c r="A2006" s="5" t="s">
        <v>90</v>
      </c>
      <c r="B2006" t="s">
        <v>253</v>
      </c>
      <c r="C2006" t="s">
        <v>264</v>
      </c>
      <c r="D2006" t="s">
        <v>268</v>
      </c>
      <c r="E2006" t="s">
        <v>273</v>
      </c>
      <c r="F2006" t="s">
        <v>279</v>
      </c>
      <c r="G2006" s="7">
        <v>3</v>
      </c>
      <c r="H2006" s="3">
        <v>48811.47</v>
      </c>
      <c r="I2006" s="3">
        <v>146434.41</v>
      </c>
    </row>
    <row r="2007" spans="1:9" x14ac:dyDescent="0.3">
      <c r="A2007" s="5" t="s">
        <v>90</v>
      </c>
      <c r="B2007" t="s">
        <v>260</v>
      </c>
      <c r="C2007" t="s">
        <v>265</v>
      </c>
      <c r="D2007" t="s">
        <v>267</v>
      </c>
      <c r="E2007" t="s">
        <v>274</v>
      </c>
      <c r="F2007" t="s">
        <v>284</v>
      </c>
      <c r="G2007" s="7">
        <v>9</v>
      </c>
      <c r="H2007" s="3">
        <v>28517.19</v>
      </c>
      <c r="I2007" s="3">
        <v>256654.71</v>
      </c>
    </row>
    <row r="2008" spans="1:9" x14ac:dyDescent="0.3">
      <c r="A2008" s="5" t="s">
        <v>91</v>
      </c>
      <c r="B2008" t="s">
        <v>257</v>
      </c>
      <c r="C2008" t="s">
        <v>261</v>
      </c>
      <c r="D2008" t="s">
        <v>270</v>
      </c>
      <c r="E2008" t="s">
        <v>274</v>
      </c>
      <c r="F2008" t="s">
        <v>289</v>
      </c>
      <c r="G2008" s="7">
        <v>9</v>
      </c>
      <c r="H2008" s="3">
        <v>36545.67</v>
      </c>
      <c r="I2008" s="3">
        <v>328911.03000000003</v>
      </c>
    </row>
    <row r="2009" spans="1:9" x14ac:dyDescent="0.3">
      <c r="A2009" s="5" t="s">
        <v>91</v>
      </c>
      <c r="B2009" t="s">
        <v>256</v>
      </c>
      <c r="C2009" t="s">
        <v>263</v>
      </c>
      <c r="D2009" t="s">
        <v>269</v>
      </c>
      <c r="E2009" t="s">
        <v>274</v>
      </c>
      <c r="F2009" t="s">
        <v>289</v>
      </c>
      <c r="G2009" s="7">
        <v>2</v>
      </c>
      <c r="H2009" s="3">
        <v>32156.75</v>
      </c>
      <c r="I2009" s="3">
        <v>64313.5</v>
      </c>
    </row>
    <row r="2010" spans="1:9" x14ac:dyDescent="0.3">
      <c r="A2010" s="5" t="s">
        <v>91</v>
      </c>
      <c r="B2010" t="s">
        <v>257</v>
      </c>
      <c r="C2010" t="s">
        <v>265</v>
      </c>
      <c r="D2010" t="s">
        <v>266</v>
      </c>
      <c r="E2010" t="s">
        <v>271</v>
      </c>
      <c r="F2010" t="s">
        <v>285</v>
      </c>
      <c r="G2010" s="7">
        <v>8</v>
      </c>
      <c r="H2010" s="3">
        <v>9891.98</v>
      </c>
      <c r="I2010" s="3">
        <v>79135.839999999997</v>
      </c>
    </row>
    <row r="2011" spans="1:9" x14ac:dyDescent="0.3">
      <c r="A2011" s="5" t="s">
        <v>91</v>
      </c>
      <c r="B2011" t="s">
        <v>258</v>
      </c>
      <c r="C2011" t="s">
        <v>261</v>
      </c>
      <c r="D2011" t="s">
        <v>267</v>
      </c>
      <c r="E2011" t="s">
        <v>272</v>
      </c>
      <c r="F2011" t="s">
        <v>276</v>
      </c>
      <c r="G2011" s="7">
        <v>5</v>
      </c>
      <c r="H2011" s="3">
        <v>29320.44</v>
      </c>
      <c r="I2011" s="3">
        <v>146602.20000000001</v>
      </c>
    </row>
    <row r="2012" spans="1:9" x14ac:dyDescent="0.3">
      <c r="A2012" s="5" t="s">
        <v>91</v>
      </c>
      <c r="B2012" t="s">
        <v>260</v>
      </c>
      <c r="C2012" t="s">
        <v>261</v>
      </c>
      <c r="D2012" t="s">
        <v>267</v>
      </c>
      <c r="E2012" t="s">
        <v>274</v>
      </c>
      <c r="F2012" t="s">
        <v>280</v>
      </c>
      <c r="G2012" s="7">
        <v>4</v>
      </c>
      <c r="H2012" s="3">
        <v>29515.19</v>
      </c>
      <c r="I2012" s="3">
        <v>118060.76</v>
      </c>
    </row>
    <row r="2013" spans="1:9" x14ac:dyDescent="0.3">
      <c r="A2013" s="5" t="s">
        <v>91</v>
      </c>
      <c r="B2013" t="s">
        <v>258</v>
      </c>
      <c r="C2013" t="s">
        <v>265</v>
      </c>
      <c r="D2013" t="s">
        <v>268</v>
      </c>
      <c r="E2013" t="s">
        <v>272</v>
      </c>
      <c r="F2013" t="s">
        <v>290</v>
      </c>
      <c r="G2013" s="7">
        <v>5</v>
      </c>
      <c r="H2013" s="3">
        <v>32029.33</v>
      </c>
      <c r="I2013" s="3">
        <v>160146.65</v>
      </c>
    </row>
    <row r="2014" spans="1:9" x14ac:dyDescent="0.3">
      <c r="A2014" s="5" t="s">
        <v>91</v>
      </c>
      <c r="B2014" t="s">
        <v>253</v>
      </c>
      <c r="C2014" t="s">
        <v>264</v>
      </c>
      <c r="D2014" t="s">
        <v>268</v>
      </c>
      <c r="E2014" t="s">
        <v>274</v>
      </c>
      <c r="F2014" t="s">
        <v>280</v>
      </c>
      <c r="G2014" s="7">
        <v>4</v>
      </c>
      <c r="H2014" s="3">
        <v>30427.439999999999</v>
      </c>
      <c r="I2014" s="3">
        <v>121709.75999999999</v>
      </c>
    </row>
    <row r="2015" spans="1:9" x14ac:dyDescent="0.3">
      <c r="A2015" s="5" t="s">
        <v>92</v>
      </c>
      <c r="B2015" t="s">
        <v>259</v>
      </c>
      <c r="C2015" t="s">
        <v>261</v>
      </c>
      <c r="D2015" t="s">
        <v>267</v>
      </c>
      <c r="E2015" t="s">
        <v>274</v>
      </c>
      <c r="F2015" t="s">
        <v>280</v>
      </c>
      <c r="G2015" s="7">
        <v>8</v>
      </c>
      <c r="H2015" s="3">
        <v>33482.370000000003</v>
      </c>
      <c r="I2015" s="3">
        <v>267858.96000000002</v>
      </c>
    </row>
    <row r="2016" spans="1:9" x14ac:dyDescent="0.3">
      <c r="A2016" s="5" t="s">
        <v>92</v>
      </c>
      <c r="B2016" t="s">
        <v>258</v>
      </c>
      <c r="C2016" t="s">
        <v>264</v>
      </c>
      <c r="D2016" t="s">
        <v>270</v>
      </c>
      <c r="E2016" t="s">
        <v>271</v>
      </c>
      <c r="F2016" t="s">
        <v>285</v>
      </c>
      <c r="G2016" s="7">
        <v>4</v>
      </c>
      <c r="H2016" s="3">
        <v>7481.81</v>
      </c>
      <c r="I2016" s="3">
        <v>29927.24</v>
      </c>
    </row>
    <row r="2017" spans="1:9" x14ac:dyDescent="0.3">
      <c r="A2017" s="5" t="s">
        <v>92</v>
      </c>
      <c r="B2017" t="s">
        <v>256</v>
      </c>
      <c r="C2017" t="s">
        <v>265</v>
      </c>
      <c r="D2017" t="s">
        <v>266</v>
      </c>
      <c r="E2017" t="s">
        <v>273</v>
      </c>
      <c r="F2017" t="s">
        <v>279</v>
      </c>
      <c r="G2017" s="7">
        <v>6</v>
      </c>
      <c r="H2017" s="3">
        <v>49371.6</v>
      </c>
      <c r="I2017" s="3">
        <v>296229.59999999998</v>
      </c>
    </row>
    <row r="2018" spans="1:9" x14ac:dyDescent="0.3">
      <c r="A2018" s="5" t="s">
        <v>92</v>
      </c>
      <c r="B2018" t="s">
        <v>257</v>
      </c>
      <c r="C2018" t="s">
        <v>264</v>
      </c>
      <c r="D2018" t="s">
        <v>268</v>
      </c>
      <c r="E2018" t="s">
        <v>271</v>
      </c>
      <c r="F2018" t="s">
        <v>281</v>
      </c>
      <c r="G2018" s="7">
        <v>2</v>
      </c>
      <c r="H2018" s="3">
        <v>9488.92</v>
      </c>
      <c r="I2018" s="3">
        <v>18977.84</v>
      </c>
    </row>
    <row r="2019" spans="1:9" x14ac:dyDescent="0.3">
      <c r="A2019" s="5" t="s">
        <v>92</v>
      </c>
      <c r="B2019" t="s">
        <v>259</v>
      </c>
      <c r="C2019" t="s">
        <v>262</v>
      </c>
      <c r="D2019" t="s">
        <v>270</v>
      </c>
      <c r="E2019" t="s">
        <v>274</v>
      </c>
      <c r="F2019" t="s">
        <v>284</v>
      </c>
      <c r="G2019" s="7">
        <v>5</v>
      </c>
      <c r="H2019" s="3">
        <v>32047.03</v>
      </c>
      <c r="I2019" s="3">
        <v>160235.15</v>
      </c>
    </row>
    <row r="2020" spans="1:9" x14ac:dyDescent="0.3">
      <c r="A2020" s="5" t="s">
        <v>92</v>
      </c>
      <c r="B2020" t="s">
        <v>257</v>
      </c>
      <c r="C2020" t="s">
        <v>263</v>
      </c>
      <c r="D2020" t="s">
        <v>269</v>
      </c>
      <c r="E2020" t="s">
        <v>274</v>
      </c>
      <c r="F2020" t="s">
        <v>289</v>
      </c>
      <c r="G2020" s="7">
        <v>6</v>
      </c>
      <c r="H2020" s="3">
        <v>39416.61</v>
      </c>
      <c r="I2020" s="3">
        <v>236499.66</v>
      </c>
    </row>
    <row r="2021" spans="1:9" x14ac:dyDescent="0.3">
      <c r="A2021" s="5" t="s">
        <v>93</v>
      </c>
      <c r="B2021" t="s">
        <v>258</v>
      </c>
      <c r="C2021" t="s">
        <v>261</v>
      </c>
      <c r="D2021" t="s">
        <v>268</v>
      </c>
      <c r="E2021" t="s">
        <v>273</v>
      </c>
      <c r="F2021" t="s">
        <v>288</v>
      </c>
      <c r="G2021" s="7">
        <v>5</v>
      </c>
      <c r="H2021" s="3">
        <v>53985.04</v>
      </c>
      <c r="I2021" s="3">
        <v>269925.2</v>
      </c>
    </row>
    <row r="2022" spans="1:9" x14ac:dyDescent="0.3">
      <c r="A2022" s="5" t="s">
        <v>93</v>
      </c>
      <c r="B2022" t="s">
        <v>257</v>
      </c>
      <c r="C2022" t="s">
        <v>263</v>
      </c>
      <c r="D2022" t="s">
        <v>270</v>
      </c>
      <c r="E2022" t="s">
        <v>272</v>
      </c>
      <c r="F2022" t="s">
        <v>286</v>
      </c>
      <c r="G2022" s="7">
        <v>2</v>
      </c>
      <c r="H2022" s="3">
        <v>31728.94</v>
      </c>
      <c r="I2022" s="3">
        <v>63457.88</v>
      </c>
    </row>
    <row r="2023" spans="1:9" x14ac:dyDescent="0.3">
      <c r="A2023" s="5" t="s">
        <v>93</v>
      </c>
      <c r="B2023" t="s">
        <v>253</v>
      </c>
      <c r="C2023" t="s">
        <v>264</v>
      </c>
      <c r="D2023" t="s">
        <v>270</v>
      </c>
      <c r="E2023" t="s">
        <v>272</v>
      </c>
      <c r="F2023" t="s">
        <v>290</v>
      </c>
      <c r="G2023" s="7">
        <v>7</v>
      </c>
      <c r="H2023" s="3">
        <v>31792.9</v>
      </c>
      <c r="I2023" s="3">
        <v>222550.3</v>
      </c>
    </row>
    <row r="2024" spans="1:9" x14ac:dyDescent="0.3">
      <c r="A2024" s="5" t="s">
        <v>93</v>
      </c>
      <c r="B2024" t="s">
        <v>259</v>
      </c>
      <c r="C2024" t="s">
        <v>261</v>
      </c>
      <c r="D2024" t="s">
        <v>266</v>
      </c>
      <c r="E2024" t="s">
        <v>274</v>
      </c>
      <c r="F2024" t="s">
        <v>289</v>
      </c>
      <c r="G2024" s="7">
        <v>4</v>
      </c>
      <c r="H2024" s="3">
        <v>30430.74</v>
      </c>
      <c r="I2024" s="3">
        <v>121722.96</v>
      </c>
    </row>
    <row r="2025" spans="1:9" x14ac:dyDescent="0.3">
      <c r="A2025" s="5" t="s">
        <v>93</v>
      </c>
      <c r="B2025" t="s">
        <v>253</v>
      </c>
      <c r="C2025" t="s">
        <v>264</v>
      </c>
      <c r="D2025" t="s">
        <v>266</v>
      </c>
      <c r="E2025" t="s">
        <v>272</v>
      </c>
      <c r="F2025" t="s">
        <v>277</v>
      </c>
      <c r="G2025" s="7">
        <v>8</v>
      </c>
      <c r="H2025" s="3">
        <v>31156.33</v>
      </c>
      <c r="I2025" s="3">
        <v>249250.64</v>
      </c>
    </row>
    <row r="2026" spans="1:9" x14ac:dyDescent="0.3">
      <c r="A2026" s="5" t="s">
        <v>93</v>
      </c>
      <c r="B2026" t="s">
        <v>258</v>
      </c>
      <c r="C2026" t="s">
        <v>262</v>
      </c>
      <c r="D2026" t="s">
        <v>269</v>
      </c>
      <c r="E2026" t="s">
        <v>274</v>
      </c>
      <c r="F2026" t="s">
        <v>289</v>
      </c>
      <c r="G2026" s="7">
        <v>7</v>
      </c>
      <c r="H2026" s="3">
        <v>29737.040000000001</v>
      </c>
      <c r="I2026" s="3">
        <v>208159.28</v>
      </c>
    </row>
    <row r="2027" spans="1:9" x14ac:dyDescent="0.3">
      <c r="A2027" s="5" t="s">
        <v>94</v>
      </c>
      <c r="B2027" t="s">
        <v>253</v>
      </c>
      <c r="C2027" t="s">
        <v>265</v>
      </c>
      <c r="D2027" t="s">
        <v>270</v>
      </c>
      <c r="E2027" t="s">
        <v>273</v>
      </c>
      <c r="F2027" t="s">
        <v>288</v>
      </c>
      <c r="G2027" s="7">
        <v>7</v>
      </c>
      <c r="H2027" s="3">
        <v>40842.06</v>
      </c>
      <c r="I2027" s="3">
        <v>285894.42</v>
      </c>
    </row>
    <row r="2028" spans="1:9" x14ac:dyDescent="0.3">
      <c r="A2028" s="5" t="s">
        <v>94</v>
      </c>
      <c r="B2028" t="s">
        <v>256</v>
      </c>
      <c r="C2028" t="s">
        <v>261</v>
      </c>
      <c r="D2028" t="s">
        <v>270</v>
      </c>
      <c r="E2028" t="s">
        <v>273</v>
      </c>
      <c r="F2028" t="s">
        <v>283</v>
      </c>
      <c r="G2028" s="7">
        <v>9</v>
      </c>
      <c r="H2028" s="3">
        <v>56240.42</v>
      </c>
      <c r="I2028" s="3">
        <v>506163.78</v>
      </c>
    </row>
    <row r="2029" spans="1:9" x14ac:dyDescent="0.3">
      <c r="A2029" s="5" t="s">
        <v>94</v>
      </c>
      <c r="B2029" t="s">
        <v>258</v>
      </c>
      <c r="C2029" t="s">
        <v>262</v>
      </c>
      <c r="D2029" t="s">
        <v>266</v>
      </c>
      <c r="E2029" t="s">
        <v>274</v>
      </c>
      <c r="F2029" t="s">
        <v>289</v>
      </c>
      <c r="G2029" s="7">
        <v>1</v>
      </c>
      <c r="H2029" s="3">
        <v>35166.410000000003</v>
      </c>
      <c r="I2029" s="3">
        <v>35166.410000000003</v>
      </c>
    </row>
    <row r="2030" spans="1:9" x14ac:dyDescent="0.3">
      <c r="A2030" s="5" t="s">
        <v>94</v>
      </c>
      <c r="B2030" t="s">
        <v>258</v>
      </c>
      <c r="C2030" t="s">
        <v>262</v>
      </c>
      <c r="D2030" t="s">
        <v>268</v>
      </c>
      <c r="E2030" t="s">
        <v>273</v>
      </c>
      <c r="F2030" t="s">
        <v>283</v>
      </c>
      <c r="G2030" s="7">
        <v>6</v>
      </c>
      <c r="H2030" s="3">
        <v>46007.78</v>
      </c>
      <c r="I2030" s="3">
        <v>276046.68</v>
      </c>
    </row>
    <row r="2031" spans="1:9" x14ac:dyDescent="0.3">
      <c r="A2031" s="5" t="s">
        <v>94</v>
      </c>
      <c r="B2031" t="s">
        <v>258</v>
      </c>
      <c r="C2031" t="s">
        <v>261</v>
      </c>
      <c r="D2031" t="s">
        <v>268</v>
      </c>
      <c r="E2031" t="s">
        <v>271</v>
      </c>
      <c r="F2031" t="s">
        <v>282</v>
      </c>
      <c r="G2031" s="7">
        <v>6</v>
      </c>
      <c r="H2031" s="3">
        <v>8204.76</v>
      </c>
      <c r="I2031" s="3">
        <v>49228.56</v>
      </c>
    </row>
    <row r="2032" spans="1:9" x14ac:dyDescent="0.3">
      <c r="A2032" s="5" t="s">
        <v>94</v>
      </c>
      <c r="B2032" t="s">
        <v>260</v>
      </c>
      <c r="C2032" t="s">
        <v>264</v>
      </c>
      <c r="D2032" t="s">
        <v>267</v>
      </c>
      <c r="E2032" t="s">
        <v>271</v>
      </c>
      <c r="F2032" t="s">
        <v>281</v>
      </c>
      <c r="G2032" s="7">
        <v>6</v>
      </c>
      <c r="H2032" s="3">
        <v>9278.33</v>
      </c>
      <c r="I2032" s="3">
        <v>55669.98</v>
      </c>
    </row>
    <row r="2033" spans="1:9" x14ac:dyDescent="0.3">
      <c r="A2033" s="5" t="s">
        <v>95</v>
      </c>
      <c r="B2033" t="s">
        <v>257</v>
      </c>
      <c r="C2033" t="s">
        <v>262</v>
      </c>
      <c r="D2033" t="s">
        <v>266</v>
      </c>
      <c r="E2033" t="s">
        <v>273</v>
      </c>
      <c r="F2033" t="s">
        <v>288</v>
      </c>
      <c r="G2033" s="7">
        <v>6</v>
      </c>
      <c r="H2033" s="3">
        <v>39142.68</v>
      </c>
      <c r="I2033" s="3">
        <v>234856.08</v>
      </c>
    </row>
    <row r="2034" spans="1:9" x14ac:dyDescent="0.3">
      <c r="A2034" s="5" t="s">
        <v>95</v>
      </c>
      <c r="B2034" t="s">
        <v>260</v>
      </c>
      <c r="C2034" t="s">
        <v>263</v>
      </c>
      <c r="D2034" t="s">
        <v>267</v>
      </c>
      <c r="E2034" t="s">
        <v>274</v>
      </c>
      <c r="F2034" t="s">
        <v>280</v>
      </c>
      <c r="G2034" s="7">
        <v>7</v>
      </c>
      <c r="H2034" s="3">
        <v>28411.919999999998</v>
      </c>
      <c r="I2034" s="3">
        <v>198883.44</v>
      </c>
    </row>
    <row r="2035" spans="1:9" x14ac:dyDescent="0.3">
      <c r="A2035" s="5" t="s">
        <v>95</v>
      </c>
      <c r="B2035" t="s">
        <v>260</v>
      </c>
      <c r="C2035" t="s">
        <v>262</v>
      </c>
      <c r="D2035" t="s">
        <v>266</v>
      </c>
      <c r="E2035" t="s">
        <v>274</v>
      </c>
      <c r="F2035" t="s">
        <v>284</v>
      </c>
      <c r="G2035" s="7">
        <v>6</v>
      </c>
      <c r="H2035" s="3">
        <v>27620.57</v>
      </c>
      <c r="I2035" s="3">
        <v>165723.42000000001</v>
      </c>
    </row>
    <row r="2036" spans="1:9" x14ac:dyDescent="0.3">
      <c r="A2036" s="5" t="s">
        <v>95</v>
      </c>
      <c r="B2036" t="s">
        <v>256</v>
      </c>
      <c r="C2036" t="s">
        <v>264</v>
      </c>
      <c r="D2036" t="s">
        <v>269</v>
      </c>
      <c r="E2036" t="s">
        <v>273</v>
      </c>
      <c r="F2036" t="s">
        <v>283</v>
      </c>
      <c r="G2036" s="7">
        <v>1</v>
      </c>
      <c r="H2036" s="3">
        <v>47235.06</v>
      </c>
      <c r="I2036" s="3">
        <v>47235.06</v>
      </c>
    </row>
    <row r="2037" spans="1:9" x14ac:dyDescent="0.3">
      <c r="A2037" s="5" t="s">
        <v>95</v>
      </c>
      <c r="B2037" t="s">
        <v>259</v>
      </c>
      <c r="C2037" t="s">
        <v>264</v>
      </c>
      <c r="D2037" t="s">
        <v>270</v>
      </c>
      <c r="E2037" t="s">
        <v>272</v>
      </c>
      <c r="F2037" t="s">
        <v>286</v>
      </c>
      <c r="G2037" s="7">
        <v>3</v>
      </c>
      <c r="H2037" s="3">
        <v>30526.79</v>
      </c>
      <c r="I2037" s="3">
        <v>91580.37</v>
      </c>
    </row>
    <row r="2038" spans="1:9" x14ac:dyDescent="0.3">
      <c r="A2038" s="5" t="s">
        <v>95</v>
      </c>
      <c r="B2038" t="s">
        <v>257</v>
      </c>
      <c r="C2038" t="s">
        <v>263</v>
      </c>
      <c r="D2038" t="s">
        <v>269</v>
      </c>
      <c r="E2038" t="s">
        <v>271</v>
      </c>
      <c r="F2038" t="s">
        <v>282</v>
      </c>
      <c r="G2038" s="7">
        <v>2</v>
      </c>
      <c r="H2038" s="3">
        <v>7437.43</v>
      </c>
      <c r="I2038" s="3">
        <v>14874.86</v>
      </c>
    </row>
    <row r="2039" spans="1:9" x14ac:dyDescent="0.3">
      <c r="A2039" s="5" t="s">
        <v>96</v>
      </c>
      <c r="B2039" t="s">
        <v>253</v>
      </c>
      <c r="C2039" t="s">
        <v>262</v>
      </c>
      <c r="D2039" t="s">
        <v>266</v>
      </c>
      <c r="E2039" t="s">
        <v>272</v>
      </c>
      <c r="F2039" t="s">
        <v>276</v>
      </c>
      <c r="G2039" s="7">
        <v>6</v>
      </c>
      <c r="H2039" s="3">
        <v>31877.71</v>
      </c>
      <c r="I2039" s="3">
        <v>191266.26</v>
      </c>
    </row>
    <row r="2040" spans="1:9" x14ac:dyDescent="0.3">
      <c r="A2040" s="5" t="s">
        <v>96</v>
      </c>
      <c r="B2040" t="s">
        <v>255</v>
      </c>
      <c r="C2040" t="s">
        <v>264</v>
      </c>
      <c r="D2040" t="s">
        <v>270</v>
      </c>
      <c r="E2040" t="s">
        <v>274</v>
      </c>
      <c r="F2040" t="s">
        <v>280</v>
      </c>
      <c r="G2040" s="7">
        <v>8</v>
      </c>
      <c r="H2040" s="3">
        <v>30149.06</v>
      </c>
      <c r="I2040" s="3">
        <v>241192.48</v>
      </c>
    </row>
    <row r="2041" spans="1:9" x14ac:dyDescent="0.3">
      <c r="A2041" s="5" t="s">
        <v>96</v>
      </c>
      <c r="B2041" t="s">
        <v>258</v>
      </c>
      <c r="C2041" t="s">
        <v>261</v>
      </c>
      <c r="D2041" t="s">
        <v>268</v>
      </c>
      <c r="E2041" t="s">
        <v>274</v>
      </c>
      <c r="F2041" t="s">
        <v>284</v>
      </c>
      <c r="G2041" s="7">
        <v>3</v>
      </c>
      <c r="H2041" s="3">
        <v>35970.58</v>
      </c>
      <c r="I2041" s="3">
        <v>107911.74</v>
      </c>
    </row>
    <row r="2042" spans="1:9" x14ac:dyDescent="0.3">
      <c r="A2042" s="5" t="s">
        <v>96</v>
      </c>
      <c r="B2042" t="s">
        <v>253</v>
      </c>
      <c r="C2042" t="s">
        <v>265</v>
      </c>
      <c r="D2042" t="s">
        <v>268</v>
      </c>
      <c r="E2042" t="s">
        <v>272</v>
      </c>
      <c r="F2042" t="s">
        <v>277</v>
      </c>
      <c r="G2042" s="7">
        <v>8</v>
      </c>
      <c r="H2042" s="3">
        <v>34797.25</v>
      </c>
      <c r="I2042" s="3">
        <v>278378</v>
      </c>
    </row>
    <row r="2043" spans="1:9" x14ac:dyDescent="0.3">
      <c r="A2043" s="5" t="s">
        <v>96</v>
      </c>
      <c r="B2043" t="s">
        <v>258</v>
      </c>
      <c r="C2043" t="s">
        <v>265</v>
      </c>
      <c r="D2043" t="s">
        <v>267</v>
      </c>
      <c r="E2043" t="s">
        <v>273</v>
      </c>
      <c r="F2043" t="s">
        <v>283</v>
      </c>
      <c r="G2043" s="7">
        <v>8</v>
      </c>
      <c r="H2043" s="3">
        <v>50689.91</v>
      </c>
      <c r="I2043" s="3">
        <v>405519.28</v>
      </c>
    </row>
    <row r="2044" spans="1:9" x14ac:dyDescent="0.3">
      <c r="A2044" s="5" t="s">
        <v>96</v>
      </c>
      <c r="B2044" t="s">
        <v>256</v>
      </c>
      <c r="C2044" t="s">
        <v>265</v>
      </c>
      <c r="D2044" t="s">
        <v>266</v>
      </c>
      <c r="E2044" t="s">
        <v>272</v>
      </c>
      <c r="F2044" t="s">
        <v>290</v>
      </c>
      <c r="G2044" s="7">
        <v>5</v>
      </c>
      <c r="H2044" s="3">
        <v>33691.760000000002</v>
      </c>
      <c r="I2044" s="3">
        <v>168458.8</v>
      </c>
    </row>
    <row r="2045" spans="1:9" x14ac:dyDescent="0.3">
      <c r="A2045" s="5" t="s">
        <v>97</v>
      </c>
      <c r="B2045" t="s">
        <v>258</v>
      </c>
      <c r="C2045" t="s">
        <v>262</v>
      </c>
      <c r="D2045" t="s">
        <v>266</v>
      </c>
      <c r="E2045" t="s">
        <v>272</v>
      </c>
      <c r="F2045" t="s">
        <v>277</v>
      </c>
      <c r="G2045" s="7">
        <v>8</v>
      </c>
      <c r="H2045" s="3">
        <v>34419.82</v>
      </c>
      <c r="I2045" s="3">
        <v>275358.56</v>
      </c>
    </row>
    <row r="2046" spans="1:9" x14ac:dyDescent="0.3">
      <c r="A2046" s="5" t="s">
        <v>97</v>
      </c>
      <c r="B2046" t="s">
        <v>260</v>
      </c>
      <c r="C2046" t="s">
        <v>263</v>
      </c>
      <c r="D2046" t="s">
        <v>268</v>
      </c>
      <c r="E2046" t="s">
        <v>271</v>
      </c>
      <c r="F2046" t="s">
        <v>285</v>
      </c>
      <c r="G2046" s="7">
        <v>6</v>
      </c>
      <c r="H2046" s="3">
        <v>8879.9500000000007</v>
      </c>
      <c r="I2046" s="3">
        <v>53279.7</v>
      </c>
    </row>
    <row r="2047" spans="1:9" x14ac:dyDescent="0.3">
      <c r="A2047" s="5" t="s">
        <v>97</v>
      </c>
      <c r="B2047" t="s">
        <v>257</v>
      </c>
      <c r="C2047" t="s">
        <v>264</v>
      </c>
      <c r="D2047" t="s">
        <v>269</v>
      </c>
      <c r="E2047" t="s">
        <v>271</v>
      </c>
      <c r="F2047" t="s">
        <v>285</v>
      </c>
      <c r="G2047" s="7">
        <v>5</v>
      </c>
      <c r="H2047" s="3">
        <v>9612.9</v>
      </c>
      <c r="I2047" s="3">
        <v>48064.5</v>
      </c>
    </row>
    <row r="2048" spans="1:9" x14ac:dyDescent="0.3">
      <c r="A2048" s="5" t="s">
        <v>97</v>
      </c>
      <c r="B2048" t="s">
        <v>255</v>
      </c>
      <c r="C2048" t="s">
        <v>261</v>
      </c>
      <c r="D2048" t="s">
        <v>270</v>
      </c>
      <c r="E2048" t="s">
        <v>272</v>
      </c>
      <c r="F2048" t="s">
        <v>277</v>
      </c>
      <c r="G2048" s="7">
        <v>9</v>
      </c>
      <c r="H2048" s="3">
        <v>33342.06</v>
      </c>
      <c r="I2048" s="3">
        <v>300078.53999999998</v>
      </c>
    </row>
    <row r="2049" spans="1:9" x14ac:dyDescent="0.3">
      <c r="A2049" s="5" t="s">
        <v>97</v>
      </c>
      <c r="B2049" t="s">
        <v>254</v>
      </c>
      <c r="C2049" t="s">
        <v>261</v>
      </c>
      <c r="D2049" t="s">
        <v>269</v>
      </c>
      <c r="E2049" t="s">
        <v>272</v>
      </c>
      <c r="F2049" t="s">
        <v>277</v>
      </c>
      <c r="G2049" s="7">
        <v>7</v>
      </c>
      <c r="H2049" s="3">
        <v>27794.02</v>
      </c>
      <c r="I2049" s="3">
        <v>194558.14</v>
      </c>
    </row>
    <row r="2050" spans="1:9" x14ac:dyDescent="0.3">
      <c r="A2050" s="5" t="s">
        <v>97</v>
      </c>
      <c r="B2050" t="s">
        <v>258</v>
      </c>
      <c r="C2050" t="s">
        <v>262</v>
      </c>
      <c r="D2050" t="s">
        <v>269</v>
      </c>
      <c r="E2050" t="s">
        <v>274</v>
      </c>
      <c r="F2050" t="s">
        <v>289</v>
      </c>
      <c r="G2050" s="7">
        <v>8</v>
      </c>
      <c r="H2050" s="3">
        <v>30545.89</v>
      </c>
      <c r="I2050" s="3">
        <v>244367.12</v>
      </c>
    </row>
    <row r="2051" spans="1:9" x14ac:dyDescent="0.3">
      <c r="A2051" s="5" t="s">
        <v>97</v>
      </c>
      <c r="B2051" t="s">
        <v>253</v>
      </c>
      <c r="C2051" t="s">
        <v>265</v>
      </c>
      <c r="D2051" t="s">
        <v>268</v>
      </c>
      <c r="E2051" t="s">
        <v>271</v>
      </c>
      <c r="F2051" t="s">
        <v>282</v>
      </c>
      <c r="G2051" s="7">
        <v>1</v>
      </c>
      <c r="H2051" s="3">
        <v>10443.44</v>
      </c>
      <c r="I2051" s="3">
        <v>10443.44</v>
      </c>
    </row>
    <row r="2052" spans="1:9" x14ac:dyDescent="0.3">
      <c r="A2052" s="5" t="s">
        <v>98</v>
      </c>
      <c r="B2052" t="s">
        <v>260</v>
      </c>
      <c r="C2052" t="s">
        <v>262</v>
      </c>
      <c r="D2052" t="s">
        <v>268</v>
      </c>
      <c r="E2052" t="s">
        <v>271</v>
      </c>
      <c r="F2052" t="s">
        <v>275</v>
      </c>
      <c r="G2052" s="7">
        <v>2</v>
      </c>
      <c r="H2052" s="3">
        <v>9694.43</v>
      </c>
      <c r="I2052" s="3">
        <v>19388.86</v>
      </c>
    </row>
    <row r="2053" spans="1:9" x14ac:dyDescent="0.3">
      <c r="A2053" s="5" t="s">
        <v>98</v>
      </c>
      <c r="B2053" t="s">
        <v>254</v>
      </c>
      <c r="C2053" t="s">
        <v>263</v>
      </c>
      <c r="D2053" t="s">
        <v>268</v>
      </c>
      <c r="E2053" t="s">
        <v>274</v>
      </c>
      <c r="F2053" t="s">
        <v>287</v>
      </c>
      <c r="G2053" s="7">
        <v>8</v>
      </c>
      <c r="H2053" s="3">
        <v>30011.93</v>
      </c>
      <c r="I2053" s="3">
        <v>240095.44</v>
      </c>
    </row>
    <row r="2054" spans="1:9" x14ac:dyDescent="0.3">
      <c r="A2054" s="5" t="s">
        <v>98</v>
      </c>
      <c r="B2054" t="s">
        <v>255</v>
      </c>
      <c r="C2054" t="s">
        <v>263</v>
      </c>
      <c r="D2054" t="s">
        <v>267</v>
      </c>
      <c r="E2054" t="s">
        <v>273</v>
      </c>
      <c r="F2054" t="s">
        <v>283</v>
      </c>
      <c r="G2054" s="7">
        <v>9</v>
      </c>
      <c r="H2054" s="3">
        <v>46333.5</v>
      </c>
      <c r="I2054" s="3">
        <v>417001.5</v>
      </c>
    </row>
    <row r="2055" spans="1:9" x14ac:dyDescent="0.3">
      <c r="A2055" s="5" t="s">
        <v>98</v>
      </c>
      <c r="B2055" t="s">
        <v>254</v>
      </c>
      <c r="C2055" t="s">
        <v>264</v>
      </c>
      <c r="D2055" t="s">
        <v>269</v>
      </c>
      <c r="E2055" t="s">
        <v>271</v>
      </c>
      <c r="F2055" t="s">
        <v>285</v>
      </c>
      <c r="G2055" s="7">
        <v>4</v>
      </c>
      <c r="H2055" s="3">
        <v>9932.94</v>
      </c>
      <c r="I2055" s="3">
        <v>39731.760000000002</v>
      </c>
    </row>
    <row r="2056" spans="1:9" x14ac:dyDescent="0.3">
      <c r="A2056" s="5" t="s">
        <v>98</v>
      </c>
      <c r="B2056" t="s">
        <v>260</v>
      </c>
      <c r="C2056" t="s">
        <v>264</v>
      </c>
      <c r="D2056" t="s">
        <v>266</v>
      </c>
      <c r="E2056" t="s">
        <v>271</v>
      </c>
      <c r="F2056" t="s">
        <v>275</v>
      </c>
      <c r="G2056" s="7">
        <v>9</v>
      </c>
      <c r="H2056" s="3">
        <v>9085.01</v>
      </c>
      <c r="I2056" s="3">
        <v>81765.09</v>
      </c>
    </row>
    <row r="2057" spans="1:9" x14ac:dyDescent="0.3">
      <c r="A2057" s="5" t="s">
        <v>98</v>
      </c>
      <c r="B2057" t="s">
        <v>257</v>
      </c>
      <c r="C2057" t="s">
        <v>263</v>
      </c>
      <c r="D2057" t="s">
        <v>270</v>
      </c>
      <c r="E2057" t="s">
        <v>273</v>
      </c>
      <c r="F2057" t="s">
        <v>283</v>
      </c>
      <c r="G2057" s="7">
        <v>4</v>
      </c>
      <c r="H2057" s="3">
        <v>49949.14</v>
      </c>
      <c r="I2057" s="3">
        <v>199796.56</v>
      </c>
    </row>
    <row r="2058" spans="1:9" x14ac:dyDescent="0.3">
      <c r="A2058" s="5" t="s">
        <v>99</v>
      </c>
      <c r="B2058" t="s">
        <v>257</v>
      </c>
      <c r="C2058" t="s">
        <v>263</v>
      </c>
      <c r="D2058" t="s">
        <v>267</v>
      </c>
      <c r="E2058" t="s">
        <v>271</v>
      </c>
      <c r="F2058" t="s">
        <v>275</v>
      </c>
      <c r="G2058" s="7">
        <v>9</v>
      </c>
      <c r="H2058" s="3">
        <v>9787.81</v>
      </c>
      <c r="I2058" s="3">
        <v>88090.29</v>
      </c>
    </row>
    <row r="2059" spans="1:9" x14ac:dyDescent="0.3">
      <c r="A2059" s="5" t="s">
        <v>99</v>
      </c>
      <c r="B2059" t="s">
        <v>259</v>
      </c>
      <c r="C2059" t="s">
        <v>263</v>
      </c>
      <c r="D2059" t="s">
        <v>266</v>
      </c>
      <c r="E2059" t="s">
        <v>271</v>
      </c>
      <c r="F2059" t="s">
        <v>285</v>
      </c>
      <c r="G2059" s="7">
        <v>7</v>
      </c>
      <c r="H2059" s="3">
        <v>9339.83</v>
      </c>
      <c r="I2059" s="3">
        <v>65378.81</v>
      </c>
    </row>
    <row r="2060" spans="1:9" x14ac:dyDescent="0.3">
      <c r="A2060" s="5" t="s">
        <v>99</v>
      </c>
      <c r="B2060" t="s">
        <v>257</v>
      </c>
      <c r="C2060" t="s">
        <v>262</v>
      </c>
      <c r="D2060" t="s">
        <v>269</v>
      </c>
      <c r="E2060" t="s">
        <v>273</v>
      </c>
      <c r="F2060" t="s">
        <v>283</v>
      </c>
      <c r="G2060" s="7">
        <v>2</v>
      </c>
      <c r="H2060" s="3">
        <v>47971.43</v>
      </c>
      <c r="I2060" s="3">
        <v>95942.86</v>
      </c>
    </row>
    <row r="2061" spans="1:9" x14ac:dyDescent="0.3">
      <c r="A2061" s="5" t="s">
        <v>99</v>
      </c>
      <c r="B2061" t="s">
        <v>259</v>
      </c>
      <c r="C2061" t="s">
        <v>263</v>
      </c>
      <c r="D2061" t="s">
        <v>268</v>
      </c>
      <c r="E2061" t="s">
        <v>273</v>
      </c>
      <c r="F2061" t="s">
        <v>278</v>
      </c>
      <c r="G2061" s="7">
        <v>9</v>
      </c>
      <c r="H2061" s="3">
        <v>51743.06</v>
      </c>
      <c r="I2061" s="3">
        <v>465687.54</v>
      </c>
    </row>
    <row r="2062" spans="1:9" x14ac:dyDescent="0.3">
      <c r="A2062" s="5" t="s">
        <v>99</v>
      </c>
      <c r="B2062" t="s">
        <v>254</v>
      </c>
      <c r="C2062" t="s">
        <v>261</v>
      </c>
      <c r="D2062" t="s">
        <v>269</v>
      </c>
      <c r="E2062" t="s">
        <v>272</v>
      </c>
      <c r="F2062" t="s">
        <v>277</v>
      </c>
      <c r="G2062" s="7">
        <v>4</v>
      </c>
      <c r="H2062" s="3">
        <v>31948.71</v>
      </c>
      <c r="I2062" s="3">
        <v>127794.84</v>
      </c>
    </row>
    <row r="2063" spans="1:9" x14ac:dyDescent="0.3">
      <c r="A2063" s="5" t="s">
        <v>99</v>
      </c>
      <c r="B2063" t="s">
        <v>256</v>
      </c>
      <c r="C2063" t="s">
        <v>265</v>
      </c>
      <c r="D2063" t="s">
        <v>270</v>
      </c>
      <c r="E2063" t="s">
        <v>274</v>
      </c>
      <c r="F2063" t="s">
        <v>287</v>
      </c>
      <c r="G2063" s="7">
        <v>8</v>
      </c>
      <c r="H2063" s="3">
        <v>35262.370000000003</v>
      </c>
      <c r="I2063" s="3">
        <v>282098.96000000002</v>
      </c>
    </row>
    <row r="2064" spans="1:9" x14ac:dyDescent="0.3">
      <c r="A2064" s="5" t="s">
        <v>100</v>
      </c>
      <c r="B2064" t="s">
        <v>253</v>
      </c>
      <c r="C2064" t="s">
        <v>263</v>
      </c>
      <c r="D2064" t="s">
        <v>267</v>
      </c>
      <c r="E2064" t="s">
        <v>274</v>
      </c>
      <c r="F2064" t="s">
        <v>289</v>
      </c>
      <c r="G2064" s="7">
        <v>7</v>
      </c>
      <c r="H2064" s="3">
        <v>31805.3</v>
      </c>
      <c r="I2064" s="3">
        <v>222637.1</v>
      </c>
    </row>
    <row r="2065" spans="1:9" x14ac:dyDescent="0.3">
      <c r="A2065" s="5" t="s">
        <v>100</v>
      </c>
      <c r="B2065" t="s">
        <v>253</v>
      </c>
      <c r="C2065" t="s">
        <v>265</v>
      </c>
      <c r="D2065" t="s">
        <v>267</v>
      </c>
      <c r="E2065" t="s">
        <v>273</v>
      </c>
      <c r="F2065" t="s">
        <v>279</v>
      </c>
      <c r="G2065" s="7">
        <v>7</v>
      </c>
      <c r="H2065" s="3">
        <v>45554.62</v>
      </c>
      <c r="I2065" s="3">
        <v>318882.34000000003</v>
      </c>
    </row>
    <row r="2066" spans="1:9" x14ac:dyDescent="0.3">
      <c r="A2066" s="5" t="s">
        <v>100</v>
      </c>
      <c r="B2066" t="s">
        <v>254</v>
      </c>
      <c r="C2066" t="s">
        <v>262</v>
      </c>
      <c r="D2066" t="s">
        <v>270</v>
      </c>
      <c r="E2066" t="s">
        <v>273</v>
      </c>
      <c r="F2066" t="s">
        <v>279</v>
      </c>
      <c r="G2066" s="7">
        <v>8</v>
      </c>
      <c r="H2066" s="3">
        <v>55717.89</v>
      </c>
      <c r="I2066" s="3">
        <v>445743.12</v>
      </c>
    </row>
    <row r="2067" spans="1:9" x14ac:dyDescent="0.3">
      <c r="A2067" s="5" t="s">
        <v>100</v>
      </c>
      <c r="B2067" t="s">
        <v>258</v>
      </c>
      <c r="C2067" t="s">
        <v>265</v>
      </c>
      <c r="D2067" t="s">
        <v>266</v>
      </c>
      <c r="E2067" t="s">
        <v>271</v>
      </c>
      <c r="F2067" t="s">
        <v>282</v>
      </c>
      <c r="G2067" s="7">
        <v>1</v>
      </c>
      <c r="H2067" s="3">
        <v>7607.11</v>
      </c>
      <c r="I2067" s="3">
        <v>7607.11</v>
      </c>
    </row>
    <row r="2068" spans="1:9" x14ac:dyDescent="0.3">
      <c r="A2068" s="5" t="s">
        <v>100</v>
      </c>
      <c r="B2068" t="s">
        <v>258</v>
      </c>
      <c r="C2068" t="s">
        <v>262</v>
      </c>
      <c r="D2068" t="s">
        <v>266</v>
      </c>
      <c r="E2068" t="s">
        <v>272</v>
      </c>
      <c r="F2068" t="s">
        <v>286</v>
      </c>
      <c r="G2068" s="7">
        <v>5</v>
      </c>
      <c r="H2068" s="3">
        <v>26807.26</v>
      </c>
      <c r="I2068" s="3">
        <v>134036.29999999999</v>
      </c>
    </row>
    <row r="2069" spans="1:9" x14ac:dyDescent="0.3">
      <c r="A2069" s="5" t="s">
        <v>100</v>
      </c>
      <c r="B2069" t="s">
        <v>257</v>
      </c>
      <c r="C2069" t="s">
        <v>261</v>
      </c>
      <c r="D2069" t="s">
        <v>267</v>
      </c>
      <c r="E2069" t="s">
        <v>272</v>
      </c>
      <c r="F2069" t="s">
        <v>277</v>
      </c>
      <c r="G2069" s="7">
        <v>2</v>
      </c>
      <c r="H2069" s="3">
        <v>29314.9</v>
      </c>
      <c r="I2069" s="3">
        <v>58629.8</v>
      </c>
    </row>
    <row r="2070" spans="1:9" x14ac:dyDescent="0.3">
      <c r="A2070" s="5" t="s">
        <v>101</v>
      </c>
      <c r="B2070" t="s">
        <v>253</v>
      </c>
      <c r="C2070" t="s">
        <v>262</v>
      </c>
      <c r="D2070" t="s">
        <v>267</v>
      </c>
      <c r="E2070" t="s">
        <v>273</v>
      </c>
      <c r="F2070" t="s">
        <v>283</v>
      </c>
      <c r="G2070" s="7">
        <v>2</v>
      </c>
      <c r="H2070" s="3">
        <v>53311.13</v>
      </c>
      <c r="I2070" s="3">
        <v>106622.26</v>
      </c>
    </row>
    <row r="2071" spans="1:9" x14ac:dyDescent="0.3">
      <c r="A2071" s="5" t="s">
        <v>101</v>
      </c>
      <c r="B2071" t="s">
        <v>253</v>
      </c>
      <c r="C2071" t="s">
        <v>262</v>
      </c>
      <c r="D2071" t="s">
        <v>268</v>
      </c>
      <c r="E2071" t="s">
        <v>271</v>
      </c>
      <c r="F2071" t="s">
        <v>285</v>
      </c>
      <c r="G2071" s="7">
        <v>1</v>
      </c>
      <c r="H2071" s="3">
        <v>7781.5</v>
      </c>
      <c r="I2071" s="3">
        <v>7781.5</v>
      </c>
    </row>
    <row r="2072" spans="1:9" x14ac:dyDescent="0.3">
      <c r="A2072" s="5" t="s">
        <v>101</v>
      </c>
      <c r="B2072" t="s">
        <v>259</v>
      </c>
      <c r="C2072" t="s">
        <v>264</v>
      </c>
      <c r="D2072" t="s">
        <v>266</v>
      </c>
      <c r="E2072" t="s">
        <v>271</v>
      </c>
      <c r="F2072" t="s">
        <v>285</v>
      </c>
      <c r="G2072" s="7">
        <v>5</v>
      </c>
      <c r="H2072" s="3">
        <v>8166.65</v>
      </c>
      <c r="I2072" s="3">
        <v>40833.25</v>
      </c>
    </row>
    <row r="2073" spans="1:9" x14ac:dyDescent="0.3">
      <c r="A2073" s="5" t="s">
        <v>101</v>
      </c>
      <c r="B2073" t="s">
        <v>256</v>
      </c>
      <c r="C2073" t="s">
        <v>263</v>
      </c>
      <c r="D2073" t="s">
        <v>270</v>
      </c>
      <c r="E2073" t="s">
        <v>274</v>
      </c>
      <c r="F2073" t="s">
        <v>287</v>
      </c>
      <c r="G2073" s="7">
        <v>2</v>
      </c>
      <c r="H2073" s="3">
        <v>28042.22</v>
      </c>
      <c r="I2073" s="3">
        <v>56084.44</v>
      </c>
    </row>
    <row r="2074" spans="1:9" x14ac:dyDescent="0.3">
      <c r="A2074" s="5" t="s">
        <v>101</v>
      </c>
      <c r="B2074" t="s">
        <v>260</v>
      </c>
      <c r="C2074" t="s">
        <v>263</v>
      </c>
      <c r="D2074" t="s">
        <v>266</v>
      </c>
      <c r="E2074" t="s">
        <v>274</v>
      </c>
      <c r="F2074" t="s">
        <v>289</v>
      </c>
      <c r="G2074" s="7">
        <v>4</v>
      </c>
      <c r="H2074" s="3">
        <v>36236.61</v>
      </c>
      <c r="I2074" s="3">
        <v>144946.44</v>
      </c>
    </row>
    <row r="2075" spans="1:9" x14ac:dyDescent="0.3">
      <c r="A2075" s="5" t="s">
        <v>101</v>
      </c>
      <c r="B2075" t="s">
        <v>258</v>
      </c>
      <c r="C2075" t="s">
        <v>261</v>
      </c>
      <c r="D2075" t="s">
        <v>268</v>
      </c>
      <c r="E2075" t="s">
        <v>271</v>
      </c>
      <c r="F2075" t="s">
        <v>285</v>
      </c>
      <c r="G2075" s="7">
        <v>3</v>
      </c>
      <c r="H2075" s="3">
        <v>8034.91</v>
      </c>
      <c r="I2075" s="3">
        <v>24104.73</v>
      </c>
    </row>
    <row r="2076" spans="1:9" x14ac:dyDescent="0.3">
      <c r="A2076" s="5" t="s">
        <v>102</v>
      </c>
      <c r="B2076" t="s">
        <v>253</v>
      </c>
      <c r="C2076" t="s">
        <v>261</v>
      </c>
      <c r="D2076" t="s">
        <v>267</v>
      </c>
      <c r="E2076" t="s">
        <v>274</v>
      </c>
      <c r="F2076" t="s">
        <v>287</v>
      </c>
      <c r="G2076" s="7">
        <v>3</v>
      </c>
      <c r="H2076" s="3">
        <v>32175.040000000001</v>
      </c>
      <c r="I2076" s="3">
        <v>96525.119999999995</v>
      </c>
    </row>
    <row r="2077" spans="1:9" x14ac:dyDescent="0.3">
      <c r="A2077" s="5" t="s">
        <v>102</v>
      </c>
      <c r="B2077" t="s">
        <v>259</v>
      </c>
      <c r="C2077" t="s">
        <v>263</v>
      </c>
      <c r="D2077" t="s">
        <v>267</v>
      </c>
      <c r="E2077" t="s">
        <v>273</v>
      </c>
      <c r="F2077" t="s">
        <v>288</v>
      </c>
      <c r="G2077" s="7">
        <v>2</v>
      </c>
      <c r="H2077" s="3">
        <v>46236.63</v>
      </c>
      <c r="I2077" s="3">
        <v>92473.26</v>
      </c>
    </row>
    <row r="2078" spans="1:9" x14ac:dyDescent="0.3">
      <c r="A2078" s="5" t="s">
        <v>102</v>
      </c>
      <c r="B2078" t="s">
        <v>255</v>
      </c>
      <c r="C2078" t="s">
        <v>264</v>
      </c>
      <c r="D2078" t="s">
        <v>268</v>
      </c>
      <c r="E2078" t="s">
        <v>271</v>
      </c>
      <c r="F2078" t="s">
        <v>281</v>
      </c>
      <c r="G2078" s="7">
        <v>6</v>
      </c>
      <c r="H2078" s="3">
        <v>10255.469999999999</v>
      </c>
      <c r="I2078" s="3">
        <v>61532.82</v>
      </c>
    </row>
    <row r="2079" spans="1:9" x14ac:dyDescent="0.3">
      <c r="A2079" s="5" t="s">
        <v>102</v>
      </c>
      <c r="B2079" t="s">
        <v>259</v>
      </c>
      <c r="C2079" t="s">
        <v>263</v>
      </c>
      <c r="D2079" t="s">
        <v>270</v>
      </c>
      <c r="E2079" t="s">
        <v>274</v>
      </c>
      <c r="F2079" t="s">
        <v>287</v>
      </c>
      <c r="G2079" s="7">
        <v>2</v>
      </c>
      <c r="H2079" s="3">
        <v>32465.03</v>
      </c>
      <c r="I2079" s="3">
        <v>64930.06</v>
      </c>
    </row>
    <row r="2080" spans="1:9" x14ac:dyDescent="0.3">
      <c r="A2080" s="5" t="s">
        <v>102</v>
      </c>
      <c r="B2080" t="s">
        <v>258</v>
      </c>
      <c r="C2080" t="s">
        <v>264</v>
      </c>
      <c r="D2080" t="s">
        <v>267</v>
      </c>
      <c r="E2080" t="s">
        <v>272</v>
      </c>
      <c r="F2080" t="s">
        <v>277</v>
      </c>
      <c r="G2080" s="7">
        <v>8</v>
      </c>
      <c r="H2080" s="3">
        <v>25426.52</v>
      </c>
      <c r="I2080" s="3">
        <v>203412.16</v>
      </c>
    </row>
    <row r="2081" spans="1:9" x14ac:dyDescent="0.3">
      <c r="A2081" s="5" t="s">
        <v>102</v>
      </c>
      <c r="B2081" t="s">
        <v>258</v>
      </c>
      <c r="C2081" t="s">
        <v>261</v>
      </c>
      <c r="D2081" t="s">
        <v>269</v>
      </c>
      <c r="E2081" t="s">
        <v>271</v>
      </c>
      <c r="F2081" t="s">
        <v>285</v>
      </c>
      <c r="G2081" s="7">
        <v>8</v>
      </c>
      <c r="H2081" s="3">
        <v>9007.67</v>
      </c>
      <c r="I2081" s="3">
        <v>72061.36</v>
      </c>
    </row>
    <row r="2082" spans="1:9" x14ac:dyDescent="0.3">
      <c r="A2082" s="5" t="s">
        <v>103</v>
      </c>
      <c r="B2082" t="s">
        <v>259</v>
      </c>
      <c r="C2082" t="s">
        <v>265</v>
      </c>
      <c r="D2082" t="s">
        <v>267</v>
      </c>
      <c r="E2082" t="s">
        <v>271</v>
      </c>
      <c r="F2082" t="s">
        <v>285</v>
      </c>
      <c r="G2082" s="7">
        <v>5</v>
      </c>
      <c r="H2082" s="3">
        <v>10499.06</v>
      </c>
      <c r="I2082" s="3">
        <v>52495.3</v>
      </c>
    </row>
    <row r="2083" spans="1:9" x14ac:dyDescent="0.3">
      <c r="A2083" s="5" t="s">
        <v>103</v>
      </c>
      <c r="B2083" t="s">
        <v>260</v>
      </c>
      <c r="C2083" t="s">
        <v>261</v>
      </c>
      <c r="D2083" t="s">
        <v>269</v>
      </c>
      <c r="E2083" t="s">
        <v>272</v>
      </c>
      <c r="F2083" t="s">
        <v>286</v>
      </c>
      <c r="G2083" s="7">
        <v>7</v>
      </c>
      <c r="H2083" s="3">
        <v>30606.080000000002</v>
      </c>
      <c r="I2083" s="3">
        <v>214242.56</v>
      </c>
    </row>
    <row r="2084" spans="1:9" x14ac:dyDescent="0.3">
      <c r="A2084" s="5" t="s">
        <v>103</v>
      </c>
      <c r="B2084" t="s">
        <v>254</v>
      </c>
      <c r="C2084" t="s">
        <v>261</v>
      </c>
      <c r="D2084" t="s">
        <v>268</v>
      </c>
      <c r="E2084" t="s">
        <v>273</v>
      </c>
      <c r="F2084" t="s">
        <v>279</v>
      </c>
      <c r="G2084" s="7">
        <v>4</v>
      </c>
      <c r="H2084" s="3">
        <v>55950.97</v>
      </c>
      <c r="I2084" s="3">
        <v>223803.88</v>
      </c>
    </row>
    <row r="2085" spans="1:9" x14ac:dyDescent="0.3">
      <c r="A2085" s="5" t="s">
        <v>103</v>
      </c>
      <c r="B2085" t="s">
        <v>258</v>
      </c>
      <c r="C2085" t="s">
        <v>262</v>
      </c>
      <c r="D2085" t="s">
        <v>268</v>
      </c>
      <c r="E2085" t="s">
        <v>272</v>
      </c>
      <c r="F2085" t="s">
        <v>277</v>
      </c>
      <c r="G2085" s="7">
        <v>1</v>
      </c>
      <c r="H2085" s="3">
        <v>33220.400000000001</v>
      </c>
      <c r="I2085" s="3">
        <v>33220.400000000001</v>
      </c>
    </row>
    <row r="2086" spans="1:9" x14ac:dyDescent="0.3">
      <c r="A2086" s="5" t="s">
        <v>103</v>
      </c>
      <c r="B2086" t="s">
        <v>259</v>
      </c>
      <c r="C2086" t="s">
        <v>262</v>
      </c>
      <c r="D2086" t="s">
        <v>267</v>
      </c>
      <c r="E2086" t="s">
        <v>271</v>
      </c>
      <c r="F2086" t="s">
        <v>282</v>
      </c>
      <c r="G2086" s="7">
        <v>2</v>
      </c>
      <c r="H2086" s="3">
        <v>7347.28</v>
      </c>
      <c r="I2086" s="3">
        <v>14694.56</v>
      </c>
    </row>
    <row r="2087" spans="1:9" x14ac:dyDescent="0.3">
      <c r="A2087" s="5" t="s">
        <v>103</v>
      </c>
      <c r="B2087" t="s">
        <v>253</v>
      </c>
      <c r="C2087" t="s">
        <v>262</v>
      </c>
      <c r="D2087" t="s">
        <v>266</v>
      </c>
      <c r="E2087" t="s">
        <v>273</v>
      </c>
      <c r="F2087" t="s">
        <v>278</v>
      </c>
      <c r="G2087" s="7">
        <v>4</v>
      </c>
      <c r="H2087" s="3">
        <v>50101.19</v>
      </c>
      <c r="I2087" s="3">
        <v>200404.76</v>
      </c>
    </row>
    <row r="2088" spans="1:9" x14ac:dyDescent="0.3">
      <c r="A2088" s="5" t="s">
        <v>103</v>
      </c>
      <c r="B2088" t="s">
        <v>259</v>
      </c>
      <c r="C2088" t="s">
        <v>262</v>
      </c>
      <c r="D2088" t="s">
        <v>269</v>
      </c>
      <c r="E2088" t="s">
        <v>274</v>
      </c>
      <c r="F2088" t="s">
        <v>284</v>
      </c>
      <c r="G2088" s="7">
        <v>1</v>
      </c>
      <c r="H2088" s="3">
        <v>30870.62</v>
      </c>
      <c r="I2088" s="3">
        <v>30870.62</v>
      </c>
    </row>
    <row r="2089" spans="1:9" x14ac:dyDescent="0.3">
      <c r="A2089" s="5" t="s">
        <v>104</v>
      </c>
      <c r="B2089" t="s">
        <v>256</v>
      </c>
      <c r="C2089" t="s">
        <v>264</v>
      </c>
      <c r="D2089" t="s">
        <v>270</v>
      </c>
      <c r="E2089" t="s">
        <v>274</v>
      </c>
      <c r="F2089" t="s">
        <v>287</v>
      </c>
      <c r="G2089" s="7">
        <v>8</v>
      </c>
      <c r="H2089" s="3">
        <v>34363.1</v>
      </c>
      <c r="I2089" s="3">
        <v>274904.8</v>
      </c>
    </row>
    <row r="2090" spans="1:9" x14ac:dyDescent="0.3">
      <c r="A2090" s="5" t="s">
        <v>104</v>
      </c>
      <c r="B2090" t="s">
        <v>254</v>
      </c>
      <c r="C2090" t="s">
        <v>263</v>
      </c>
      <c r="D2090" t="s">
        <v>267</v>
      </c>
      <c r="E2090" t="s">
        <v>274</v>
      </c>
      <c r="F2090" t="s">
        <v>280</v>
      </c>
      <c r="G2090" s="7">
        <v>9</v>
      </c>
      <c r="H2090" s="3">
        <v>30775.62</v>
      </c>
      <c r="I2090" s="3">
        <v>276980.58</v>
      </c>
    </row>
    <row r="2091" spans="1:9" x14ac:dyDescent="0.3">
      <c r="A2091" s="5" t="s">
        <v>104</v>
      </c>
      <c r="B2091" t="s">
        <v>255</v>
      </c>
      <c r="C2091" t="s">
        <v>265</v>
      </c>
      <c r="D2091" t="s">
        <v>270</v>
      </c>
      <c r="E2091" t="s">
        <v>271</v>
      </c>
      <c r="F2091" t="s">
        <v>275</v>
      </c>
      <c r="G2091" s="7">
        <v>4</v>
      </c>
      <c r="H2091" s="3">
        <v>8411.16</v>
      </c>
      <c r="I2091" s="3">
        <v>33644.639999999999</v>
      </c>
    </row>
    <row r="2092" spans="1:9" x14ac:dyDescent="0.3">
      <c r="A2092" s="5" t="s">
        <v>104</v>
      </c>
      <c r="B2092" t="s">
        <v>260</v>
      </c>
      <c r="C2092" t="s">
        <v>261</v>
      </c>
      <c r="D2092" t="s">
        <v>267</v>
      </c>
      <c r="E2092" t="s">
        <v>272</v>
      </c>
      <c r="F2092" t="s">
        <v>277</v>
      </c>
      <c r="G2092" s="7">
        <v>3</v>
      </c>
      <c r="H2092" s="3">
        <v>34139.49</v>
      </c>
      <c r="I2092" s="3">
        <v>102418.47</v>
      </c>
    </row>
    <row r="2093" spans="1:9" x14ac:dyDescent="0.3">
      <c r="A2093" s="5" t="s">
        <v>104</v>
      </c>
      <c r="B2093" t="s">
        <v>257</v>
      </c>
      <c r="C2093" t="s">
        <v>264</v>
      </c>
      <c r="D2093" t="s">
        <v>266</v>
      </c>
      <c r="E2093" t="s">
        <v>273</v>
      </c>
      <c r="F2093" t="s">
        <v>283</v>
      </c>
      <c r="G2093" s="7">
        <v>2</v>
      </c>
      <c r="H2093" s="3">
        <v>41969.58</v>
      </c>
      <c r="I2093" s="3">
        <v>83939.16</v>
      </c>
    </row>
    <row r="2094" spans="1:9" x14ac:dyDescent="0.3">
      <c r="A2094" s="5" t="s">
        <v>104</v>
      </c>
      <c r="B2094" t="s">
        <v>255</v>
      </c>
      <c r="C2094" t="s">
        <v>265</v>
      </c>
      <c r="D2094" t="s">
        <v>266</v>
      </c>
      <c r="E2094" t="s">
        <v>274</v>
      </c>
      <c r="F2094" t="s">
        <v>287</v>
      </c>
      <c r="G2094" s="7">
        <v>5</v>
      </c>
      <c r="H2094" s="3">
        <v>38388.6</v>
      </c>
      <c r="I2094" s="3">
        <v>191943</v>
      </c>
    </row>
    <row r="2095" spans="1:9" x14ac:dyDescent="0.3">
      <c r="A2095" s="5" t="s">
        <v>105</v>
      </c>
      <c r="B2095" t="s">
        <v>254</v>
      </c>
      <c r="C2095" t="s">
        <v>264</v>
      </c>
      <c r="D2095" t="s">
        <v>266</v>
      </c>
      <c r="E2095" t="s">
        <v>273</v>
      </c>
      <c r="F2095" t="s">
        <v>288</v>
      </c>
      <c r="G2095" s="7">
        <v>3</v>
      </c>
      <c r="H2095" s="3">
        <v>38798.239999999998</v>
      </c>
      <c r="I2095" s="3">
        <v>116394.72</v>
      </c>
    </row>
    <row r="2096" spans="1:9" x14ac:dyDescent="0.3">
      <c r="A2096" s="5" t="s">
        <v>105</v>
      </c>
      <c r="B2096" t="s">
        <v>254</v>
      </c>
      <c r="C2096" t="s">
        <v>264</v>
      </c>
      <c r="D2096" t="s">
        <v>266</v>
      </c>
      <c r="E2096" t="s">
        <v>271</v>
      </c>
      <c r="F2096" t="s">
        <v>275</v>
      </c>
      <c r="G2096" s="7">
        <v>7</v>
      </c>
      <c r="H2096" s="3">
        <v>7533.98</v>
      </c>
      <c r="I2096" s="3">
        <v>52737.86</v>
      </c>
    </row>
    <row r="2097" spans="1:9" x14ac:dyDescent="0.3">
      <c r="A2097" s="5" t="s">
        <v>105</v>
      </c>
      <c r="B2097" t="s">
        <v>254</v>
      </c>
      <c r="C2097" t="s">
        <v>261</v>
      </c>
      <c r="D2097" t="s">
        <v>268</v>
      </c>
      <c r="E2097" t="s">
        <v>274</v>
      </c>
      <c r="F2097" t="s">
        <v>287</v>
      </c>
      <c r="G2097" s="7">
        <v>6</v>
      </c>
      <c r="H2097" s="3">
        <v>38139.839999999997</v>
      </c>
      <c r="I2097" s="3">
        <v>228839.04000000001</v>
      </c>
    </row>
    <row r="2098" spans="1:9" x14ac:dyDescent="0.3">
      <c r="A2098" s="5" t="s">
        <v>105</v>
      </c>
      <c r="B2098" t="s">
        <v>255</v>
      </c>
      <c r="C2098" t="s">
        <v>263</v>
      </c>
      <c r="D2098" t="s">
        <v>268</v>
      </c>
      <c r="E2098" t="s">
        <v>271</v>
      </c>
      <c r="F2098" t="s">
        <v>285</v>
      </c>
      <c r="G2098" s="7">
        <v>1</v>
      </c>
      <c r="H2098" s="3">
        <v>9368.89</v>
      </c>
      <c r="I2098" s="3">
        <v>9368.89</v>
      </c>
    </row>
    <row r="2099" spans="1:9" x14ac:dyDescent="0.3">
      <c r="A2099" s="5" t="s">
        <v>105</v>
      </c>
      <c r="B2099" t="s">
        <v>253</v>
      </c>
      <c r="C2099" t="s">
        <v>262</v>
      </c>
      <c r="D2099" t="s">
        <v>269</v>
      </c>
      <c r="E2099" t="s">
        <v>272</v>
      </c>
      <c r="F2099" t="s">
        <v>290</v>
      </c>
      <c r="G2099" s="7">
        <v>8</v>
      </c>
      <c r="H2099" s="3">
        <v>32169.040000000001</v>
      </c>
      <c r="I2099" s="3">
        <v>257352.32000000001</v>
      </c>
    </row>
    <row r="2100" spans="1:9" x14ac:dyDescent="0.3">
      <c r="A2100" s="5" t="s">
        <v>105</v>
      </c>
      <c r="B2100" t="s">
        <v>254</v>
      </c>
      <c r="C2100" t="s">
        <v>263</v>
      </c>
      <c r="D2100" t="s">
        <v>270</v>
      </c>
      <c r="E2100" t="s">
        <v>271</v>
      </c>
      <c r="F2100" t="s">
        <v>275</v>
      </c>
      <c r="G2100" s="7">
        <v>2</v>
      </c>
      <c r="H2100" s="3">
        <v>7937.02</v>
      </c>
      <c r="I2100" s="3">
        <v>15874.04</v>
      </c>
    </row>
    <row r="2101" spans="1:9" x14ac:dyDescent="0.3">
      <c r="A2101" s="5" t="s">
        <v>106</v>
      </c>
      <c r="B2101" t="s">
        <v>259</v>
      </c>
      <c r="C2101" t="s">
        <v>261</v>
      </c>
      <c r="D2101" t="s">
        <v>267</v>
      </c>
      <c r="E2101" t="s">
        <v>271</v>
      </c>
      <c r="F2101" t="s">
        <v>275</v>
      </c>
      <c r="G2101" s="7">
        <v>5</v>
      </c>
      <c r="H2101" s="3">
        <v>9051.08</v>
      </c>
      <c r="I2101" s="3">
        <v>45255.4</v>
      </c>
    </row>
    <row r="2102" spans="1:9" x14ac:dyDescent="0.3">
      <c r="A2102" s="5" t="s">
        <v>106</v>
      </c>
      <c r="B2102" t="s">
        <v>255</v>
      </c>
      <c r="C2102" t="s">
        <v>261</v>
      </c>
      <c r="D2102" t="s">
        <v>267</v>
      </c>
      <c r="E2102" t="s">
        <v>272</v>
      </c>
      <c r="F2102" t="s">
        <v>290</v>
      </c>
      <c r="G2102" s="7">
        <v>9</v>
      </c>
      <c r="H2102" s="3">
        <v>32056.86</v>
      </c>
      <c r="I2102" s="3">
        <v>288511.74</v>
      </c>
    </row>
    <row r="2103" spans="1:9" x14ac:dyDescent="0.3">
      <c r="A2103" s="5" t="s">
        <v>106</v>
      </c>
      <c r="B2103" t="s">
        <v>257</v>
      </c>
      <c r="C2103" t="s">
        <v>261</v>
      </c>
      <c r="D2103" t="s">
        <v>268</v>
      </c>
      <c r="E2103" t="s">
        <v>273</v>
      </c>
      <c r="F2103" t="s">
        <v>283</v>
      </c>
      <c r="G2103" s="7">
        <v>8</v>
      </c>
      <c r="H2103" s="3">
        <v>49541.65</v>
      </c>
      <c r="I2103" s="3">
        <v>396333.2</v>
      </c>
    </row>
    <row r="2104" spans="1:9" x14ac:dyDescent="0.3">
      <c r="A2104" s="5" t="s">
        <v>106</v>
      </c>
      <c r="B2104" t="s">
        <v>254</v>
      </c>
      <c r="C2104" t="s">
        <v>265</v>
      </c>
      <c r="D2104" t="s">
        <v>267</v>
      </c>
      <c r="E2104" t="s">
        <v>272</v>
      </c>
      <c r="F2104" t="s">
        <v>276</v>
      </c>
      <c r="G2104" s="7">
        <v>2</v>
      </c>
      <c r="H2104" s="3">
        <v>29083.03</v>
      </c>
      <c r="I2104" s="3">
        <v>58166.06</v>
      </c>
    </row>
    <row r="2105" spans="1:9" x14ac:dyDescent="0.3">
      <c r="A2105" s="5" t="s">
        <v>106</v>
      </c>
      <c r="B2105" t="s">
        <v>259</v>
      </c>
      <c r="C2105" t="s">
        <v>263</v>
      </c>
      <c r="D2105" t="s">
        <v>268</v>
      </c>
      <c r="E2105" t="s">
        <v>272</v>
      </c>
      <c r="F2105" t="s">
        <v>286</v>
      </c>
      <c r="G2105" s="7">
        <v>9</v>
      </c>
      <c r="H2105" s="3">
        <v>34549.58</v>
      </c>
      <c r="I2105" s="3">
        <v>310946.21999999997</v>
      </c>
    </row>
    <row r="2106" spans="1:9" x14ac:dyDescent="0.3">
      <c r="A2106" s="5" t="s">
        <v>106</v>
      </c>
      <c r="B2106" t="s">
        <v>253</v>
      </c>
      <c r="C2106" t="s">
        <v>263</v>
      </c>
      <c r="D2106" t="s">
        <v>269</v>
      </c>
      <c r="E2106" t="s">
        <v>271</v>
      </c>
      <c r="F2106" t="s">
        <v>282</v>
      </c>
      <c r="G2106" s="7">
        <v>5</v>
      </c>
      <c r="H2106" s="3">
        <v>9523.93</v>
      </c>
      <c r="I2106" s="3">
        <v>47619.65</v>
      </c>
    </row>
    <row r="2107" spans="1:9" x14ac:dyDescent="0.3">
      <c r="A2107" s="5" t="s">
        <v>107</v>
      </c>
      <c r="B2107" t="s">
        <v>256</v>
      </c>
      <c r="C2107" t="s">
        <v>264</v>
      </c>
      <c r="D2107" t="s">
        <v>270</v>
      </c>
      <c r="E2107" t="s">
        <v>273</v>
      </c>
      <c r="F2107" t="s">
        <v>288</v>
      </c>
      <c r="G2107" s="7">
        <v>6</v>
      </c>
      <c r="H2107" s="3">
        <v>54589.51</v>
      </c>
      <c r="I2107" s="3">
        <v>327537.06</v>
      </c>
    </row>
    <row r="2108" spans="1:9" x14ac:dyDescent="0.3">
      <c r="A2108" s="5" t="s">
        <v>107</v>
      </c>
      <c r="B2108" t="s">
        <v>253</v>
      </c>
      <c r="C2108" t="s">
        <v>264</v>
      </c>
      <c r="D2108" t="s">
        <v>269</v>
      </c>
      <c r="E2108" t="s">
        <v>274</v>
      </c>
      <c r="F2108" t="s">
        <v>287</v>
      </c>
      <c r="G2108" s="7">
        <v>3</v>
      </c>
      <c r="H2108" s="3">
        <v>36541.06</v>
      </c>
      <c r="I2108" s="3">
        <v>109623.18</v>
      </c>
    </row>
    <row r="2109" spans="1:9" x14ac:dyDescent="0.3">
      <c r="A2109" s="5" t="s">
        <v>107</v>
      </c>
      <c r="B2109" t="s">
        <v>257</v>
      </c>
      <c r="C2109" t="s">
        <v>264</v>
      </c>
      <c r="D2109" t="s">
        <v>266</v>
      </c>
      <c r="E2109" t="s">
        <v>272</v>
      </c>
      <c r="F2109" t="s">
        <v>277</v>
      </c>
      <c r="G2109" s="7">
        <v>3</v>
      </c>
      <c r="H2109" s="3">
        <v>32037.19</v>
      </c>
      <c r="I2109" s="3">
        <v>96111.57</v>
      </c>
    </row>
    <row r="2110" spans="1:9" x14ac:dyDescent="0.3">
      <c r="A2110" s="5" t="s">
        <v>107</v>
      </c>
      <c r="B2110" t="s">
        <v>254</v>
      </c>
      <c r="C2110" t="s">
        <v>261</v>
      </c>
      <c r="D2110" t="s">
        <v>266</v>
      </c>
      <c r="E2110" t="s">
        <v>273</v>
      </c>
      <c r="F2110" t="s">
        <v>283</v>
      </c>
      <c r="G2110" s="7">
        <v>8</v>
      </c>
      <c r="H2110" s="3">
        <v>39690.33</v>
      </c>
      <c r="I2110" s="3">
        <v>317522.64</v>
      </c>
    </row>
    <row r="2111" spans="1:9" x14ac:dyDescent="0.3">
      <c r="A2111" s="5" t="s">
        <v>107</v>
      </c>
      <c r="B2111" t="s">
        <v>257</v>
      </c>
      <c r="C2111" t="s">
        <v>263</v>
      </c>
      <c r="D2111" t="s">
        <v>266</v>
      </c>
      <c r="E2111" t="s">
        <v>272</v>
      </c>
      <c r="F2111" t="s">
        <v>290</v>
      </c>
      <c r="G2111" s="7">
        <v>2</v>
      </c>
      <c r="H2111" s="3">
        <v>27826</v>
      </c>
      <c r="I2111" s="3">
        <v>55652</v>
      </c>
    </row>
    <row r="2112" spans="1:9" x14ac:dyDescent="0.3">
      <c r="A2112" s="5" t="s">
        <v>107</v>
      </c>
      <c r="B2112" t="s">
        <v>255</v>
      </c>
      <c r="C2112" t="s">
        <v>261</v>
      </c>
      <c r="D2112" t="s">
        <v>269</v>
      </c>
      <c r="E2112" t="s">
        <v>272</v>
      </c>
      <c r="F2112" t="s">
        <v>276</v>
      </c>
      <c r="G2112" s="7">
        <v>2</v>
      </c>
      <c r="H2112" s="3">
        <v>33413.74</v>
      </c>
      <c r="I2112" s="3">
        <v>66827.48</v>
      </c>
    </row>
    <row r="2113" spans="1:9" x14ac:dyDescent="0.3">
      <c r="A2113" s="5" t="s">
        <v>108</v>
      </c>
      <c r="B2113" t="s">
        <v>258</v>
      </c>
      <c r="C2113" t="s">
        <v>265</v>
      </c>
      <c r="D2113" t="s">
        <v>267</v>
      </c>
      <c r="E2113" t="s">
        <v>272</v>
      </c>
      <c r="F2113" t="s">
        <v>277</v>
      </c>
      <c r="G2113" s="7">
        <v>5</v>
      </c>
      <c r="H2113" s="3">
        <v>26405.16</v>
      </c>
      <c r="I2113" s="3">
        <v>132025.79999999999</v>
      </c>
    </row>
    <row r="2114" spans="1:9" x14ac:dyDescent="0.3">
      <c r="A2114" s="5" t="s">
        <v>108</v>
      </c>
      <c r="B2114" t="s">
        <v>254</v>
      </c>
      <c r="C2114" t="s">
        <v>264</v>
      </c>
      <c r="D2114" t="s">
        <v>270</v>
      </c>
      <c r="E2114" t="s">
        <v>272</v>
      </c>
      <c r="F2114" t="s">
        <v>276</v>
      </c>
      <c r="G2114" s="7">
        <v>6</v>
      </c>
      <c r="H2114" s="3">
        <v>25093.67</v>
      </c>
      <c r="I2114" s="3">
        <v>150562.01999999999</v>
      </c>
    </row>
    <row r="2115" spans="1:9" x14ac:dyDescent="0.3">
      <c r="A2115" s="5" t="s">
        <v>108</v>
      </c>
      <c r="B2115" t="s">
        <v>258</v>
      </c>
      <c r="C2115" t="s">
        <v>261</v>
      </c>
      <c r="D2115" t="s">
        <v>266</v>
      </c>
      <c r="E2115" t="s">
        <v>271</v>
      </c>
      <c r="F2115" t="s">
        <v>285</v>
      </c>
      <c r="G2115" s="7">
        <v>2</v>
      </c>
      <c r="H2115" s="3">
        <v>8333.76</v>
      </c>
      <c r="I2115" s="3">
        <v>16667.52</v>
      </c>
    </row>
    <row r="2116" spans="1:9" x14ac:dyDescent="0.3">
      <c r="A2116" s="5" t="s">
        <v>108</v>
      </c>
      <c r="B2116" t="s">
        <v>259</v>
      </c>
      <c r="C2116" t="s">
        <v>261</v>
      </c>
      <c r="D2116" t="s">
        <v>266</v>
      </c>
      <c r="E2116" t="s">
        <v>273</v>
      </c>
      <c r="F2116" t="s">
        <v>278</v>
      </c>
      <c r="G2116" s="7">
        <v>5</v>
      </c>
      <c r="H2116" s="3">
        <v>42217.88</v>
      </c>
      <c r="I2116" s="3">
        <v>211089.4</v>
      </c>
    </row>
    <row r="2117" spans="1:9" x14ac:dyDescent="0.3">
      <c r="A2117" s="5" t="s">
        <v>108</v>
      </c>
      <c r="B2117" t="s">
        <v>256</v>
      </c>
      <c r="C2117" t="s">
        <v>265</v>
      </c>
      <c r="D2117" t="s">
        <v>266</v>
      </c>
      <c r="E2117" t="s">
        <v>273</v>
      </c>
      <c r="F2117" t="s">
        <v>278</v>
      </c>
      <c r="G2117" s="7">
        <v>7</v>
      </c>
      <c r="H2117" s="3">
        <v>54905.19</v>
      </c>
      <c r="I2117" s="3">
        <v>384336.33</v>
      </c>
    </row>
    <row r="2118" spans="1:9" x14ac:dyDescent="0.3">
      <c r="A2118" s="5" t="s">
        <v>108</v>
      </c>
      <c r="B2118" t="s">
        <v>260</v>
      </c>
      <c r="C2118" t="s">
        <v>262</v>
      </c>
      <c r="D2118" t="s">
        <v>270</v>
      </c>
      <c r="E2118" t="s">
        <v>273</v>
      </c>
      <c r="F2118" t="s">
        <v>288</v>
      </c>
      <c r="G2118" s="7">
        <v>8</v>
      </c>
      <c r="H2118" s="3">
        <v>53873.4</v>
      </c>
      <c r="I2118" s="3">
        <v>430987.2</v>
      </c>
    </row>
    <row r="2119" spans="1:9" x14ac:dyDescent="0.3">
      <c r="A2119" s="5" t="s">
        <v>109</v>
      </c>
      <c r="B2119" t="s">
        <v>257</v>
      </c>
      <c r="C2119" t="s">
        <v>263</v>
      </c>
      <c r="D2119" t="s">
        <v>266</v>
      </c>
      <c r="E2119" t="s">
        <v>272</v>
      </c>
      <c r="F2119" t="s">
        <v>276</v>
      </c>
      <c r="G2119" s="7">
        <v>7</v>
      </c>
      <c r="H2119" s="3">
        <v>29396.45</v>
      </c>
      <c r="I2119" s="3">
        <v>205775.15</v>
      </c>
    </row>
    <row r="2120" spans="1:9" x14ac:dyDescent="0.3">
      <c r="A2120" s="5" t="s">
        <v>109</v>
      </c>
      <c r="B2120" t="s">
        <v>253</v>
      </c>
      <c r="C2120" t="s">
        <v>262</v>
      </c>
      <c r="D2120" t="s">
        <v>270</v>
      </c>
      <c r="E2120" t="s">
        <v>271</v>
      </c>
      <c r="F2120" t="s">
        <v>285</v>
      </c>
      <c r="G2120" s="7">
        <v>8</v>
      </c>
      <c r="H2120" s="3">
        <v>7433.57</v>
      </c>
      <c r="I2120" s="3">
        <v>59468.56</v>
      </c>
    </row>
    <row r="2121" spans="1:9" x14ac:dyDescent="0.3">
      <c r="A2121" s="5" t="s">
        <v>109</v>
      </c>
      <c r="B2121" t="s">
        <v>256</v>
      </c>
      <c r="C2121" t="s">
        <v>264</v>
      </c>
      <c r="D2121" t="s">
        <v>266</v>
      </c>
      <c r="E2121" t="s">
        <v>272</v>
      </c>
      <c r="F2121" t="s">
        <v>276</v>
      </c>
      <c r="G2121" s="7">
        <v>9</v>
      </c>
      <c r="H2121" s="3">
        <v>31803.1</v>
      </c>
      <c r="I2121" s="3">
        <v>286227.90000000002</v>
      </c>
    </row>
    <row r="2122" spans="1:9" x14ac:dyDescent="0.3">
      <c r="A2122" s="5" t="s">
        <v>109</v>
      </c>
      <c r="B2122" t="s">
        <v>254</v>
      </c>
      <c r="C2122" t="s">
        <v>261</v>
      </c>
      <c r="D2122" t="s">
        <v>269</v>
      </c>
      <c r="E2122" t="s">
        <v>272</v>
      </c>
      <c r="F2122" t="s">
        <v>286</v>
      </c>
      <c r="G2122" s="7">
        <v>5</v>
      </c>
      <c r="H2122" s="3">
        <v>30782.21</v>
      </c>
      <c r="I2122" s="3">
        <v>153911.04999999999</v>
      </c>
    </row>
    <row r="2123" spans="1:9" x14ac:dyDescent="0.3">
      <c r="A2123" s="5" t="s">
        <v>109</v>
      </c>
      <c r="B2123" t="s">
        <v>258</v>
      </c>
      <c r="C2123" t="s">
        <v>265</v>
      </c>
      <c r="D2123" t="s">
        <v>269</v>
      </c>
      <c r="E2123" t="s">
        <v>273</v>
      </c>
      <c r="F2123" t="s">
        <v>288</v>
      </c>
      <c r="G2123" s="7">
        <v>5</v>
      </c>
      <c r="H2123" s="3">
        <v>55719.98</v>
      </c>
      <c r="I2123" s="3">
        <v>278599.90000000002</v>
      </c>
    </row>
    <row r="2124" spans="1:9" x14ac:dyDescent="0.3">
      <c r="A2124" s="5" t="s">
        <v>109</v>
      </c>
      <c r="B2124" t="s">
        <v>253</v>
      </c>
      <c r="C2124" t="s">
        <v>265</v>
      </c>
      <c r="D2124" t="s">
        <v>270</v>
      </c>
      <c r="E2124" t="s">
        <v>272</v>
      </c>
      <c r="F2124" t="s">
        <v>290</v>
      </c>
      <c r="G2124" s="7">
        <v>4</v>
      </c>
      <c r="H2124" s="3">
        <v>30060.28</v>
      </c>
      <c r="I2124" s="3">
        <v>120241.12</v>
      </c>
    </row>
    <row r="2125" spans="1:9" x14ac:dyDescent="0.3">
      <c r="A2125" s="5" t="s">
        <v>109</v>
      </c>
      <c r="B2125" t="s">
        <v>258</v>
      </c>
      <c r="C2125" t="s">
        <v>263</v>
      </c>
      <c r="D2125" t="s">
        <v>269</v>
      </c>
      <c r="E2125" t="s">
        <v>274</v>
      </c>
      <c r="F2125" t="s">
        <v>284</v>
      </c>
      <c r="G2125" s="7">
        <v>9</v>
      </c>
      <c r="H2125" s="3">
        <v>31505.84</v>
      </c>
      <c r="I2125" s="3">
        <v>283552.56</v>
      </c>
    </row>
    <row r="2126" spans="1:9" x14ac:dyDescent="0.3">
      <c r="A2126" s="5" t="s">
        <v>110</v>
      </c>
      <c r="B2126" t="s">
        <v>255</v>
      </c>
      <c r="C2126" t="s">
        <v>262</v>
      </c>
      <c r="D2126" t="s">
        <v>270</v>
      </c>
      <c r="E2126" t="s">
        <v>272</v>
      </c>
      <c r="F2126" t="s">
        <v>277</v>
      </c>
      <c r="G2126" s="7">
        <v>5</v>
      </c>
      <c r="H2126" s="3">
        <v>29613.040000000001</v>
      </c>
      <c r="I2126" s="3">
        <v>148065.20000000001</v>
      </c>
    </row>
    <row r="2127" spans="1:9" x14ac:dyDescent="0.3">
      <c r="A2127" s="5" t="s">
        <v>110</v>
      </c>
      <c r="B2127" t="s">
        <v>258</v>
      </c>
      <c r="C2127" t="s">
        <v>263</v>
      </c>
      <c r="D2127" t="s">
        <v>269</v>
      </c>
      <c r="E2127" t="s">
        <v>274</v>
      </c>
      <c r="F2127" t="s">
        <v>287</v>
      </c>
      <c r="G2127" s="7">
        <v>2</v>
      </c>
      <c r="H2127" s="3">
        <v>39734.57</v>
      </c>
      <c r="I2127" s="3">
        <v>79469.14</v>
      </c>
    </row>
    <row r="2128" spans="1:9" x14ac:dyDescent="0.3">
      <c r="A2128" s="5" t="s">
        <v>110</v>
      </c>
      <c r="B2128" t="s">
        <v>255</v>
      </c>
      <c r="C2128" t="s">
        <v>261</v>
      </c>
      <c r="D2128" t="s">
        <v>269</v>
      </c>
      <c r="E2128" t="s">
        <v>272</v>
      </c>
      <c r="F2128" t="s">
        <v>290</v>
      </c>
      <c r="G2128" s="7">
        <v>8</v>
      </c>
      <c r="H2128" s="3">
        <v>31599.26</v>
      </c>
      <c r="I2128" s="3">
        <v>252794.08</v>
      </c>
    </row>
    <row r="2129" spans="1:9" x14ac:dyDescent="0.3">
      <c r="A2129" s="5" t="s">
        <v>110</v>
      </c>
      <c r="B2129" t="s">
        <v>259</v>
      </c>
      <c r="C2129" t="s">
        <v>263</v>
      </c>
      <c r="D2129" t="s">
        <v>270</v>
      </c>
      <c r="E2129" t="s">
        <v>271</v>
      </c>
      <c r="F2129" t="s">
        <v>281</v>
      </c>
      <c r="G2129" s="7">
        <v>7</v>
      </c>
      <c r="H2129" s="3">
        <v>9509.7199999999993</v>
      </c>
      <c r="I2129" s="3">
        <v>66568.039999999994</v>
      </c>
    </row>
    <row r="2130" spans="1:9" x14ac:dyDescent="0.3">
      <c r="A2130" s="5" t="s">
        <v>110</v>
      </c>
      <c r="B2130" t="s">
        <v>253</v>
      </c>
      <c r="C2130" t="s">
        <v>265</v>
      </c>
      <c r="D2130" t="s">
        <v>267</v>
      </c>
      <c r="E2130" t="s">
        <v>271</v>
      </c>
      <c r="F2130" t="s">
        <v>275</v>
      </c>
      <c r="G2130" s="7">
        <v>8</v>
      </c>
      <c r="H2130" s="3">
        <v>8043.32</v>
      </c>
      <c r="I2130" s="3">
        <v>64346.559999999998</v>
      </c>
    </row>
    <row r="2131" spans="1:9" x14ac:dyDescent="0.3">
      <c r="A2131" s="5" t="s">
        <v>110</v>
      </c>
      <c r="B2131" t="s">
        <v>253</v>
      </c>
      <c r="C2131" t="s">
        <v>265</v>
      </c>
      <c r="D2131" t="s">
        <v>269</v>
      </c>
      <c r="E2131" t="s">
        <v>273</v>
      </c>
      <c r="F2131" t="s">
        <v>278</v>
      </c>
      <c r="G2131" s="7">
        <v>3</v>
      </c>
      <c r="H2131" s="3">
        <v>51634.85</v>
      </c>
      <c r="I2131" s="3">
        <v>154904.54999999999</v>
      </c>
    </row>
    <row r="2132" spans="1:9" x14ac:dyDescent="0.3">
      <c r="A2132" s="5" t="s">
        <v>111</v>
      </c>
      <c r="B2132" t="s">
        <v>260</v>
      </c>
      <c r="C2132" t="s">
        <v>264</v>
      </c>
      <c r="D2132" t="s">
        <v>266</v>
      </c>
      <c r="E2132" t="s">
        <v>272</v>
      </c>
      <c r="F2132" t="s">
        <v>277</v>
      </c>
      <c r="G2132" s="7">
        <v>4</v>
      </c>
      <c r="H2132" s="3">
        <v>32203.040000000001</v>
      </c>
      <c r="I2132" s="3">
        <v>128812.16</v>
      </c>
    </row>
    <row r="2133" spans="1:9" x14ac:dyDescent="0.3">
      <c r="A2133" s="5" t="s">
        <v>111</v>
      </c>
      <c r="B2133" t="s">
        <v>254</v>
      </c>
      <c r="C2133" t="s">
        <v>264</v>
      </c>
      <c r="D2133" t="s">
        <v>267</v>
      </c>
      <c r="E2133" t="s">
        <v>274</v>
      </c>
      <c r="F2133" t="s">
        <v>280</v>
      </c>
      <c r="G2133" s="7">
        <v>5</v>
      </c>
      <c r="H2133" s="3">
        <v>31261.3</v>
      </c>
      <c r="I2133" s="3">
        <v>156306.5</v>
      </c>
    </row>
    <row r="2134" spans="1:9" x14ac:dyDescent="0.3">
      <c r="A2134" s="5" t="s">
        <v>111</v>
      </c>
      <c r="B2134" t="s">
        <v>255</v>
      </c>
      <c r="C2134" t="s">
        <v>261</v>
      </c>
      <c r="D2134" t="s">
        <v>270</v>
      </c>
      <c r="E2134" t="s">
        <v>274</v>
      </c>
      <c r="F2134" t="s">
        <v>287</v>
      </c>
      <c r="G2134" s="7">
        <v>6</v>
      </c>
      <c r="H2134" s="3">
        <v>33391.54</v>
      </c>
      <c r="I2134" s="3">
        <v>200349.24</v>
      </c>
    </row>
    <row r="2135" spans="1:9" x14ac:dyDescent="0.3">
      <c r="A2135" s="5" t="s">
        <v>111</v>
      </c>
      <c r="B2135" t="s">
        <v>260</v>
      </c>
      <c r="C2135" t="s">
        <v>262</v>
      </c>
      <c r="D2135" t="s">
        <v>267</v>
      </c>
      <c r="E2135" t="s">
        <v>272</v>
      </c>
      <c r="F2135" t="s">
        <v>277</v>
      </c>
      <c r="G2135" s="7">
        <v>1</v>
      </c>
      <c r="H2135" s="3">
        <v>27099.56</v>
      </c>
      <c r="I2135" s="3">
        <v>27099.56</v>
      </c>
    </row>
    <row r="2136" spans="1:9" x14ac:dyDescent="0.3">
      <c r="A2136" s="5" t="s">
        <v>111</v>
      </c>
      <c r="B2136" t="s">
        <v>258</v>
      </c>
      <c r="C2136" t="s">
        <v>263</v>
      </c>
      <c r="D2136" t="s">
        <v>268</v>
      </c>
      <c r="E2136" t="s">
        <v>274</v>
      </c>
      <c r="F2136" t="s">
        <v>287</v>
      </c>
      <c r="G2136" s="7">
        <v>4</v>
      </c>
      <c r="H2136" s="3">
        <v>30511.42</v>
      </c>
      <c r="I2136" s="3">
        <v>122045.68</v>
      </c>
    </row>
    <row r="2137" spans="1:9" x14ac:dyDescent="0.3">
      <c r="A2137" s="5" t="s">
        <v>111</v>
      </c>
      <c r="B2137" t="s">
        <v>258</v>
      </c>
      <c r="C2137" t="s">
        <v>261</v>
      </c>
      <c r="D2137" t="s">
        <v>268</v>
      </c>
      <c r="E2137" t="s">
        <v>271</v>
      </c>
      <c r="F2137" t="s">
        <v>275</v>
      </c>
      <c r="G2137" s="7">
        <v>5</v>
      </c>
      <c r="H2137" s="3">
        <v>7313.05</v>
      </c>
      <c r="I2137" s="3">
        <v>36565.25</v>
      </c>
    </row>
    <row r="2138" spans="1:9" x14ac:dyDescent="0.3">
      <c r="A2138" s="5" t="s">
        <v>112</v>
      </c>
      <c r="B2138" t="s">
        <v>260</v>
      </c>
      <c r="C2138" t="s">
        <v>264</v>
      </c>
      <c r="D2138" t="s">
        <v>269</v>
      </c>
      <c r="E2138" t="s">
        <v>274</v>
      </c>
      <c r="F2138" t="s">
        <v>287</v>
      </c>
      <c r="G2138" s="7">
        <v>7</v>
      </c>
      <c r="H2138" s="3">
        <v>30850.71</v>
      </c>
      <c r="I2138" s="3">
        <v>215954.97</v>
      </c>
    </row>
    <row r="2139" spans="1:9" x14ac:dyDescent="0.3">
      <c r="A2139" s="5" t="s">
        <v>112</v>
      </c>
      <c r="B2139" t="s">
        <v>253</v>
      </c>
      <c r="C2139" t="s">
        <v>263</v>
      </c>
      <c r="D2139" t="s">
        <v>269</v>
      </c>
      <c r="E2139" t="s">
        <v>273</v>
      </c>
      <c r="F2139" t="s">
        <v>288</v>
      </c>
      <c r="G2139" s="7">
        <v>5</v>
      </c>
      <c r="H2139" s="3">
        <v>48221.46</v>
      </c>
      <c r="I2139" s="3">
        <v>241107.3</v>
      </c>
    </row>
    <row r="2140" spans="1:9" x14ac:dyDescent="0.3">
      <c r="A2140" s="5" t="s">
        <v>112</v>
      </c>
      <c r="B2140" t="s">
        <v>258</v>
      </c>
      <c r="C2140" t="s">
        <v>264</v>
      </c>
      <c r="D2140" t="s">
        <v>266</v>
      </c>
      <c r="E2140" t="s">
        <v>271</v>
      </c>
      <c r="F2140" t="s">
        <v>281</v>
      </c>
      <c r="G2140" s="7">
        <v>1</v>
      </c>
      <c r="H2140" s="3">
        <v>7230.44</v>
      </c>
      <c r="I2140" s="3">
        <v>7230.44</v>
      </c>
    </row>
    <row r="2141" spans="1:9" x14ac:dyDescent="0.3">
      <c r="A2141" s="5" t="s">
        <v>112</v>
      </c>
      <c r="B2141" t="s">
        <v>257</v>
      </c>
      <c r="C2141" t="s">
        <v>263</v>
      </c>
      <c r="D2141" t="s">
        <v>267</v>
      </c>
      <c r="E2141" t="s">
        <v>271</v>
      </c>
      <c r="F2141" t="s">
        <v>275</v>
      </c>
      <c r="G2141" s="7">
        <v>7</v>
      </c>
      <c r="H2141" s="3">
        <v>8187.94</v>
      </c>
      <c r="I2141" s="3">
        <v>57315.58</v>
      </c>
    </row>
    <row r="2142" spans="1:9" x14ac:dyDescent="0.3">
      <c r="A2142" s="5" t="s">
        <v>112</v>
      </c>
      <c r="B2142" t="s">
        <v>259</v>
      </c>
      <c r="C2142" t="s">
        <v>262</v>
      </c>
      <c r="D2142" t="s">
        <v>268</v>
      </c>
      <c r="E2142" t="s">
        <v>271</v>
      </c>
      <c r="F2142" t="s">
        <v>285</v>
      </c>
      <c r="G2142" s="7">
        <v>8</v>
      </c>
      <c r="H2142" s="3">
        <v>10221.799999999999</v>
      </c>
      <c r="I2142" s="3">
        <v>81774.399999999994</v>
      </c>
    </row>
    <row r="2143" spans="1:9" x14ac:dyDescent="0.3">
      <c r="A2143" s="5" t="s">
        <v>112</v>
      </c>
      <c r="B2143" t="s">
        <v>259</v>
      </c>
      <c r="C2143" t="s">
        <v>261</v>
      </c>
      <c r="D2143" t="s">
        <v>269</v>
      </c>
      <c r="E2143" t="s">
        <v>272</v>
      </c>
      <c r="F2143" t="s">
        <v>286</v>
      </c>
      <c r="G2143" s="7">
        <v>7</v>
      </c>
      <c r="H2143" s="3">
        <v>30448.86</v>
      </c>
      <c r="I2143" s="3">
        <v>213142.02</v>
      </c>
    </row>
    <row r="2144" spans="1:9" x14ac:dyDescent="0.3">
      <c r="A2144" s="5" t="s">
        <v>113</v>
      </c>
      <c r="B2144" t="s">
        <v>257</v>
      </c>
      <c r="C2144" t="s">
        <v>263</v>
      </c>
      <c r="D2144" t="s">
        <v>267</v>
      </c>
      <c r="E2144" t="s">
        <v>272</v>
      </c>
      <c r="F2144" t="s">
        <v>286</v>
      </c>
      <c r="G2144" s="7">
        <v>4</v>
      </c>
      <c r="H2144" s="3">
        <v>30608.06</v>
      </c>
      <c r="I2144" s="3">
        <v>122432.24</v>
      </c>
    </row>
    <row r="2145" spans="1:9" x14ac:dyDescent="0.3">
      <c r="A2145" s="5" t="s">
        <v>113</v>
      </c>
      <c r="B2145" t="s">
        <v>260</v>
      </c>
      <c r="C2145" t="s">
        <v>265</v>
      </c>
      <c r="D2145" t="s">
        <v>269</v>
      </c>
      <c r="E2145" t="s">
        <v>271</v>
      </c>
      <c r="F2145" t="s">
        <v>281</v>
      </c>
      <c r="G2145" s="7">
        <v>8</v>
      </c>
      <c r="H2145" s="3">
        <v>8596.44</v>
      </c>
      <c r="I2145" s="3">
        <v>68771.520000000004</v>
      </c>
    </row>
    <row r="2146" spans="1:9" x14ac:dyDescent="0.3">
      <c r="A2146" s="5" t="s">
        <v>113</v>
      </c>
      <c r="B2146" t="s">
        <v>257</v>
      </c>
      <c r="C2146" t="s">
        <v>265</v>
      </c>
      <c r="D2146" t="s">
        <v>269</v>
      </c>
      <c r="E2146" t="s">
        <v>272</v>
      </c>
      <c r="F2146" t="s">
        <v>276</v>
      </c>
      <c r="G2146" s="7">
        <v>5</v>
      </c>
      <c r="H2146" s="3">
        <v>31376.49</v>
      </c>
      <c r="I2146" s="3">
        <v>156882.45000000001</v>
      </c>
    </row>
    <row r="2147" spans="1:9" x14ac:dyDescent="0.3">
      <c r="A2147" s="5" t="s">
        <v>113</v>
      </c>
      <c r="B2147" t="s">
        <v>255</v>
      </c>
      <c r="C2147" t="s">
        <v>263</v>
      </c>
      <c r="D2147" t="s">
        <v>268</v>
      </c>
      <c r="E2147" t="s">
        <v>274</v>
      </c>
      <c r="F2147" t="s">
        <v>280</v>
      </c>
      <c r="G2147" s="7">
        <v>9</v>
      </c>
      <c r="H2147" s="3">
        <v>29631.14</v>
      </c>
      <c r="I2147" s="3">
        <v>266680.26</v>
      </c>
    </row>
    <row r="2148" spans="1:9" x14ac:dyDescent="0.3">
      <c r="A2148" s="5" t="s">
        <v>113</v>
      </c>
      <c r="B2148" t="s">
        <v>255</v>
      </c>
      <c r="C2148" t="s">
        <v>263</v>
      </c>
      <c r="D2148" t="s">
        <v>268</v>
      </c>
      <c r="E2148" t="s">
        <v>272</v>
      </c>
      <c r="F2148" t="s">
        <v>286</v>
      </c>
      <c r="G2148" s="7">
        <v>5</v>
      </c>
      <c r="H2148" s="3">
        <v>32969.96</v>
      </c>
      <c r="I2148" s="3">
        <v>164849.79999999999</v>
      </c>
    </row>
    <row r="2149" spans="1:9" x14ac:dyDescent="0.3">
      <c r="A2149" s="5" t="s">
        <v>113</v>
      </c>
      <c r="B2149" t="s">
        <v>260</v>
      </c>
      <c r="C2149" t="s">
        <v>263</v>
      </c>
      <c r="D2149" t="s">
        <v>269</v>
      </c>
      <c r="E2149" t="s">
        <v>272</v>
      </c>
      <c r="F2149" t="s">
        <v>276</v>
      </c>
      <c r="G2149" s="7">
        <v>1</v>
      </c>
      <c r="H2149" s="3">
        <v>25106.92</v>
      </c>
      <c r="I2149" s="3">
        <v>25106.92</v>
      </c>
    </row>
    <row r="2150" spans="1:9" x14ac:dyDescent="0.3">
      <c r="A2150" s="5" t="s">
        <v>114</v>
      </c>
      <c r="B2150" t="s">
        <v>257</v>
      </c>
      <c r="C2150" t="s">
        <v>265</v>
      </c>
      <c r="D2150" t="s">
        <v>270</v>
      </c>
      <c r="E2150" t="s">
        <v>271</v>
      </c>
      <c r="F2150" t="s">
        <v>285</v>
      </c>
      <c r="G2150" s="7">
        <v>9</v>
      </c>
      <c r="H2150" s="3">
        <v>9455.4</v>
      </c>
      <c r="I2150" s="3">
        <v>85098.6</v>
      </c>
    </row>
    <row r="2151" spans="1:9" x14ac:dyDescent="0.3">
      <c r="A2151" s="5" t="s">
        <v>114</v>
      </c>
      <c r="B2151" t="s">
        <v>255</v>
      </c>
      <c r="C2151" t="s">
        <v>265</v>
      </c>
      <c r="D2151" t="s">
        <v>269</v>
      </c>
      <c r="E2151" t="s">
        <v>273</v>
      </c>
      <c r="F2151" t="s">
        <v>279</v>
      </c>
      <c r="G2151" s="7">
        <v>5</v>
      </c>
      <c r="H2151" s="3">
        <v>44390.69</v>
      </c>
      <c r="I2151" s="3">
        <v>221953.45</v>
      </c>
    </row>
    <row r="2152" spans="1:9" x14ac:dyDescent="0.3">
      <c r="A2152" s="5" t="s">
        <v>114</v>
      </c>
      <c r="B2152" t="s">
        <v>253</v>
      </c>
      <c r="C2152" t="s">
        <v>263</v>
      </c>
      <c r="D2152" t="s">
        <v>269</v>
      </c>
      <c r="E2152" t="s">
        <v>273</v>
      </c>
      <c r="F2152" t="s">
        <v>288</v>
      </c>
      <c r="G2152" s="7">
        <v>6</v>
      </c>
      <c r="H2152" s="3">
        <v>51705.23</v>
      </c>
      <c r="I2152" s="3">
        <v>310231.38</v>
      </c>
    </row>
    <row r="2153" spans="1:9" x14ac:dyDescent="0.3">
      <c r="A2153" s="5" t="s">
        <v>114</v>
      </c>
      <c r="B2153" t="s">
        <v>257</v>
      </c>
      <c r="C2153" t="s">
        <v>264</v>
      </c>
      <c r="D2153" t="s">
        <v>266</v>
      </c>
      <c r="E2153" t="s">
        <v>273</v>
      </c>
      <c r="F2153" t="s">
        <v>278</v>
      </c>
      <c r="G2153" s="7">
        <v>4</v>
      </c>
      <c r="H2153" s="3">
        <v>48145.760000000002</v>
      </c>
      <c r="I2153" s="3">
        <v>192583.04000000001</v>
      </c>
    </row>
    <row r="2154" spans="1:9" x14ac:dyDescent="0.3">
      <c r="A2154" s="5" t="s">
        <v>114</v>
      </c>
      <c r="B2154" t="s">
        <v>253</v>
      </c>
      <c r="C2154" t="s">
        <v>264</v>
      </c>
      <c r="D2154" t="s">
        <v>266</v>
      </c>
      <c r="E2154" t="s">
        <v>274</v>
      </c>
      <c r="F2154" t="s">
        <v>287</v>
      </c>
      <c r="G2154" s="7">
        <v>6</v>
      </c>
      <c r="H2154" s="3">
        <v>32990.120000000003</v>
      </c>
      <c r="I2154" s="3">
        <v>197940.72</v>
      </c>
    </row>
    <row r="2155" spans="1:9" x14ac:dyDescent="0.3">
      <c r="A2155" s="5" t="s">
        <v>114</v>
      </c>
      <c r="B2155" t="s">
        <v>255</v>
      </c>
      <c r="C2155" t="s">
        <v>262</v>
      </c>
      <c r="D2155" t="s">
        <v>266</v>
      </c>
      <c r="E2155" t="s">
        <v>272</v>
      </c>
      <c r="F2155" t="s">
        <v>290</v>
      </c>
      <c r="G2155" s="7">
        <v>8</v>
      </c>
      <c r="H2155" s="3">
        <v>25697.53</v>
      </c>
      <c r="I2155" s="3">
        <v>205580.24</v>
      </c>
    </row>
    <row r="2156" spans="1:9" x14ac:dyDescent="0.3">
      <c r="A2156" s="5" t="s">
        <v>115</v>
      </c>
      <c r="B2156" t="s">
        <v>259</v>
      </c>
      <c r="C2156" t="s">
        <v>261</v>
      </c>
      <c r="D2156" t="s">
        <v>270</v>
      </c>
      <c r="E2156" t="s">
        <v>273</v>
      </c>
      <c r="F2156" t="s">
        <v>278</v>
      </c>
      <c r="G2156" s="7">
        <v>3</v>
      </c>
      <c r="H2156" s="3">
        <v>49712.79</v>
      </c>
      <c r="I2156" s="3">
        <v>149138.37</v>
      </c>
    </row>
    <row r="2157" spans="1:9" x14ac:dyDescent="0.3">
      <c r="A2157" s="5" t="s">
        <v>115</v>
      </c>
      <c r="B2157" t="s">
        <v>255</v>
      </c>
      <c r="C2157" t="s">
        <v>264</v>
      </c>
      <c r="D2157" t="s">
        <v>270</v>
      </c>
      <c r="E2157" t="s">
        <v>271</v>
      </c>
      <c r="F2157" t="s">
        <v>282</v>
      </c>
      <c r="G2157" s="7">
        <v>5</v>
      </c>
      <c r="H2157" s="3">
        <v>10539.22</v>
      </c>
      <c r="I2157" s="3">
        <v>52696.1</v>
      </c>
    </row>
    <row r="2158" spans="1:9" x14ac:dyDescent="0.3">
      <c r="A2158" s="5" t="s">
        <v>115</v>
      </c>
      <c r="B2158" t="s">
        <v>253</v>
      </c>
      <c r="C2158" t="s">
        <v>265</v>
      </c>
      <c r="D2158" t="s">
        <v>269</v>
      </c>
      <c r="E2158" t="s">
        <v>273</v>
      </c>
      <c r="F2158" t="s">
        <v>278</v>
      </c>
      <c r="G2158" s="7">
        <v>2</v>
      </c>
      <c r="H2158" s="3">
        <v>53110.86</v>
      </c>
      <c r="I2158" s="3">
        <v>106221.72</v>
      </c>
    </row>
    <row r="2159" spans="1:9" x14ac:dyDescent="0.3">
      <c r="A2159" s="5" t="s">
        <v>115</v>
      </c>
      <c r="B2159" t="s">
        <v>256</v>
      </c>
      <c r="C2159" t="s">
        <v>264</v>
      </c>
      <c r="D2159" t="s">
        <v>266</v>
      </c>
      <c r="E2159" t="s">
        <v>273</v>
      </c>
      <c r="F2159" t="s">
        <v>283</v>
      </c>
      <c r="G2159" s="7">
        <v>2</v>
      </c>
      <c r="H2159" s="3">
        <v>39330.15</v>
      </c>
      <c r="I2159" s="3">
        <v>78660.3</v>
      </c>
    </row>
    <row r="2160" spans="1:9" x14ac:dyDescent="0.3">
      <c r="A2160" s="5" t="s">
        <v>115</v>
      </c>
      <c r="B2160" t="s">
        <v>254</v>
      </c>
      <c r="C2160" t="s">
        <v>262</v>
      </c>
      <c r="D2160" t="s">
        <v>270</v>
      </c>
      <c r="E2160" t="s">
        <v>272</v>
      </c>
      <c r="F2160" t="s">
        <v>286</v>
      </c>
      <c r="G2160" s="7">
        <v>7</v>
      </c>
      <c r="H2160" s="3">
        <v>28013.77</v>
      </c>
      <c r="I2160" s="3">
        <v>196096.39</v>
      </c>
    </row>
    <row r="2161" spans="1:9" x14ac:dyDescent="0.3">
      <c r="A2161" s="5" t="s">
        <v>115</v>
      </c>
      <c r="B2161" t="s">
        <v>258</v>
      </c>
      <c r="C2161" t="s">
        <v>262</v>
      </c>
      <c r="D2161" t="s">
        <v>268</v>
      </c>
      <c r="E2161" t="s">
        <v>272</v>
      </c>
      <c r="F2161" t="s">
        <v>277</v>
      </c>
      <c r="G2161" s="7">
        <v>6</v>
      </c>
      <c r="H2161" s="3">
        <v>34166.53</v>
      </c>
      <c r="I2161" s="3">
        <v>204999.18</v>
      </c>
    </row>
    <row r="2162" spans="1:9" x14ac:dyDescent="0.3">
      <c r="A2162" s="5" t="s">
        <v>115</v>
      </c>
      <c r="B2162" t="s">
        <v>257</v>
      </c>
      <c r="C2162" t="s">
        <v>261</v>
      </c>
      <c r="D2162" t="s">
        <v>269</v>
      </c>
      <c r="E2162" t="s">
        <v>272</v>
      </c>
      <c r="F2162" t="s">
        <v>290</v>
      </c>
      <c r="G2162" s="7">
        <v>4</v>
      </c>
      <c r="H2162" s="3">
        <v>29434.09</v>
      </c>
      <c r="I2162" s="3">
        <v>117736.36</v>
      </c>
    </row>
    <row r="2163" spans="1:9" x14ac:dyDescent="0.3">
      <c r="A2163" s="5" t="s">
        <v>116</v>
      </c>
      <c r="B2163" t="s">
        <v>256</v>
      </c>
      <c r="C2163" t="s">
        <v>264</v>
      </c>
      <c r="D2163" t="s">
        <v>267</v>
      </c>
      <c r="E2163" t="s">
        <v>274</v>
      </c>
      <c r="F2163" t="s">
        <v>280</v>
      </c>
      <c r="G2163" s="7">
        <v>5</v>
      </c>
      <c r="H2163" s="3">
        <v>35675.03</v>
      </c>
      <c r="I2163" s="3">
        <v>178375.15</v>
      </c>
    </row>
    <row r="2164" spans="1:9" x14ac:dyDescent="0.3">
      <c r="A2164" s="5" t="s">
        <v>116</v>
      </c>
      <c r="B2164" t="s">
        <v>255</v>
      </c>
      <c r="C2164" t="s">
        <v>265</v>
      </c>
      <c r="D2164" t="s">
        <v>269</v>
      </c>
      <c r="E2164" t="s">
        <v>274</v>
      </c>
      <c r="F2164" t="s">
        <v>287</v>
      </c>
      <c r="G2164" s="7">
        <v>1</v>
      </c>
      <c r="H2164" s="3">
        <v>38881.269999999997</v>
      </c>
      <c r="I2164" s="3">
        <v>38881.269999999997</v>
      </c>
    </row>
    <row r="2165" spans="1:9" x14ac:dyDescent="0.3">
      <c r="A2165" s="5" t="s">
        <v>116</v>
      </c>
      <c r="B2165" t="s">
        <v>259</v>
      </c>
      <c r="C2165" t="s">
        <v>265</v>
      </c>
      <c r="D2165" t="s">
        <v>267</v>
      </c>
      <c r="E2165" t="s">
        <v>273</v>
      </c>
      <c r="F2165" t="s">
        <v>278</v>
      </c>
      <c r="G2165" s="7">
        <v>7</v>
      </c>
      <c r="H2165" s="3">
        <v>53978.3</v>
      </c>
      <c r="I2165" s="3">
        <v>377848.1</v>
      </c>
    </row>
    <row r="2166" spans="1:9" x14ac:dyDescent="0.3">
      <c r="A2166" s="5" t="s">
        <v>116</v>
      </c>
      <c r="B2166" t="s">
        <v>260</v>
      </c>
      <c r="C2166" t="s">
        <v>263</v>
      </c>
      <c r="D2166" t="s">
        <v>266</v>
      </c>
      <c r="E2166" t="s">
        <v>272</v>
      </c>
      <c r="F2166" t="s">
        <v>276</v>
      </c>
      <c r="G2166" s="7">
        <v>8</v>
      </c>
      <c r="H2166" s="3">
        <v>29420.39</v>
      </c>
      <c r="I2166" s="3">
        <v>235363.12</v>
      </c>
    </row>
    <row r="2167" spans="1:9" x14ac:dyDescent="0.3">
      <c r="A2167" s="5" t="s">
        <v>116</v>
      </c>
      <c r="B2167" t="s">
        <v>255</v>
      </c>
      <c r="C2167" t="s">
        <v>265</v>
      </c>
      <c r="D2167" t="s">
        <v>267</v>
      </c>
      <c r="E2167" t="s">
        <v>273</v>
      </c>
      <c r="F2167" t="s">
        <v>283</v>
      </c>
      <c r="G2167" s="7">
        <v>9</v>
      </c>
      <c r="H2167" s="3">
        <v>46127.63</v>
      </c>
      <c r="I2167" s="3">
        <v>415148.67</v>
      </c>
    </row>
    <row r="2168" spans="1:9" x14ac:dyDescent="0.3">
      <c r="A2168" s="5" t="s">
        <v>116</v>
      </c>
      <c r="B2168" t="s">
        <v>259</v>
      </c>
      <c r="C2168" t="s">
        <v>261</v>
      </c>
      <c r="D2168" t="s">
        <v>266</v>
      </c>
      <c r="E2168" t="s">
        <v>271</v>
      </c>
      <c r="F2168" t="s">
        <v>275</v>
      </c>
      <c r="G2168" s="7">
        <v>8</v>
      </c>
      <c r="H2168" s="3">
        <v>8379.9500000000007</v>
      </c>
      <c r="I2168" s="3">
        <v>67039.600000000006</v>
      </c>
    </row>
    <row r="2169" spans="1:9" x14ac:dyDescent="0.3">
      <c r="A2169" s="5" t="s">
        <v>117</v>
      </c>
      <c r="B2169" t="s">
        <v>254</v>
      </c>
      <c r="C2169" t="s">
        <v>261</v>
      </c>
      <c r="D2169" t="s">
        <v>268</v>
      </c>
      <c r="E2169" t="s">
        <v>271</v>
      </c>
      <c r="F2169" t="s">
        <v>285</v>
      </c>
      <c r="G2169" s="7">
        <v>5</v>
      </c>
      <c r="H2169" s="3">
        <v>9669.67</v>
      </c>
      <c r="I2169" s="3">
        <v>48348.35</v>
      </c>
    </row>
    <row r="2170" spans="1:9" x14ac:dyDescent="0.3">
      <c r="A2170" s="5" t="s">
        <v>117</v>
      </c>
      <c r="B2170" t="s">
        <v>255</v>
      </c>
      <c r="C2170" t="s">
        <v>265</v>
      </c>
      <c r="D2170" t="s">
        <v>267</v>
      </c>
      <c r="E2170" t="s">
        <v>272</v>
      </c>
      <c r="F2170" t="s">
        <v>276</v>
      </c>
      <c r="G2170" s="7">
        <v>3</v>
      </c>
      <c r="H2170" s="3">
        <v>27014.25</v>
      </c>
      <c r="I2170" s="3">
        <v>81042.75</v>
      </c>
    </row>
    <row r="2171" spans="1:9" x14ac:dyDescent="0.3">
      <c r="A2171" s="5" t="s">
        <v>117</v>
      </c>
      <c r="B2171" t="s">
        <v>253</v>
      </c>
      <c r="C2171" t="s">
        <v>265</v>
      </c>
      <c r="D2171" t="s">
        <v>269</v>
      </c>
      <c r="E2171" t="s">
        <v>272</v>
      </c>
      <c r="F2171" t="s">
        <v>277</v>
      </c>
      <c r="G2171" s="7">
        <v>9</v>
      </c>
      <c r="H2171" s="3">
        <v>26598.74</v>
      </c>
      <c r="I2171" s="3">
        <v>239388.66</v>
      </c>
    </row>
    <row r="2172" spans="1:9" x14ac:dyDescent="0.3">
      <c r="A2172" s="5" t="s">
        <v>117</v>
      </c>
      <c r="B2172" t="s">
        <v>260</v>
      </c>
      <c r="C2172" t="s">
        <v>263</v>
      </c>
      <c r="D2172" t="s">
        <v>266</v>
      </c>
      <c r="E2172" t="s">
        <v>271</v>
      </c>
      <c r="F2172" t="s">
        <v>281</v>
      </c>
      <c r="G2172" s="7">
        <v>6</v>
      </c>
      <c r="H2172" s="3">
        <v>8436.25</v>
      </c>
      <c r="I2172" s="3">
        <v>50617.5</v>
      </c>
    </row>
    <row r="2173" spans="1:9" x14ac:dyDescent="0.3">
      <c r="A2173" s="5" t="s">
        <v>117</v>
      </c>
      <c r="B2173" t="s">
        <v>259</v>
      </c>
      <c r="C2173" t="s">
        <v>265</v>
      </c>
      <c r="D2173" t="s">
        <v>269</v>
      </c>
      <c r="E2173" t="s">
        <v>272</v>
      </c>
      <c r="F2173" t="s">
        <v>277</v>
      </c>
      <c r="G2173" s="7">
        <v>5</v>
      </c>
      <c r="H2173" s="3">
        <v>25784.81</v>
      </c>
      <c r="I2173" s="3">
        <v>128924.05</v>
      </c>
    </row>
    <row r="2174" spans="1:9" x14ac:dyDescent="0.3">
      <c r="A2174" s="5" t="s">
        <v>117</v>
      </c>
      <c r="B2174" t="s">
        <v>259</v>
      </c>
      <c r="C2174" t="s">
        <v>263</v>
      </c>
      <c r="D2174" t="s">
        <v>270</v>
      </c>
      <c r="E2174" t="s">
        <v>274</v>
      </c>
      <c r="F2174" t="s">
        <v>284</v>
      </c>
      <c r="G2174" s="7">
        <v>3</v>
      </c>
      <c r="H2174" s="3">
        <v>36097.53</v>
      </c>
      <c r="I2174" s="3">
        <v>108292.59</v>
      </c>
    </row>
    <row r="2175" spans="1:9" x14ac:dyDescent="0.3">
      <c r="A2175" s="5" t="s">
        <v>118</v>
      </c>
      <c r="B2175" t="s">
        <v>259</v>
      </c>
      <c r="C2175" t="s">
        <v>263</v>
      </c>
      <c r="D2175" t="s">
        <v>266</v>
      </c>
      <c r="E2175" t="s">
        <v>274</v>
      </c>
      <c r="F2175" t="s">
        <v>280</v>
      </c>
      <c r="G2175" s="7">
        <v>6</v>
      </c>
      <c r="H2175" s="3">
        <v>35087.879999999997</v>
      </c>
      <c r="I2175" s="3">
        <v>210527.28</v>
      </c>
    </row>
    <row r="2176" spans="1:9" x14ac:dyDescent="0.3">
      <c r="A2176" s="5" t="s">
        <v>118</v>
      </c>
      <c r="B2176" t="s">
        <v>254</v>
      </c>
      <c r="C2176" t="s">
        <v>265</v>
      </c>
      <c r="D2176" t="s">
        <v>267</v>
      </c>
      <c r="E2176" t="s">
        <v>272</v>
      </c>
      <c r="F2176" t="s">
        <v>290</v>
      </c>
      <c r="G2176" s="7">
        <v>3</v>
      </c>
      <c r="H2176" s="3">
        <v>29208.240000000002</v>
      </c>
      <c r="I2176" s="3">
        <v>87624.72</v>
      </c>
    </row>
    <row r="2177" spans="1:9" x14ac:dyDescent="0.3">
      <c r="A2177" s="5" t="s">
        <v>118</v>
      </c>
      <c r="B2177" t="s">
        <v>255</v>
      </c>
      <c r="C2177" t="s">
        <v>262</v>
      </c>
      <c r="D2177" t="s">
        <v>266</v>
      </c>
      <c r="E2177" t="s">
        <v>271</v>
      </c>
      <c r="F2177" t="s">
        <v>275</v>
      </c>
      <c r="G2177" s="7">
        <v>6</v>
      </c>
      <c r="H2177" s="3">
        <v>8552.11</v>
      </c>
      <c r="I2177" s="3">
        <v>51312.66</v>
      </c>
    </row>
    <row r="2178" spans="1:9" x14ac:dyDescent="0.3">
      <c r="A2178" s="5" t="s">
        <v>118</v>
      </c>
      <c r="B2178" t="s">
        <v>254</v>
      </c>
      <c r="C2178" t="s">
        <v>262</v>
      </c>
      <c r="D2178" t="s">
        <v>269</v>
      </c>
      <c r="E2178" t="s">
        <v>273</v>
      </c>
      <c r="F2178" t="s">
        <v>283</v>
      </c>
      <c r="G2178" s="7">
        <v>4</v>
      </c>
      <c r="H2178" s="3">
        <v>54613.13</v>
      </c>
      <c r="I2178" s="3">
        <v>218452.52</v>
      </c>
    </row>
    <row r="2179" spans="1:9" x14ac:dyDescent="0.3">
      <c r="A2179" s="5" t="s">
        <v>118</v>
      </c>
      <c r="B2179" t="s">
        <v>257</v>
      </c>
      <c r="C2179" t="s">
        <v>263</v>
      </c>
      <c r="D2179" t="s">
        <v>268</v>
      </c>
      <c r="E2179" t="s">
        <v>272</v>
      </c>
      <c r="F2179" t="s">
        <v>276</v>
      </c>
      <c r="G2179" s="7">
        <v>2</v>
      </c>
      <c r="H2179" s="3">
        <v>24126.19</v>
      </c>
      <c r="I2179" s="3">
        <v>48252.38</v>
      </c>
    </row>
    <row r="2180" spans="1:9" x14ac:dyDescent="0.3">
      <c r="A2180" s="5" t="s">
        <v>118</v>
      </c>
      <c r="B2180" t="s">
        <v>258</v>
      </c>
      <c r="C2180" t="s">
        <v>265</v>
      </c>
      <c r="D2180" t="s">
        <v>266</v>
      </c>
      <c r="E2180" t="s">
        <v>272</v>
      </c>
      <c r="F2180" t="s">
        <v>286</v>
      </c>
      <c r="G2180" s="7">
        <v>8</v>
      </c>
      <c r="H2180" s="3">
        <v>32414.01</v>
      </c>
      <c r="I2180" s="3">
        <v>259312.08</v>
      </c>
    </row>
    <row r="2181" spans="1:9" x14ac:dyDescent="0.3">
      <c r="A2181" s="5" t="s">
        <v>119</v>
      </c>
      <c r="B2181" t="s">
        <v>258</v>
      </c>
      <c r="C2181" t="s">
        <v>262</v>
      </c>
      <c r="D2181" t="s">
        <v>267</v>
      </c>
      <c r="E2181" t="s">
        <v>273</v>
      </c>
      <c r="F2181" t="s">
        <v>279</v>
      </c>
      <c r="G2181" s="7">
        <v>4</v>
      </c>
      <c r="H2181" s="3">
        <v>54484.37</v>
      </c>
      <c r="I2181" s="3">
        <v>217937.48</v>
      </c>
    </row>
    <row r="2182" spans="1:9" x14ac:dyDescent="0.3">
      <c r="A2182" s="5" t="s">
        <v>119</v>
      </c>
      <c r="B2182" t="s">
        <v>257</v>
      </c>
      <c r="C2182" t="s">
        <v>265</v>
      </c>
      <c r="D2182" t="s">
        <v>270</v>
      </c>
      <c r="E2182" t="s">
        <v>272</v>
      </c>
      <c r="F2182" t="s">
        <v>286</v>
      </c>
      <c r="G2182" s="7">
        <v>9</v>
      </c>
      <c r="H2182" s="3">
        <v>28799.17</v>
      </c>
      <c r="I2182" s="3">
        <v>259192.53</v>
      </c>
    </row>
    <row r="2183" spans="1:9" x14ac:dyDescent="0.3">
      <c r="A2183" s="5" t="s">
        <v>119</v>
      </c>
      <c r="B2183" t="s">
        <v>255</v>
      </c>
      <c r="C2183" t="s">
        <v>265</v>
      </c>
      <c r="D2183" t="s">
        <v>268</v>
      </c>
      <c r="E2183" t="s">
        <v>273</v>
      </c>
      <c r="F2183" t="s">
        <v>279</v>
      </c>
      <c r="G2183" s="7">
        <v>7</v>
      </c>
      <c r="H2183" s="3">
        <v>48162.43</v>
      </c>
      <c r="I2183" s="3">
        <v>337137.01</v>
      </c>
    </row>
    <row r="2184" spans="1:9" x14ac:dyDescent="0.3">
      <c r="A2184" s="5" t="s">
        <v>119</v>
      </c>
      <c r="B2184" t="s">
        <v>253</v>
      </c>
      <c r="C2184" t="s">
        <v>265</v>
      </c>
      <c r="D2184" t="s">
        <v>270</v>
      </c>
      <c r="E2184" t="s">
        <v>271</v>
      </c>
      <c r="F2184" t="s">
        <v>285</v>
      </c>
      <c r="G2184" s="7">
        <v>2</v>
      </c>
      <c r="H2184" s="3">
        <v>10436.18</v>
      </c>
      <c r="I2184" s="3">
        <v>20872.36</v>
      </c>
    </row>
    <row r="2185" spans="1:9" x14ac:dyDescent="0.3">
      <c r="A2185" s="5" t="s">
        <v>119</v>
      </c>
      <c r="B2185" t="s">
        <v>254</v>
      </c>
      <c r="C2185" t="s">
        <v>264</v>
      </c>
      <c r="D2185" t="s">
        <v>266</v>
      </c>
      <c r="E2185" t="s">
        <v>274</v>
      </c>
      <c r="F2185" t="s">
        <v>287</v>
      </c>
      <c r="G2185" s="7">
        <v>4</v>
      </c>
      <c r="H2185" s="3">
        <v>29917.15</v>
      </c>
      <c r="I2185" s="3">
        <v>119668.6</v>
      </c>
    </row>
    <row r="2186" spans="1:9" x14ac:dyDescent="0.3">
      <c r="A2186" s="5" t="s">
        <v>119</v>
      </c>
      <c r="B2186" t="s">
        <v>260</v>
      </c>
      <c r="C2186" t="s">
        <v>265</v>
      </c>
      <c r="D2186" t="s">
        <v>269</v>
      </c>
      <c r="E2186" t="s">
        <v>271</v>
      </c>
      <c r="F2186" t="s">
        <v>285</v>
      </c>
      <c r="G2186" s="7">
        <v>5</v>
      </c>
      <c r="H2186" s="3">
        <v>8993.4599999999991</v>
      </c>
      <c r="I2186" s="3">
        <v>44967.3</v>
      </c>
    </row>
    <row r="2187" spans="1:9" x14ac:dyDescent="0.3">
      <c r="A2187" s="5" t="s">
        <v>120</v>
      </c>
      <c r="B2187" t="s">
        <v>259</v>
      </c>
      <c r="C2187" t="s">
        <v>264</v>
      </c>
      <c r="D2187" t="s">
        <v>269</v>
      </c>
      <c r="E2187" t="s">
        <v>274</v>
      </c>
      <c r="F2187" t="s">
        <v>284</v>
      </c>
      <c r="G2187" s="7">
        <v>3</v>
      </c>
      <c r="H2187" s="3">
        <v>33276.43</v>
      </c>
      <c r="I2187" s="3">
        <v>99829.29</v>
      </c>
    </row>
    <row r="2188" spans="1:9" x14ac:dyDescent="0.3">
      <c r="A2188" s="5" t="s">
        <v>120</v>
      </c>
      <c r="B2188" t="s">
        <v>259</v>
      </c>
      <c r="C2188" t="s">
        <v>263</v>
      </c>
      <c r="D2188" t="s">
        <v>267</v>
      </c>
      <c r="E2188" t="s">
        <v>273</v>
      </c>
      <c r="F2188" t="s">
        <v>283</v>
      </c>
      <c r="G2188" s="7">
        <v>9</v>
      </c>
      <c r="H2188" s="3">
        <v>42901.07</v>
      </c>
      <c r="I2188" s="3">
        <v>386109.63</v>
      </c>
    </row>
    <row r="2189" spans="1:9" x14ac:dyDescent="0.3">
      <c r="A2189" s="5" t="s">
        <v>120</v>
      </c>
      <c r="B2189" t="s">
        <v>255</v>
      </c>
      <c r="C2189" t="s">
        <v>262</v>
      </c>
      <c r="D2189" t="s">
        <v>269</v>
      </c>
      <c r="E2189" t="s">
        <v>274</v>
      </c>
      <c r="F2189" t="s">
        <v>284</v>
      </c>
      <c r="G2189" s="7">
        <v>5</v>
      </c>
      <c r="H2189" s="3">
        <v>37677.99</v>
      </c>
      <c r="I2189" s="3">
        <v>188389.95</v>
      </c>
    </row>
    <row r="2190" spans="1:9" x14ac:dyDescent="0.3">
      <c r="A2190" s="5" t="s">
        <v>120</v>
      </c>
      <c r="B2190" t="s">
        <v>253</v>
      </c>
      <c r="C2190" t="s">
        <v>262</v>
      </c>
      <c r="D2190" t="s">
        <v>268</v>
      </c>
      <c r="E2190" t="s">
        <v>271</v>
      </c>
      <c r="F2190" t="s">
        <v>282</v>
      </c>
      <c r="G2190" s="7">
        <v>2</v>
      </c>
      <c r="H2190" s="3">
        <v>10283.64</v>
      </c>
      <c r="I2190" s="3">
        <v>20567.28</v>
      </c>
    </row>
    <row r="2191" spans="1:9" x14ac:dyDescent="0.3">
      <c r="A2191" s="5" t="s">
        <v>120</v>
      </c>
      <c r="B2191" t="s">
        <v>258</v>
      </c>
      <c r="C2191" t="s">
        <v>262</v>
      </c>
      <c r="D2191" t="s">
        <v>269</v>
      </c>
      <c r="E2191" t="s">
        <v>274</v>
      </c>
      <c r="F2191" t="s">
        <v>280</v>
      </c>
      <c r="G2191" s="7">
        <v>3</v>
      </c>
      <c r="H2191" s="3">
        <v>37208.74</v>
      </c>
      <c r="I2191" s="3">
        <v>111626.22</v>
      </c>
    </row>
    <row r="2192" spans="1:9" x14ac:dyDescent="0.3">
      <c r="A2192" s="5" t="s">
        <v>120</v>
      </c>
      <c r="B2192" t="s">
        <v>258</v>
      </c>
      <c r="C2192" t="s">
        <v>262</v>
      </c>
      <c r="D2192" t="s">
        <v>267</v>
      </c>
      <c r="E2192" t="s">
        <v>273</v>
      </c>
      <c r="F2192" t="s">
        <v>283</v>
      </c>
      <c r="G2192" s="7">
        <v>9</v>
      </c>
      <c r="H2192" s="3">
        <v>41766.46</v>
      </c>
      <c r="I2192" s="3">
        <v>375898.14</v>
      </c>
    </row>
    <row r="2193" spans="1:9" x14ac:dyDescent="0.3">
      <c r="A2193" s="5" t="s">
        <v>121</v>
      </c>
      <c r="B2193" t="s">
        <v>259</v>
      </c>
      <c r="C2193" t="s">
        <v>262</v>
      </c>
      <c r="D2193" t="s">
        <v>266</v>
      </c>
      <c r="E2193" t="s">
        <v>274</v>
      </c>
      <c r="F2193" t="s">
        <v>287</v>
      </c>
      <c r="G2193" s="7">
        <v>7</v>
      </c>
      <c r="H2193" s="3">
        <v>28310.38</v>
      </c>
      <c r="I2193" s="3">
        <v>198172.66</v>
      </c>
    </row>
    <row r="2194" spans="1:9" x14ac:dyDescent="0.3">
      <c r="A2194" s="5" t="s">
        <v>121</v>
      </c>
      <c r="B2194" t="s">
        <v>255</v>
      </c>
      <c r="C2194" t="s">
        <v>262</v>
      </c>
      <c r="D2194" t="s">
        <v>266</v>
      </c>
      <c r="E2194" t="s">
        <v>272</v>
      </c>
      <c r="F2194" t="s">
        <v>290</v>
      </c>
      <c r="G2194" s="7">
        <v>2</v>
      </c>
      <c r="H2194" s="3">
        <v>30580.98</v>
      </c>
      <c r="I2194" s="3">
        <v>61161.96</v>
      </c>
    </row>
    <row r="2195" spans="1:9" x14ac:dyDescent="0.3">
      <c r="A2195" s="5" t="s">
        <v>121</v>
      </c>
      <c r="B2195" t="s">
        <v>254</v>
      </c>
      <c r="C2195" t="s">
        <v>262</v>
      </c>
      <c r="D2195" t="s">
        <v>269</v>
      </c>
      <c r="E2195" t="s">
        <v>271</v>
      </c>
      <c r="F2195" t="s">
        <v>285</v>
      </c>
      <c r="G2195" s="7">
        <v>9</v>
      </c>
      <c r="H2195" s="3">
        <v>7419.12</v>
      </c>
      <c r="I2195" s="3">
        <v>66772.08</v>
      </c>
    </row>
    <row r="2196" spans="1:9" x14ac:dyDescent="0.3">
      <c r="A2196" s="5" t="s">
        <v>121</v>
      </c>
      <c r="B2196" t="s">
        <v>258</v>
      </c>
      <c r="C2196" t="s">
        <v>263</v>
      </c>
      <c r="D2196" t="s">
        <v>270</v>
      </c>
      <c r="E2196" t="s">
        <v>272</v>
      </c>
      <c r="F2196" t="s">
        <v>286</v>
      </c>
      <c r="G2196" s="7">
        <v>4</v>
      </c>
      <c r="H2196" s="3">
        <v>31335.65</v>
      </c>
      <c r="I2196" s="3">
        <v>125342.6</v>
      </c>
    </row>
    <row r="2197" spans="1:9" x14ac:dyDescent="0.3">
      <c r="A2197" s="5" t="s">
        <v>121</v>
      </c>
      <c r="B2197" t="s">
        <v>254</v>
      </c>
      <c r="C2197" t="s">
        <v>265</v>
      </c>
      <c r="D2197" t="s">
        <v>266</v>
      </c>
      <c r="E2197" t="s">
        <v>273</v>
      </c>
      <c r="F2197" t="s">
        <v>279</v>
      </c>
      <c r="G2197" s="7">
        <v>9</v>
      </c>
      <c r="H2197" s="3">
        <v>47797.64</v>
      </c>
      <c r="I2197" s="3">
        <v>430178.76</v>
      </c>
    </row>
    <row r="2198" spans="1:9" x14ac:dyDescent="0.3">
      <c r="A2198" s="5" t="s">
        <v>121</v>
      </c>
      <c r="B2198" t="s">
        <v>253</v>
      </c>
      <c r="C2198" t="s">
        <v>261</v>
      </c>
      <c r="D2198" t="s">
        <v>269</v>
      </c>
      <c r="E2198" t="s">
        <v>274</v>
      </c>
      <c r="F2198" t="s">
        <v>287</v>
      </c>
      <c r="G2198" s="7">
        <v>2</v>
      </c>
      <c r="H2198" s="3">
        <v>35683.660000000003</v>
      </c>
      <c r="I2198" s="3">
        <v>71367.320000000007</v>
      </c>
    </row>
    <row r="2199" spans="1:9" x14ac:dyDescent="0.3">
      <c r="A2199" s="5" t="s">
        <v>121</v>
      </c>
      <c r="B2199" t="s">
        <v>258</v>
      </c>
      <c r="C2199" t="s">
        <v>264</v>
      </c>
      <c r="D2199" t="s">
        <v>267</v>
      </c>
      <c r="E2199" t="s">
        <v>272</v>
      </c>
      <c r="F2199" t="s">
        <v>277</v>
      </c>
      <c r="G2199" s="7">
        <v>4</v>
      </c>
      <c r="H2199" s="3">
        <v>30409.91</v>
      </c>
      <c r="I2199" s="3">
        <v>121639.64</v>
      </c>
    </row>
    <row r="2200" spans="1:9" x14ac:dyDescent="0.3">
      <c r="A2200" s="5" t="s">
        <v>122</v>
      </c>
      <c r="B2200" t="s">
        <v>258</v>
      </c>
      <c r="C2200" t="s">
        <v>261</v>
      </c>
      <c r="D2200" t="s">
        <v>269</v>
      </c>
      <c r="E2200" t="s">
        <v>272</v>
      </c>
      <c r="F2200" t="s">
        <v>277</v>
      </c>
      <c r="G2200" s="7">
        <v>5</v>
      </c>
      <c r="H2200" s="3">
        <v>28534.27</v>
      </c>
      <c r="I2200" s="3">
        <v>142671.35</v>
      </c>
    </row>
    <row r="2201" spans="1:9" x14ac:dyDescent="0.3">
      <c r="A2201" s="5" t="s">
        <v>122</v>
      </c>
      <c r="B2201" t="s">
        <v>256</v>
      </c>
      <c r="C2201" t="s">
        <v>261</v>
      </c>
      <c r="D2201" t="s">
        <v>266</v>
      </c>
      <c r="E2201" t="s">
        <v>274</v>
      </c>
      <c r="F2201" t="s">
        <v>280</v>
      </c>
      <c r="G2201" s="7">
        <v>2</v>
      </c>
      <c r="H2201" s="3">
        <v>29771.23</v>
      </c>
      <c r="I2201" s="3">
        <v>59542.46</v>
      </c>
    </row>
    <row r="2202" spans="1:9" x14ac:dyDescent="0.3">
      <c r="A2202" s="5" t="s">
        <v>122</v>
      </c>
      <c r="B2202" t="s">
        <v>258</v>
      </c>
      <c r="C2202" t="s">
        <v>265</v>
      </c>
      <c r="D2202" t="s">
        <v>267</v>
      </c>
      <c r="E2202" t="s">
        <v>274</v>
      </c>
      <c r="F2202" t="s">
        <v>289</v>
      </c>
      <c r="G2202" s="7">
        <v>1</v>
      </c>
      <c r="H2202" s="3">
        <v>31112.99</v>
      </c>
      <c r="I2202" s="3">
        <v>31112.99</v>
      </c>
    </row>
    <row r="2203" spans="1:9" x14ac:dyDescent="0.3">
      <c r="A2203" s="5" t="s">
        <v>122</v>
      </c>
      <c r="B2203" t="s">
        <v>257</v>
      </c>
      <c r="C2203" t="s">
        <v>265</v>
      </c>
      <c r="D2203" t="s">
        <v>269</v>
      </c>
      <c r="E2203" t="s">
        <v>271</v>
      </c>
      <c r="F2203" t="s">
        <v>282</v>
      </c>
      <c r="G2203" s="7">
        <v>7</v>
      </c>
      <c r="H2203" s="3">
        <v>9008.2999999999993</v>
      </c>
      <c r="I2203" s="3">
        <v>63058.1</v>
      </c>
    </row>
    <row r="2204" spans="1:9" x14ac:dyDescent="0.3">
      <c r="A2204" s="5" t="s">
        <v>122</v>
      </c>
      <c r="B2204" t="s">
        <v>260</v>
      </c>
      <c r="C2204" t="s">
        <v>265</v>
      </c>
      <c r="D2204" t="s">
        <v>268</v>
      </c>
      <c r="E2204" t="s">
        <v>272</v>
      </c>
      <c r="F2204" t="s">
        <v>277</v>
      </c>
      <c r="G2204" s="7">
        <v>1</v>
      </c>
      <c r="H2204" s="3">
        <v>31100.92</v>
      </c>
      <c r="I2204" s="3">
        <v>31100.92</v>
      </c>
    </row>
    <row r="2205" spans="1:9" x14ac:dyDescent="0.3">
      <c r="A2205" s="5" t="s">
        <v>122</v>
      </c>
      <c r="B2205" t="s">
        <v>257</v>
      </c>
      <c r="C2205" t="s">
        <v>262</v>
      </c>
      <c r="D2205" t="s">
        <v>267</v>
      </c>
      <c r="E2205" t="s">
        <v>272</v>
      </c>
      <c r="F2205" t="s">
        <v>276</v>
      </c>
      <c r="G2205" s="7">
        <v>8</v>
      </c>
      <c r="H2205" s="3">
        <v>32530.21</v>
      </c>
      <c r="I2205" s="3">
        <v>260241.68</v>
      </c>
    </row>
    <row r="2206" spans="1:9" x14ac:dyDescent="0.3">
      <c r="A2206" s="5" t="s">
        <v>123</v>
      </c>
      <c r="B2206" t="s">
        <v>255</v>
      </c>
      <c r="C2206" t="s">
        <v>263</v>
      </c>
      <c r="D2206" t="s">
        <v>268</v>
      </c>
      <c r="E2206" t="s">
        <v>273</v>
      </c>
      <c r="F2206" t="s">
        <v>288</v>
      </c>
      <c r="G2206" s="7">
        <v>3</v>
      </c>
      <c r="H2206" s="3">
        <v>52059.07</v>
      </c>
      <c r="I2206" s="3">
        <v>156177.21</v>
      </c>
    </row>
    <row r="2207" spans="1:9" x14ac:dyDescent="0.3">
      <c r="A2207" s="5" t="s">
        <v>123</v>
      </c>
      <c r="B2207" t="s">
        <v>255</v>
      </c>
      <c r="C2207" t="s">
        <v>262</v>
      </c>
      <c r="D2207" t="s">
        <v>270</v>
      </c>
      <c r="E2207" t="s">
        <v>271</v>
      </c>
      <c r="F2207" t="s">
        <v>275</v>
      </c>
      <c r="G2207" s="7">
        <v>6</v>
      </c>
      <c r="H2207" s="3">
        <v>10532.14</v>
      </c>
      <c r="I2207" s="3">
        <v>63192.84</v>
      </c>
    </row>
    <row r="2208" spans="1:9" x14ac:dyDescent="0.3">
      <c r="A2208" s="5" t="s">
        <v>123</v>
      </c>
      <c r="B2208" t="s">
        <v>254</v>
      </c>
      <c r="C2208" t="s">
        <v>263</v>
      </c>
      <c r="D2208" t="s">
        <v>267</v>
      </c>
      <c r="E2208" t="s">
        <v>273</v>
      </c>
      <c r="F2208" t="s">
        <v>279</v>
      </c>
      <c r="G2208" s="7">
        <v>7</v>
      </c>
      <c r="H2208" s="3">
        <v>43395.15</v>
      </c>
      <c r="I2208" s="3">
        <v>303766.05</v>
      </c>
    </row>
    <row r="2209" spans="1:9" x14ac:dyDescent="0.3">
      <c r="A2209" s="5" t="s">
        <v>123</v>
      </c>
      <c r="B2209" t="s">
        <v>257</v>
      </c>
      <c r="C2209" t="s">
        <v>263</v>
      </c>
      <c r="D2209" t="s">
        <v>268</v>
      </c>
      <c r="E2209" t="s">
        <v>272</v>
      </c>
      <c r="F2209" t="s">
        <v>290</v>
      </c>
      <c r="G2209" s="7">
        <v>1</v>
      </c>
      <c r="H2209" s="3">
        <v>24596.44</v>
      </c>
      <c r="I2209" s="3">
        <v>24596.44</v>
      </c>
    </row>
    <row r="2210" spans="1:9" x14ac:dyDescent="0.3">
      <c r="A2210" s="5" t="s">
        <v>123</v>
      </c>
      <c r="B2210" t="s">
        <v>257</v>
      </c>
      <c r="C2210" t="s">
        <v>261</v>
      </c>
      <c r="D2210" t="s">
        <v>266</v>
      </c>
      <c r="E2210" t="s">
        <v>273</v>
      </c>
      <c r="F2210" t="s">
        <v>283</v>
      </c>
      <c r="G2210" s="7">
        <v>6</v>
      </c>
      <c r="H2210" s="3">
        <v>44471.82</v>
      </c>
      <c r="I2210" s="3">
        <v>266830.92</v>
      </c>
    </row>
    <row r="2211" spans="1:9" x14ac:dyDescent="0.3">
      <c r="A2211" s="5" t="s">
        <v>123</v>
      </c>
      <c r="B2211" t="s">
        <v>257</v>
      </c>
      <c r="C2211" t="s">
        <v>261</v>
      </c>
      <c r="D2211" t="s">
        <v>266</v>
      </c>
      <c r="E2211" t="s">
        <v>272</v>
      </c>
      <c r="F2211" t="s">
        <v>290</v>
      </c>
      <c r="G2211" s="7">
        <v>7</v>
      </c>
      <c r="H2211" s="3">
        <v>32124.9</v>
      </c>
      <c r="I2211" s="3">
        <v>224874.3</v>
      </c>
    </row>
    <row r="2212" spans="1:9" x14ac:dyDescent="0.3">
      <c r="A2212" s="5" t="s">
        <v>124</v>
      </c>
      <c r="B2212" t="s">
        <v>253</v>
      </c>
      <c r="C2212" t="s">
        <v>263</v>
      </c>
      <c r="D2212" t="s">
        <v>270</v>
      </c>
      <c r="E2212" t="s">
        <v>272</v>
      </c>
      <c r="F2212" t="s">
        <v>277</v>
      </c>
      <c r="G2212" s="7">
        <v>6</v>
      </c>
      <c r="H2212" s="3">
        <v>28706.85</v>
      </c>
      <c r="I2212" s="3">
        <v>172241.1</v>
      </c>
    </row>
    <row r="2213" spans="1:9" x14ac:dyDescent="0.3">
      <c r="A2213" s="5" t="s">
        <v>124</v>
      </c>
      <c r="B2213" t="s">
        <v>258</v>
      </c>
      <c r="C2213" t="s">
        <v>263</v>
      </c>
      <c r="D2213" t="s">
        <v>267</v>
      </c>
      <c r="E2213" t="s">
        <v>273</v>
      </c>
      <c r="F2213" t="s">
        <v>283</v>
      </c>
      <c r="G2213" s="7">
        <v>4</v>
      </c>
      <c r="H2213" s="3">
        <v>52970.19</v>
      </c>
      <c r="I2213" s="3">
        <v>211880.76</v>
      </c>
    </row>
    <row r="2214" spans="1:9" x14ac:dyDescent="0.3">
      <c r="A2214" s="5" t="s">
        <v>124</v>
      </c>
      <c r="B2214" t="s">
        <v>260</v>
      </c>
      <c r="C2214" t="s">
        <v>262</v>
      </c>
      <c r="D2214" t="s">
        <v>267</v>
      </c>
      <c r="E2214" t="s">
        <v>273</v>
      </c>
      <c r="F2214" t="s">
        <v>279</v>
      </c>
      <c r="G2214" s="7">
        <v>1</v>
      </c>
      <c r="H2214" s="3">
        <v>48137.87</v>
      </c>
      <c r="I2214" s="3">
        <v>48137.87</v>
      </c>
    </row>
    <row r="2215" spans="1:9" x14ac:dyDescent="0.3">
      <c r="A2215" s="5" t="s">
        <v>124</v>
      </c>
      <c r="B2215" t="s">
        <v>254</v>
      </c>
      <c r="C2215" t="s">
        <v>262</v>
      </c>
      <c r="D2215" t="s">
        <v>267</v>
      </c>
      <c r="E2215" t="s">
        <v>274</v>
      </c>
      <c r="F2215" t="s">
        <v>280</v>
      </c>
      <c r="G2215" s="7">
        <v>9</v>
      </c>
      <c r="H2215" s="3">
        <v>39101.33</v>
      </c>
      <c r="I2215" s="3">
        <v>351911.97</v>
      </c>
    </row>
    <row r="2216" spans="1:9" x14ac:dyDescent="0.3">
      <c r="A2216" s="5" t="s">
        <v>124</v>
      </c>
      <c r="B2216" t="s">
        <v>257</v>
      </c>
      <c r="C2216" t="s">
        <v>261</v>
      </c>
      <c r="D2216" t="s">
        <v>270</v>
      </c>
      <c r="E2216" t="s">
        <v>274</v>
      </c>
      <c r="F2216" t="s">
        <v>287</v>
      </c>
      <c r="G2216" s="7">
        <v>4</v>
      </c>
      <c r="H2216" s="3">
        <v>39332.65</v>
      </c>
      <c r="I2216" s="3">
        <v>157330.6</v>
      </c>
    </row>
    <row r="2217" spans="1:9" x14ac:dyDescent="0.3">
      <c r="A2217" s="5" t="s">
        <v>124</v>
      </c>
      <c r="B2217" t="s">
        <v>257</v>
      </c>
      <c r="C2217" t="s">
        <v>265</v>
      </c>
      <c r="D2217" t="s">
        <v>267</v>
      </c>
      <c r="E2217" t="s">
        <v>274</v>
      </c>
      <c r="F2217" t="s">
        <v>287</v>
      </c>
      <c r="G2217" s="7">
        <v>7</v>
      </c>
      <c r="H2217" s="3">
        <v>28087.1</v>
      </c>
      <c r="I2217" s="3">
        <v>196609.7</v>
      </c>
    </row>
    <row r="2218" spans="1:9" x14ac:dyDescent="0.3">
      <c r="A2218" s="5" t="s">
        <v>125</v>
      </c>
      <c r="B2218" t="s">
        <v>256</v>
      </c>
      <c r="C2218" t="s">
        <v>263</v>
      </c>
      <c r="D2218" t="s">
        <v>266</v>
      </c>
      <c r="E2218" t="s">
        <v>272</v>
      </c>
      <c r="F2218" t="s">
        <v>277</v>
      </c>
      <c r="G2218" s="7">
        <v>7</v>
      </c>
      <c r="H2218" s="3">
        <v>28911.83</v>
      </c>
      <c r="I2218" s="3">
        <v>202382.81</v>
      </c>
    </row>
    <row r="2219" spans="1:9" x14ac:dyDescent="0.3">
      <c r="A2219" s="5" t="s">
        <v>125</v>
      </c>
      <c r="B2219" t="s">
        <v>254</v>
      </c>
      <c r="C2219" t="s">
        <v>262</v>
      </c>
      <c r="D2219" t="s">
        <v>268</v>
      </c>
      <c r="E2219" t="s">
        <v>273</v>
      </c>
      <c r="F2219" t="s">
        <v>279</v>
      </c>
      <c r="G2219" s="7">
        <v>2</v>
      </c>
      <c r="H2219" s="3">
        <v>49224.4</v>
      </c>
      <c r="I2219" s="3">
        <v>98448.8</v>
      </c>
    </row>
    <row r="2220" spans="1:9" x14ac:dyDescent="0.3">
      <c r="A2220" s="5" t="s">
        <v>125</v>
      </c>
      <c r="B2220" t="s">
        <v>257</v>
      </c>
      <c r="C2220" t="s">
        <v>261</v>
      </c>
      <c r="D2220" t="s">
        <v>266</v>
      </c>
      <c r="E2220" t="s">
        <v>271</v>
      </c>
      <c r="F2220" t="s">
        <v>275</v>
      </c>
      <c r="G2220" s="7">
        <v>1</v>
      </c>
      <c r="H2220" s="3">
        <v>8094.97</v>
      </c>
      <c r="I2220" s="3">
        <v>8094.97</v>
      </c>
    </row>
    <row r="2221" spans="1:9" x14ac:dyDescent="0.3">
      <c r="A2221" s="5" t="s">
        <v>125</v>
      </c>
      <c r="B2221" t="s">
        <v>254</v>
      </c>
      <c r="C2221" t="s">
        <v>262</v>
      </c>
      <c r="D2221" t="s">
        <v>266</v>
      </c>
      <c r="E2221" t="s">
        <v>272</v>
      </c>
      <c r="F2221" t="s">
        <v>276</v>
      </c>
      <c r="G2221" s="7">
        <v>8</v>
      </c>
      <c r="H2221" s="3">
        <v>28359.26</v>
      </c>
      <c r="I2221" s="3">
        <v>226874.08</v>
      </c>
    </row>
    <row r="2222" spans="1:9" x14ac:dyDescent="0.3">
      <c r="A2222" s="5" t="s">
        <v>125</v>
      </c>
      <c r="B2222" t="s">
        <v>258</v>
      </c>
      <c r="C2222" t="s">
        <v>263</v>
      </c>
      <c r="D2222" t="s">
        <v>268</v>
      </c>
      <c r="E2222" t="s">
        <v>271</v>
      </c>
      <c r="F2222" t="s">
        <v>282</v>
      </c>
      <c r="G2222" s="7">
        <v>8</v>
      </c>
      <c r="H2222" s="3">
        <v>9529.1200000000008</v>
      </c>
      <c r="I2222" s="3">
        <v>76232.960000000006</v>
      </c>
    </row>
    <row r="2223" spans="1:9" x14ac:dyDescent="0.3">
      <c r="A2223" s="5" t="s">
        <v>125</v>
      </c>
      <c r="B2223" t="s">
        <v>256</v>
      </c>
      <c r="C2223" t="s">
        <v>263</v>
      </c>
      <c r="D2223" t="s">
        <v>266</v>
      </c>
      <c r="E2223" t="s">
        <v>273</v>
      </c>
      <c r="F2223" t="s">
        <v>279</v>
      </c>
      <c r="G2223" s="7">
        <v>7</v>
      </c>
      <c r="H2223" s="3">
        <v>42331.22</v>
      </c>
      <c r="I2223" s="3">
        <v>296318.53999999998</v>
      </c>
    </row>
    <row r="2224" spans="1:9" x14ac:dyDescent="0.3">
      <c r="A2224" s="5" t="s">
        <v>126</v>
      </c>
      <c r="B2224" t="s">
        <v>254</v>
      </c>
      <c r="C2224" t="s">
        <v>264</v>
      </c>
      <c r="D2224" t="s">
        <v>270</v>
      </c>
      <c r="E2224" t="s">
        <v>272</v>
      </c>
      <c r="F2224" t="s">
        <v>286</v>
      </c>
      <c r="G2224" s="7">
        <v>8</v>
      </c>
      <c r="H2224" s="3">
        <v>30542.19</v>
      </c>
      <c r="I2224" s="3">
        <v>244337.52</v>
      </c>
    </row>
    <row r="2225" spans="1:9" x14ac:dyDescent="0.3">
      <c r="A2225" s="5" t="s">
        <v>126</v>
      </c>
      <c r="B2225" t="s">
        <v>260</v>
      </c>
      <c r="C2225" t="s">
        <v>265</v>
      </c>
      <c r="D2225" t="s">
        <v>268</v>
      </c>
      <c r="E2225" t="s">
        <v>271</v>
      </c>
      <c r="F2225" t="s">
        <v>282</v>
      </c>
      <c r="G2225" s="7">
        <v>3</v>
      </c>
      <c r="H2225" s="3">
        <v>9596.32</v>
      </c>
      <c r="I2225" s="3">
        <v>28788.959999999999</v>
      </c>
    </row>
    <row r="2226" spans="1:9" x14ac:dyDescent="0.3">
      <c r="A2226" s="5" t="s">
        <v>126</v>
      </c>
      <c r="B2226" t="s">
        <v>260</v>
      </c>
      <c r="C2226" t="s">
        <v>264</v>
      </c>
      <c r="D2226" t="s">
        <v>266</v>
      </c>
      <c r="E2226" t="s">
        <v>271</v>
      </c>
      <c r="F2226" t="s">
        <v>275</v>
      </c>
      <c r="G2226" s="7">
        <v>2</v>
      </c>
      <c r="H2226" s="3">
        <v>7532.69</v>
      </c>
      <c r="I2226" s="3">
        <v>15065.38</v>
      </c>
    </row>
    <row r="2227" spans="1:9" x14ac:dyDescent="0.3">
      <c r="A2227" s="5" t="s">
        <v>126</v>
      </c>
      <c r="B2227" t="s">
        <v>255</v>
      </c>
      <c r="C2227" t="s">
        <v>261</v>
      </c>
      <c r="D2227" t="s">
        <v>269</v>
      </c>
      <c r="E2227" t="s">
        <v>274</v>
      </c>
      <c r="F2227" t="s">
        <v>287</v>
      </c>
      <c r="G2227" s="7">
        <v>7</v>
      </c>
      <c r="H2227" s="3">
        <v>33568.379999999997</v>
      </c>
      <c r="I2227" s="3">
        <v>234978.66</v>
      </c>
    </row>
    <row r="2228" spans="1:9" x14ac:dyDescent="0.3">
      <c r="A2228" s="5" t="s">
        <v>126</v>
      </c>
      <c r="B2228" t="s">
        <v>256</v>
      </c>
      <c r="C2228" t="s">
        <v>262</v>
      </c>
      <c r="D2228" t="s">
        <v>266</v>
      </c>
      <c r="E2228" t="s">
        <v>274</v>
      </c>
      <c r="F2228" t="s">
        <v>289</v>
      </c>
      <c r="G2228" s="7">
        <v>8</v>
      </c>
      <c r="H2228" s="3">
        <v>30567.42</v>
      </c>
      <c r="I2228" s="3">
        <v>244539.36</v>
      </c>
    </row>
    <row r="2229" spans="1:9" x14ac:dyDescent="0.3">
      <c r="A2229" s="5" t="s">
        <v>126</v>
      </c>
      <c r="B2229" t="s">
        <v>256</v>
      </c>
      <c r="C2229" t="s">
        <v>261</v>
      </c>
      <c r="D2229" t="s">
        <v>270</v>
      </c>
      <c r="E2229" t="s">
        <v>274</v>
      </c>
      <c r="F2229" t="s">
        <v>289</v>
      </c>
      <c r="G2229" s="7">
        <v>1</v>
      </c>
      <c r="H2229" s="3">
        <v>36472.15</v>
      </c>
      <c r="I2229" s="3">
        <v>36472.15</v>
      </c>
    </row>
    <row r="2230" spans="1:9" x14ac:dyDescent="0.3">
      <c r="A2230" s="5" t="s">
        <v>127</v>
      </c>
      <c r="B2230" t="s">
        <v>255</v>
      </c>
      <c r="C2230" t="s">
        <v>263</v>
      </c>
      <c r="D2230" t="s">
        <v>267</v>
      </c>
      <c r="E2230" t="s">
        <v>272</v>
      </c>
      <c r="F2230" t="s">
        <v>276</v>
      </c>
      <c r="G2230" s="7">
        <v>9</v>
      </c>
      <c r="H2230" s="3">
        <v>25923.02</v>
      </c>
      <c r="I2230" s="3">
        <v>233307.18</v>
      </c>
    </row>
    <row r="2231" spans="1:9" x14ac:dyDescent="0.3">
      <c r="A2231" s="5" t="s">
        <v>127</v>
      </c>
      <c r="B2231" t="s">
        <v>254</v>
      </c>
      <c r="C2231" t="s">
        <v>264</v>
      </c>
      <c r="D2231" t="s">
        <v>266</v>
      </c>
      <c r="E2231" t="s">
        <v>273</v>
      </c>
      <c r="F2231" t="s">
        <v>279</v>
      </c>
      <c r="G2231" s="7">
        <v>4</v>
      </c>
      <c r="H2231" s="3">
        <v>54310.28</v>
      </c>
      <c r="I2231" s="3">
        <v>217241.12</v>
      </c>
    </row>
    <row r="2232" spans="1:9" x14ac:dyDescent="0.3">
      <c r="A2232" s="5" t="s">
        <v>127</v>
      </c>
      <c r="B2232" t="s">
        <v>256</v>
      </c>
      <c r="C2232" t="s">
        <v>264</v>
      </c>
      <c r="D2232" t="s">
        <v>267</v>
      </c>
      <c r="E2232" t="s">
        <v>273</v>
      </c>
      <c r="F2232" t="s">
        <v>283</v>
      </c>
      <c r="G2232" s="7">
        <v>4</v>
      </c>
      <c r="H2232" s="3">
        <v>46006.94</v>
      </c>
      <c r="I2232" s="3">
        <v>184027.76</v>
      </c>
    </row>
    <row r="2233" spans="1:9" x14ac:dyDescent="0.3">
      <c r="A2233" s="5" t="s">
        <v>127</v>
      </c>
      <c r="B2233" t="s">
        <v>260</v>
      </c>
      <c r="C2233" t="s">
        <v>264</v>
      </c>
      <c r="D2233" t="s">
        <v>269</v>
      </c>
      <c r="E2233" t="s">
        <v>274</v>
      </c>
      <c r="F2233" t="s">
        <v>289</v>
      </c>
      <c r="G2233" s="7">
        <v>3</v>
      </c>
      <c r="H2233" s="3">
        <v>29734.44</v>
      </c>
      <c r="I2233" s="3">
        <v>89203.32</v>
      </c>
    </row>
    <row r="2234" spans="1:9" x14ac:dyDescent="0.3">
      <c r="A2234" s="5" t="s">
        <v>127</v>
      </c>
      <c r="B2234" t="s">
        <v>260</v>
      </c>
      <c r="C2234" t="s">
        <v>261</v>
      </c>
      <c r="D2234" t="s">
        <v>266</v>
      </c>
      <c r="E2234" t="s">
        <v>274</v>
      </c>
      <c r="F2234" t="s">
        <v>289</v>
      </c>
      <c r="G2234" s="7">
        <v>6</v>
      </c>
      <c r="H2234" s="3">
        <v>32806.68</v>
      </c>
      <c r="I2234" s="3">
        <v>196840.08</v>
      </c>
    </row>
    <row r="2235" spans="1:9" x14ac:dyDescent="0.3">
      <c r="A2235" s="5" t="s">
        <v>127</v>
      </c>
      <c r="B2235" t="s">
        <v>257</v>
      </c>
      <c r="C2235" t="s">
        <v>263</v>
      </c>
      <c r="D2235" t="s">
        <v>268</v>
      </c>
      <c r="E2235" t="s">
        <v>274</v>
      </c>
      <c r="F2235" t="s">
        <v>280</v>
      </c>
      <c r="G2235" s="7">
        <v>1</v>
      </c>
      <c r="H2235" s="3">
        <v>32431.919999999998</v>
      </c>
      <c r="I2235" s="3">
        <v>32431.919999999998</v>
      </c>
    </row>
    <row r="2236" spans="1:9" x14ac:dyDescent="0.3">
      <c r="A2236" s="5" t="s">
        <v>127</v>
      </c>
      <c r="B2236" t="s">
        <v>258</v>
      </c>
      <c r="C2236" t="s">
        <v>262</v>
      </c>
      <c r="D2236" t="s">
        <v>267</v>
      </c>
      <c r="E2236" t="s">
        <v>271</v>
      </c>
      <c r="F2236" t="s">
        <v>282</v>
      </c>
      <c r="G2236" s="7">
        <v>6</v>
      </c>
      <c r="H2236" s="3">
        <v>8683.32</v>
      </c>
      <c r="I2236" s="3">
        <v>52099.92</v>
      </c>
    </row>
    <row r="2237" spans="1:9" x14ac:dyDescent="0.3">
      <c r="A2237" s="5" t="s">
        <v>128</v>
      </c>
      <c r="B2237" t="s">
        <v>256</v>
      </c>
      <c r="C2237" t="s">
        <v>262</v>
      </c>
      <c r="D2237" t="s">
        <v>269</v>
      </c>
      <c r="E2237" t="s">
        <v>274</v>
      </c>
      <c r="F2237" t="s">
        <v>284</v>
      </c>
      <c r="G2237" s="7">
        <v>2</v>
      </c>
      <c r="H2237" s="3">
        <v>34695.18</v>
      </c>
      <c r="I2237" s="3">
        <v>69390.36</v>
      </c>
    </row>
    <row r="2238" spans="1:9" x14ac:dyDescent="0.3">
      <c r="A2238" s="5" t="s">
        <v>128</v>
      </c>
      <c r="B2238" t="s">
        <v>254</v>
      </c>
      <c r="C2238" t="s">
        <v>261</v>
      </c>
      <c r="D2238" t="s">
        <v>268</v>
      </c>
      <c r="E2238" t="s">
        <v>271</v>
      </c>
      <c r="F2238" t="s">
        <v>282</v>
      </c>
      <c r="G2238" s="7">
        <v>9</v>
      </c>
      <c r="H2238" s="3">
        <v>8996.99</v>
      </c>
      <c r="I2238" s="3">
        <v>80972.91</v>
      </c>
    </row>
    <row r="2239" spans="1:9" x14ac:dyDescent="0.3">
      <c r="A2239" s="5" t="s">
        <v>128</v>
      </c>
      <c r="B2239" t="s">
        <v>255</v>
      </c>
      <c r="C2239" t="s">
        <v>264</v>
      </c>
      <c r="D2239" t="s">
        <v>268</v>
      </c>
      <c r="E2239" t="s">
        <v>273</v>
      </c>
      <c r="F2239" t="s">
        <v>283</v>
      </c>
      <c r="G2239" s="7">
        <v>2</v>
      </c>
      <c r="H2239" s="3">
        <v>40945.99</v>
      </c>
      <c r="I2239" s="3">
        <v>81891.98</v>
      </c>
    </row>
    <row r="2240" spans="1:9" x14ac:dyDescent="0.3">
      <c r="A2240" s="5" t="s">
        <v>128</v>
      </c>
      <c r="B2240" t="s">
        <v>255</v>
      </c>
      <c r="C2240" t="s">
        <v>265</v>
      </c>
      <c r="D2240" t="s">
        <v>268</v>
      </c>
      <c r="E2240" t="s">
        <v>272</v>
      </c>
      <c r="F2240" t="s">
        <v>290</v>
      </c>
      <c r="G2240" s="7">
        <v>7</v>
      </c>
      <c r="H2240" s="3">
        <v>24534.49</v>
      </c>
      <c r="I2240" s="3">
        <v>171741.43</v>
      </c>
    </row>
    <row r="2241" spans="1:9" x14ac:dyDescent="0.3">
      <c r="A2241" s="5" t="s">
        <v>128</v>
      </c>
      <c r="B2241" t="s">
        <v>254</v>
      </c>
      <c r="C2241" t="s">
        <v>261</v>
      </c>
      <c r="D2241" t="s">
        <v>268</v>
      </c>
      <c r="E2241" t="s">
        <v>272</v>
      </c>
      <c r="F2241" t="s">
        <v>276</v>
      </c>
      <c r="G2241" s="7">
        <v>1</v>
      </c>
      <c r="H2241" s="3">
        <v>31969.45</v>
      </c>
      <c r="I2241" s="3">
        <v>31969.45</v>
      </c>
    </row>
    <row r="2242" spans="1:9" x14ac:dyDescent="0.3">
      <c r="A2242" s="5" t="s">
        <v>128</v>
      </c>
      <c r="B2242" t="s">
        <v>253</v>
      </c>
      <c r="C2242" t="s">
        <v>261</v>
      </c>
      <c r="D2242" t="s">
        <v>266</v>
      </c>
      <c r="E2242" t="s">
        <v>272</v>
      </c>
      <c r="F2242" t="s">
        <v>277</v>
      </c>
      <c r="G2242" s="7">
        <v>7</v>
      </c>
      <c r="H2242" s="3">
        <v>30068.84</v>
      </c>
      <c r="I2242" s="3">
        <v>210481.88</v>
      </c>
    </row>
    <row r="2243" spans="1:9" x14ac:dyDescent="0.3">
      <c r="A2243" s="5" t="s">
        <v>129</v>
      </c>
      <c r="B2243" t="s">
        <v>259</v>
      </c>
      <c r="C2243" t="s">
        <v>263</v>
      </c>
      <c r="D2243" t="s">
        <v>266</v>
      </c>
      <c r="E2243" t="s">
        <v>272</v>
      </c>
      <c r="F2243" t="s">
        <v>277</v>
      </c>
      <c r="G2243" s="7">
        <v>5</v>
      </c>
      <c r="H2243" s="3">
        <v>27820.81</v>
      </c>
      <c r="I2243" s="3">
        <v>139104.04999999999</v>
      </c>
    </row>
    <row r="2244" spans="1:9" x14ac:dyDescent="0.3">
      <c r="A2244" s="5" t="s">
        <v>129</v>
      </c>
      <c r="B2244" t="s">
        <v>258</v>
      </c>
      <c r="C2244" t="s">
        <v>262</v>
      </c>
      <c r="D2244" t="s">
        <v>266</v>
      </c>
      <c r="E2244" t="s">
        <v>271</v>
      </c>
      <c r="F2244" t="s">
        <v>275</v>
      </c>
      <c r="G2244" s="7">
        <v>8</v>
      </c>
      <c r="H2244" s="3">
        <v>9973.42</v>
      </c>
      <c r="I2244" s="3">
        <v>79787.360000000001</v>
      </c>
    </row>
    <row r="2245" spans="1:9" x14ac:dyDescent="0.3">
      <c r="A2245" s="5" t="s">
        <v>129</v>
      </c>
      <c r="B2245" t="s">
        <v>255</v>
      </c>
      <c r="C2245" t="s">
        <v>261</v>
      </c>
      <c r="D2245" t="s">
        <v>269</v>
      </c>
      <c r="E2245" t="s">
        <v>271</v>
      </c>
      <c r="F2245" t="s">
        <v>281</v>
      </c>
      <c r="G2245" s="7">
        <v>4</v>
      </c>
      <c r="H2245" s="3">
        <v>8544.4</v>
      </c>
      <c r="I2245" s="3">
        <v>34177.599999999999</v>
      </c>
    </row>
    <row r="2246" spans="1:9" x14ac:dyDescent="0.3">
      <c r="A2246" s="5" t="s">
        <v>129</v>
      </c>
      <c r="B2246" t="s">
        <v>256</v>
      </c>
      <c r="C2246" t="s">
        <v>261</v>
      </c>
      <c r="D2246" t="s">
        <v>269</v>
      </c>
      <c r="E2246" t="s">
        <v>274</v>
      </c>
      <c r="F2246" t="s">
        <v>289</v>
      </c>
      <c r="G2246" s="7">
        <v>7</v>
      </c>
      <c r="H2246" s="3">
        <v>37388.35</v>
      </c>
      <c r="I2246" s="3">
        <v>261718.45</v>
      </c>
    </row>
    <row r="2247" spans="1:9" x14ac:dyDescent="0.3">
      <c r="A2247" s="5" t="s">
        <v>129</v>
      </c>
      <c r="B2247" t="s">
        <v>258</v>
      </c>
      <c r="C2247" t="s">
        <v>264</v>
      </c>
      <c r="D2247" t="s">
        <v>269</v>
      </c>
      <c r="E2247" t="s">
        <v>271</v>
      </c>
      <c r="F2247" t="s">
        <v>275</v>
      </c>
      <c r="G2247" s="7">
        <v>6</v>
      </c>
      <c r="H2247" s="3">
        <v>8264.57</v>
      </c>
      <c r="I2247" s="3">
        <v>49587.42</v>
      </c>
    </row>
    <row r="2248" spans="1:9" x14ac:dyDescent="0.3">
      <c r="A2248" s="5" t="s">
        <v>129</v>
      </c>
      <c r="B2248" t="s">
        <v>256</v>
      </c>
      <c r="C2248" t="s">
        <v>264</v>
      </c>
      <c r="D2248" t="s">
        <v>270</v>
      </c>
      <c r="E2248" t="s">
        <v>274</v>
      </c>
      <c r="F2248" t="s">
        <v>280</v>
      </c>
      <c r="G2248" s="7">
        <v>5</v>
      </c>
      <c r="H2248" s="3">
        <v>28132.42</v>
      </c>
      <c r="I2248" s="3">
        <v>140662.1</v>
      </c>
    </row>
    <row r="2249" spans="1:9" x14ac:dyDescent="0.3">
      <c r="A2249" s="5" t="s">
        <v>130</v>
      </c>
      <c r="B2249" t="s">
        <v>253</v>
      </c>
      <c r="C2249" t="s">
        <v>265</v>
      </c>
      <c r="D2249" t="s">
        <v>269</v>
      </c>
      <c r="E2249" t="s">
        <v>274</v>
      </c>
      <c r="F2249" t="s">
        <v>287</v>
      </c>
      <c r="G2249" s="7">
        <v>4</v>
      </c>
      <c r="H2249" s="3">
        <v>39137.79</v>
      </c>
      <c r="I2249" s="3">
        <v>156551.16</v>
      </c>
    </row>
    <row r="2250" spans="1:9" x14ac:dyDescent="0.3">
      <c r="A2250" s="5" t="s">
        <v>130</v>
      </c>
      <c r="B2250" t="s">
        <v>260</v>
      </c>
      <c r="C2250" t="s">
        <v>263</v>
      </c>
      <c r="D2250" t="s">
        <v>266</v>
      </c>
      <c r="E2250" t="s">
        <v>272</v>
      </c>
      <c r="F2250" t="s">
        <v>276</v>
      </c>
      <c r="G2250" s="7">
        <v>7</v>
      </c>
      <c r="H2250" s="3">
        <v>28218.97</v>
      </c>
      <c r="I2250" s="3">
        <v>197532.79</v>
      </c>
    </row>
    <row r="2251" spans="1:9" x14ac:dyDescent="0.3">
      <c r="A2251" s="5" t="s">
        <v>130</v>
      </c>
      <c r="B2251" t="s">
        <v>258</v>
      </c>
      <c r="C2251" t="s">
        <v>265</v>
      </c>
      <c r="D2251" t="s">
        <v>266</v>
      </c>
      <c r="E2251" t="s">
        <v>271</v>
      </c>
      <c r="F2251" t="s">
        <v>275</v>
      </c>
      <c r="G2251" s="7">
        <v>5</v>
      </c>
      <c r="H2251" s="3">
        <v>9920.15</v>
      </c>
      <c r="I2251" s="3">
        <v>49600.75</v>
      </c>
    </row>
    <row r="2252" spans="1:9" x14ac:dyDescent="0.3">
      <c r="A2252" s="5" t="s">
        <v>130</v>
      </c>
      <c r="B2252" t="s">
        <v>257</v>
      </c>
      <c r="C2252" t="s">
        <v>264</v>
      </c>
      <c r="D2252" t="s">
        <v>270</v>
      </c>
      <c r="E2252" t="s">
        <v>271</v>
      </c>
      <c r="F2252" t="s">
        <v>285</v>
      </c>
      <c r="G2252" s="7">
        <v>5</v>
      </c>
      <c r="H2252" s="3">
        <v>8174.09</v>
      </c>
      <c r="I2252" s="3">
        <v>40870.449999999997</v>
      </c>
    </row>
    <row r="2253" spans="1:9" x14ac:dyDescent="0.3">
      <c r="A2253" s="5" t="s">
        <v>130</v>
      </c>
      <c r="B2253" t="s">
        <v>255</v>
      </c>
      <c r="C2253" t="s">
        <v>262</v>
      </c>
      <c r="D2253" t="s">
        <v>270</v>
      </c>
      <c r="E2253" t="s">
        <v>274</v>
      </c>
      <c r="F2253" t="s">
        <v>280</v>
      </c>
      <c r="G2253" s="7">
        <v>1</v>
      </c>
      <c r="H2253" s="3">
        <v>35473.47</v>
      </c>
      <c r="I2253" s="3">
        <v>35473.47</v>
      </c>
    </row>
    <row r="2254" spans="1:9" x14ac:dyDescent="0.3">
      <c r="A2254" s="5" t="s">
        <v>130</v>
      </c>
      <c r="B2254" t="s">
        <v>258</v>
      </c>
      <c r="C2254" t="s">
        <v>264</v>
      </c>
      <c r="D2254" t="s">
        <v>269</v>
      </c>
      <c r="E2254" t="s">
        <v>274</v>
      </c>
      <c r="F2254" t="s">
        <v>284</v>
      </c>
      <c r="G2254" s="7">
        <v>2</v>
      </c>
      <c r="H2254" s="3">
        <v>38378.379999999997</v>
      </c>
      <c r="I2254" s="3">
        <v>76756.759999999995</v>
      </c>
    </row>
    <row r="2255" spans="1:9" x14ac:dyDescent="0.3">
      <c r="A2255" s="5" t="s">
        <v>131</v>
      </c>
      <c r="B2255" t="s">
        <v>258</v>
      </c>
      <c r="C2255" t="s">
        <v>263</v>
      </c>
      <c r="D2255" t="s">
        <v>267</v>
      </c>
      <c r="E2255" t="s">
        <v>273</v>
      </c>
      <c r="F2255" t="s">
        <v>283</v>
      </c>
      <c r="G2255" s="7">
        <v>5</v>
      </c>
      <c r="H2255" s="3">
        <v>38999.589999999997</v>
      </c>
      <c r="I2255" s="3">
        <v>194997.95</v>
      </c>
    </row>
    <row r="2256" spans="1:9" x14ac:dyDescent="0.3">
      <c r="A2256" s="5" t="s">
        <v>131</v>
      </c>
      <c r="B2256" t="s">
        <v>258</v>
      </c>
      <c r="C2256" t="s">
        <v>264</v>
      </c>
      <c r="D2256" t="s">
        <v>270</v>
      </c>
      <c r="E2256" t="s">
        <v>273</v>
      </c>
      <c r="F2256" t="s">
        <v>288</v>
      </c>
      <c r="G2256" s="7">
        <v>3</v>
      </c>
      <c r="H2256" s="3">
        <v>53201.440000000002</v>
      </c>
      <c r="I2256" s="3">
        <v>159604.32</v>
      </c>
    </row>
    <row r="2257" spans="1:9" x14ac:dyDescent="0.3">
      <c r="A2257" s="5" t="s">
        <v>131</v>
      </c>
      <c r="B2257" t="s">
        <v>259</v>
      </c>
      <c r="C2257" t="s">
        <v>263</v>
      </c>
      <c r="D2257" t="s">
        <v>268</v>
      </c>
      <c r="E2257" t="s">
        <v>274</v>
      </c>
      <c r="F2257" t="s">
        <v>289</v>
      </c>
      <c r="G2257" s="7">
        <v>2</v>
      </c>
      <c r="H2257" s="3">
        <v>34513.06</v>
      </c>
      <c r="I2257" s="3">
        <v>69026.12</v>
      </c>
    </row>
    <row r="2258" spans="1:9" x14ac:dyDescent="0.3">
      <c r="A2258" s="5" t="s">
        <v>131</v>
      </c>
      <c r="B2258" t="s">
        <v>258</v>
      </c>
      <c r="C2258" t="s">
        <v>263</v>
      </c>
      <c r="D2258" t="s">
        <v>266</v>
      </c>
      <c r="E2258" t="s">
        <v>273</v>
      </c>
      <c r="F2258" t="s">
        <v>288</v>
      </c>
      <c r="G2258" s="7">
        <v>4</v>
      </c>
      <c r="H2258" s="3">
        <v>49184.49</v>
      </c>
      <c r="I2258" s="3">
        <v>196737.96</v>
      </c>
    </row>
    <row r="2259" spans="1:9" x14ac:dyDescent="0.3">
      <c r="A2259" s="5" t="s">
        <v>131</v>
      </c>
      <c r="B2259" t="s">
        <v>256</v>
      </c>
      <c r="C2259" t="s">
        <v>263</v>
      </c>
      <c r="D2259" t="s">
        <v>268</v>
      </c>
      <c r="E2259" t="s">
        <v>273</v>
      </c>
      <c r="F2259" t="s">
        <v>283</v>
      </c>
      <c r="G2259" s="7">
        <v>4</v>
      </c>
      <c r="H2259" s="3">
        <v>47666.84</v>
      </c>
      <c r="I2259" s="3">
        <v>190667.36</v>
      </c>
    </row>
    <row r="2260" spans="1:9" x14ac:dyDescent="0.3">
      <c r="A2260" s="5" t="s">
        <v>131</v>
      </c>
      <c r="B2260" t="s">
        <v>260</v>
      </c>
      <c r="C2260" t="s">
        <v>263</v>
      </c>
      <c r="D2260" t="s">
        <v>266</v>
      </c>
      <c r="E2260" t="s">
        <v>274</v>
      </c>
      <c r="F2260" t="s">
        <v>287</v>
      </c>
      <c r="G2260" s="7">
        <v>4</v>
      </c>
      <c r="H2260" s="3">
        <v>38393.279999999999</v>
      </c>
      <c r="I2260" s="3">
        <v>153573.12</v>
      </c>
    </row>
    <row r="2261" spans="1:9" x14ac:dyDescent="0.3">
      <c r="A2261" s="5" t="s">
        <v>132</v>
      </c>
      <c r="B2261" t="s">
        <v>253</v>
      </c>
      <c r="C2261" t="s">
        <v>263</v>
      </c>
      <c r="D2261" t="s">
        <v>266</v>
      </c>
      <c r="E2261" t="s">
        <v>274</v>
      </c>
      <c r="F2261" t="s">
        <v>287</v>
      </c>
      <c r="G2261" s="7">
        <v>4</v>
      </c>
      <c r="H2261" s="3">
        <v>27755.95</v>
      </c>
      <c r="I2261" s="3">
        <v>111023.8</v>
      </c>
    </row>
    <row r="2262" spans="1:9" x14ac:dyDescent="0.3">
      <c r="A2262" s="5" t="s">
        <v>132</v>
      </c>
      <c r="B2262" t="s">
        <v>254</v>
      </c>
      <c r="C2262" t="s">
        <v>262</v>
      </c>
      <c r="D2262" t="s">
        <v>270</v>
      </c>
      <c r="E2262" t="s">
        <v>271</v>
      </c>
      <c r="F2262" t="s">
        <v>285</v>
      </c>
      <c r="G2262" s="7">
        <v>3</v>
      </c>
      <c r="H2262" s="3">
        <v>8112.5</v>
      </c>
      <c r="I2262" s="3">
        <v>24337.5</v>
      </c>
    </row>
    <row r="2263" spans="1:9" x14ac:dyDescent="0.3">
      <c r="A2263" s="5" t="s">
        <v>132</v>
      </c>
      <c r="B2263" t="s">
        <v>258</v>
      </c>
      <c r="C2263" t="s">
        <v>265</v>
      </c>
      <c r="D2263" t="s">
        <v>270</v>
      </c>
      <c r="E2263" t="s">
        <v>274</v>
      </c>
      <c r="F2263" t="s">
        <v>284</v>
      </c>
      <c r="G2263" s="7">
        <v>7</v>
      </c>
      <c r="H2263" s="3">
        <v>38409.760000000002</v>
      </c>
      <c r="I2263" s="3">
        <v>268868.32</v>
      </c>
    </row>
    <row r="2264" spans="1:9" x14ac:dyDescent="0.3">
      <c r="A2264" s="5" t="s">
        <v>132</v>
      </c>
      <c r="B2264" t="s">
        <v>255</v>
      </c>
      <c r="C2264" t="s">
        <v>261</v>
      </c>
      <c r="D2264" t="s">
        <v>268</v>
      </c>
      <c r="E2264" t="s">
        <v>274</v>
      </c>
      <c r="F2264" t="s">
        <v>289</v>
      </c>
      <c r="G2264" s="7">
        <v>9</v>
      </c>
      <c r="H2264" s="3">
        <v>36830.019999999997</v>
      </c>
      <c r="I2264" s="3">
        <v>331470.18</v>
      </c>
    </row>
    <row r="2265" spans="1:9" x14ac:dyDescent="0.3">
      <c r="A2265" s="5" t="s">
        <v>132</v>
      </c>
      <c r="B2265" t="s">
        <v>258</v>
      </c>
      <c r="C2265" t="s">
        <v>265</v>
      </c>
      <c r="D2265" t="s">
        <v>266</v>
      </c>
      <c r="E2265" t="s">
        <v>272</v>
      </c>
      <c r="F2265" t="s">
        <v>290</v>
      </c>
      <c r="G2265" s="7">
        <v>5</v>
      </c>
      <c r="H2265" s="3">
        <v>23997.63</v>
      </c>
      <c r="I2265" s="3">
        <v>119988.15</v>
      </c>
    </row>
    <row r="2266" spans="1:9" x14ac:dyDescent="0.3">
      <c r="A2266" s="5" t="s">
        <v>132</v>
      </c>
      <c r="B2266" t="s">
        <v>255</v>
      </c>
      <c r="C2266" t="s">
        <v>263</v>
      </c>
      <c r="D2266" t="s">
        <v>268</v>
      </c>
      <c r="E2266" t="s">
        <v>271</v>
      </c>
      <c r="F2266" t="s">
        <v>281</v>
      </c>
      <c r="G2266" s="7">
        <v>4</v>
      </c>
      <c r="H2266" s="3">
        <v>8982.82</v>
      </c>
      <c r="I2266" s="3">
        <v>35931.279999999999</v>
      </c>
    </row>
    <row r="2267" spans="1:9" x14ac:dyDescent="0.3">
      <c r="A2267" s="5" t="s">
        <v>133</v>
      </c>
      <c r="B2267" t="s">
        <v>256</v>
      </c>
      <c r="C2267" t="s">
        <v>262</v>
      </c>
      <c r="D2267" t="s">
        <v>267</v>
      </c>
      <c r="E2267" t="s">
        <v>271</v>
      </c>
      <c r="F2267" t="s">
        <v>281</v>
      </c>
      <c r="G2267" s="7">
        <v>2</v>
      </c>
      <c r="H2267" s="3">
        <v>9025.5499999999993</v>
      </c>
      <c r="I2267" s="3">
        <v>18051.099999999999</v>
      </c>
    </row>
    <row r="2268" spans="1:9" x14ac:dyDescent="0.3">
      <c r="A2268" s="5" t="s">
        <v>133</v>
      </c>
      <c r="B2268" t="s">
        <v>255</v>
      </c>
      <c r="C2268" t="s">
        <v>264</v>
      </c>
      <c r="D2268" t="s">
        <v>268</v>
      </c>
      <c r="E2268" t="s">
        <v>271</v>
      </c>
      <c r="F2268" t="s">
        <v>285</v>
      </c>
      <c r="G2268" s="7">
        <v>2</v>
      </c>
      <c r="H2268" s="3">
        <v>8588</v>
      </c>
      <c r="I2268" s="3">
        <v>17176</v>
      </c>
    </row>
    <row r="2269" spans="1:9" x14ac:dyDescent="0.3">
      <c r="A2269" s="5" t="s">
        <v>133</v>
      </c>
      <c r="B2269" t="s">
        <v>257</v>
      </c>
      <c r="C2269" t="s">
        <v>262</v>
      </c>
      <c r="D2269" t="s">
        <v>269</v>
      </c>
      <c r="E2269" t="s">
        <v>272</v>
      </c>
      <c r="F2269" t="s">
        <v>290</v>
      </c>
      <c r="G2269" s="7">
        <v>5</v>
      </c>
      <c r="H2269" s="3">
        <v>27130.81</v>
      </c>
      <c r="I2269" s="3">
        <v>135654.04999999999</v>
      </c>
    </row>
    <row r="2270" spans="1:9" x14ac:dyDescent="0.3">
      <c r="A2270" s="5" t="s">
        <v>133</v>
      </c>
      <c r="B2270" t="s">
        <v>254</v>
      </c>
      <c r="C2270" t="s">
        <v>263</v>
      </c>
      <c r="D2270" t="s">
        <v>268</v>
      </c>
      <c r="E2270" t="s">
        <v>274</v>
      </c>
      <c r="F2270" t="s">
        <v>284</v>
      </c>
      <c r="G2270" s="7">
        <v>7</v>
      </c>
      <c r="H2270" s="3">
        <v>35926.080000000002</v>
      </c>
      <c r="I2270" s="3">
        <v>251482.56</v>
      </c>
    </row>
    <row r="2271" spans="1:9" x14ac:dyDescent="0.3">
      <c r="A2271" s="5" t="s">
        <v>133</v>
      </c>
      <c r="B2271" t="s">
        <v>260</v>
      </c>
      <c r="C2271" t="s">
        <v>262</v>
      </c>
      <c r="D2271" t="s">
        <v>269</v>
      </c>
      <c r="E2271" t="s">
        <v>271</v>
      </c>
      <c r="F2271" t="s">
        <v>285</v>
      </c>
      <c r="G2271" s="7">
        <v>9</v>
      </c>
      <c r="H2271" s="3">
        <v>7931.49</v>
      </c>
      <c r="I2271" s="3">
        <v>71383.41</v>
      </c>
    </row>
    <row r="2272" spans="1:9" x14ac:dyDescent="0.3">
      <c r="A2272" s="5" t="s">
        <v>133</v>
      </c>
      <c r="B2272" t="s">
        <v>255</v>
      </c>
      <c r="C2272" t="s">
        <v>262</v>
      </c>
      <c r="D2272" t="s">
        <v>269</v>
      </c>
      <c r="E2272" t="s">
        <v>271</v>
      </c>
      <c r="F2272" t="s">
        <v>282</v>
      </c>
      <c r="G2272" s="7">
        <v>7</v>
      </c>
      <c r="H2272" s="3">
        <v>9941.43</v>
      </c>
      <c r="I2272" s="3">
        <v>69590.009999999995</v>
      </c>
    </row>
    <row r="2273" spans="1:9" x14ac:dyDescent="0.3">
      <c r="A2273" s="5" t="s">
        <v>133</v>
      </c>
      <c r="B2273" t="s">
        <v>255</v>
      </c>
      <c r="C2273" t="s">
        <v>263</v>
      </c>
      <c r="D2273" t="s">
        <v>269</v>
      </c>
      <c r="E2273" t="s">
        <v>273</v>
      </c>
      <c r="F2273" t="s">
        <v>288</v>
      </c>
      <c r="G2273" s="7">
        <v>5</v>
      </c>
      <c r="H2273" s="3">
        <v>52704.67</v>
      </c>
      <c r="I2273" s="3">
        <v>263523.34999999998</v>
      </c>
    </row>
    <row r="2274" spans="1:9" x14ac:dyDescent="0.3">
      <c r="A2274" s="5" t="s">
        <v>134</v>
      </c>
      <c r="B2274" t="s">
        <v>260</v>
      </c>
      <c r="C2274" t="s">
        <v>262</v>
      </c>
      <c r="D2274" t="s">
        <v>267</v>
      </c>
      <c r="E2274" t="s">
        <v>271</v>
      </c>
      <c r="F2274" t="s">
        <v>285</v>
      </c>
      <c r="G2274" s="7">
        <v>6</v>
      </c>
      <c r="H2274" s="3">
        <v>8636.89</v>
      </c>
      <c r="I2274" s="3">
        <v>51821.34</v>
      </c>
    </row>
    <row r="2275" spans="1:9" x14ac:dyDescent="0.3">
      <c r="A2275" s="5" t="s">
        <v>134</v>
      </c>
      <c r="B2275" t="s">
        <v>254</v>
      </c>
      <c r="C2275" t="s">
        <v>261</v>
      </c>
      <c r="D2275" t="s">
        <v>268</v>
      </c>
      <c r="E2275" t="s">
        <v>274</v>
      </c>
      <c r="F2275" t="s">
        <v>280</v>
      </c>
      <c r="G2275" s="7">
        <v>3</v>
      </c>
      <c r="H2275" s="3">
        <v>30829.41</v>
      </c>
      <c r="I2275" s="3">
        <v>92488.23</v>
      </c>
    </row>
    <row r="2276" spans="1:9" x14ac:dyDescent="0.3">
      <c r="A2276" s="5" t="s">
        <v>134</v>
      </c>
      <c r="B2276" t="s">
        <v>258</v>
      </c>
      <c r="C2276" t="s">
        <v>261</v>
      </c>
      <c r="D2276" t="s">
        <v>268</v>
      </c>
      <c r="E2276" t="s">
        <v>274</v>
      </c>
      <c r="F2276" t="s">
        <v>289</v>
      </c>
      <c r="G2276" s="7">
        <v>5</v>
      </c>
      <c r="H2276" s="3">
        <v>30833.64</v>
      </c>
      <c r="I2276" s="3">
        <v>154168.20000000001</v>
      </c>
    </row>
    <row r="2277" spans="1:9" x14ac:dyDescent="0.3">
      <c r="A2277" s="5" t="s">
        <v>134</v>
      </c>
      <c r="B2277" t="s">
        <v>255</v>
      </c>
      <c r="C2277" t="s">
        <v>262</v>
      </c>
      <c r="D2277" t="s">
        <v>267</v>
      </c>
      <c r="E2277" t="s">
        <v>273</v>
      </c>
      <c r="F2277" t="s">
        <v>283</v>
      </c>
      <c r="G2277" s="7">
        <v>8</v>
      </c>
      <c r="H2277" s="3">
        <v>46931.24</v>
      </c>
      <c r="I2277" s="3">
        <v>375449.92</v>
      </c>
    </row>
    <row r="2278" spans="1:9" x14ac:dyDescent="0.3">
      <c r="A2278" s="5" t="s">
        <v>134</v>
      </c>
      <c r="B2278" t="s">
        <v>260</v>
      </c>
      <c r="C2278" t="s">
        <v>264</v>
      </c>
      <c r="D2278" t="s">
        <v>266</v>
      </c>
      <c r="E2278" t="s">
        <v>271</v>
      </c>
      <c r="F2278" t="s">
        <v>275</v>
      </c>
      <c r="G2278" s="7">
        <v>1</v>
      </c>
      <c r="H2278" s="3">
        <v>9671.57</v>
      </c>
      <c r="I2278" s="3">
        <v>9671.57</v>
      </c>
    </row>
    <row r="2279" spans="1:9" x14ac:dyDescent="0.3">
      <c r="A2279" s="5" t="s">
        <v>134</v>
      </c>
      <c r="B2279" t="s">
        <v>257</v>
      </c>
      <c r="C2279" t="s">
        <v>263</v>
      </c>
      <c r="D2279" t="s">
        <v>270</v>
      </c>
      <c r="E2279" t="s">
        <v>271</v>
      </c>
      <c r="F2279" t="s">
        <v>281</v>
      </c>
      <c r="G2279" s="7">
        <v>1</v>
      </c>
      <c r="H2279" s="3">
        <v>8445.15</v>
      </c>
      <c r="I2279" s="3">
        <v>8445.15</v>
      </c>
    </row>
    <row r="2280" spans="1:9" x14ac:dyDescent="0.3">
      <c r="A2280" s="5" t="s">
        <v>135</v>
      </c>
      <c r="B2280" t="s">
        <v>257</v>
      </c>
      <c r="C2280" t="s">
        <v>261</v>
      </c>
      <c r="D2280" t="s">
        <v>268</v>
      </c>
      <c r="E2280" t="s">
        <v>271</v>
      </c>
      <c r="F2280" t="s">
        <v>285</v>
      </c>
      <c r="G2280" s="7">
        <v>7</v>
      </c>
      <c r="H2280" s="3">
        <v>9299.15</v>
      </c>
      <c r="I2280" s="3">
        <v>65094.05</v>
      </c>
    </row>
    <row r="2281" spans="1:9" x14ac:dyDescent="0.3">
      <c r="A2281" s="5" t="s">
        <v>135</v>
      </c>
      <c r="B2281" t="s">
        <v>256</v>
      </c>
      <c r="C2281" t="s">
        <v>264</v>
      </c>
      <c r="D2281" t="s">
        <v>270</v>
      </c>
      <c r="E2281" t="s">
        <v>272</v>
      </c>
      <c r="F2281" t="s">
        <v>276</v>
      </c>
      <c r="G2281" s="7">
        <v>5</v>
      </c>
      <c r="H2281" s="3">
        <v>28083.83</v>
      </c>
      <c r="I2281" s="3">
        <v>140419.15</v>
      </c>
    </row>
    <row r="2282" spans="1:9" x14ac:dyDescent="0.3">
      <c r="A2282" s="5" t="s">
        <v>135</v>
      </c>
      <c r="B2282" t="s">
        <v>260</v>
      </c>
      <c r="C2282" t="s">
        <v>262</v>
      </c>
      <c r="D2282" t="s">
        <v>267</v>
      </c>
      <c r="E2282" t="s">
        <v>271</v>
      </c>
      <c r="F2282" t="s">
        <v>282</v>
      </c>
      <c r="G2282" s="7">
        <v>5</v>
      </c>
      <c r="H2282" s="3">
        <v>8260.3799999999992</v>
      </c>
      <c r="I2282" s="3">
        <v>41301.9</v>
      </c>
    </row>
    <row r="2283" spans="1:9" x14ac:dyDescent="0.3">
      <c r="A2283" s="5" t="s">
        <v>135</v>
      </c>
      <c r="B2283" t="s">
        <v>256</v>
      </c>
      <c r="C2283" t="s">
        <v>264</v>
      </c>
      <c r="D2283" t="s">
        <v>266</v>
      </c>
      <c r="E2283" t="s">
        <v>274</v>
      </c>
      <c r="F2283" t="s">
        <v>289</v>
      </c>
      <c r="G2283" s="7">
        <v>1</v>
      </c>
      <c r="H2283" s="3">
        <v>27518.2</v>
      </c>
      <c r="I2283" s="3">
        <v>27518.2</v>
      </c>
    </row>
    <row r="2284" spans="1:9" x14ac:dyDescent="0.3">
      <c r="A2284" s="5" t="s">
        <v>135</v>
      </c>
      <c r="B2284" t="s">
        <v>257</v>
      </c>
      <c r="C2284" t="s">
        <v>265</v>
      </c>
      <c r="D2284" t="s">
        <v>266</v>
      </c>
      <c r="E2284" t="s">
        <v>274</v>
      </c>
      <c r="F2284" t="s">
        <v>287</v>
      </c>
      <c r="G2284" s="7">
        <v>9</v>
      </c>
      <c r="H2284" s="3">
        <v>27250.1</v>
      </c>
      <c r="I2284" s="3">
        <v>245250.9</v>
      </c>
    </row>
    <row r="2285" spans="1:9" x14ac:dyDescent="0.3">
      <c r="A2285" s="5" t="s">
        <v>135</v>
      </c>
      <c r="B2285" t="s">
        <v>254</v>
      </c>
      <c r="C2285" t="s">
        <v>261</v>
      </c>
      <c r="D2285" t="s">
        <v>266</v>
      </c>
      <c r="E2285" t="s">
        <v>272</v>
      </c>
      <c r="F2285" t="s">
        <v>277</v>
      </c>
      <c r="G2285" s="7">
        <v>1</v>
      </c>
      <c r="H2285" s="3">
        <v>26344.73</v>
      </c>
      <c r="I2285" s="3">
        <v>26344.73</v>
      </c>
    </row>
    <row r="2286" spans="1:9" x14ac:dyDescent="0.3">
      <c r="A2286" s="5" t="s">
        <v>136</v>
      </c>
      <c r="B2286" t="s">
        <v>258</v>
      </c>
      <c r="C2286" t="s">
        <v>262</v>
      </c>
      <c r="D2286" t="s">
        <v>267</v>
      </c>
      <c r="E2286" t="s">
        <v>272</v>
      </c>
      <c r="F2286" t="s">
        <v>286</v>
      </c>
      <c r="G2286" s="7">
        <v>5</v>
      </c>
      <c r="H2286" s="3">
        <v>28351.75</v>
      </c>
      <c r="I2286" s="3">
        <v>141758.75</v>
      </c>
    </row>
    <row r="2287" spans="1:9" x14ac:dyDescent="0.3">
      <c r="A2287" s="5" t="s">
        <v>136</v>
      </c>
      <c r="B2287" t="s">
        <v>260</v>
      </c>
      <c r="C2287" t="s">
        <v>263</v>
      </c>
      <c r="D2287" t="s">
        <v>269</v>
      </c>
      <c r="E2287" t="s">
        <v>271</v>
      </c>
      <c r="F2287" t="s">
        <v>285</v>
      </c>
      <c r="G2287" s="7">
        <v>9</v>
      </c>
      <c r="H2287" s="3">
        <v>10119.290000000001</v>
      </c>
      <c r="I2287" s="3">
        <v>91073.61</v>
      </c>
    </row>
    <row r="2288" spans="1:9" x14ac:dyDescent="0.3">
      <c r="A2288" s="5" t="s">
        <v>136</v>
      </c>
      <c r="B2288" t="s">
        <v>253</v>
      </c>
      <c r="C2288" t="s">
        <v>262</v>
      </c>
      <c r="D2288" t="s">
        <v>269</v>
      </c>
      <c r="E2288" t="s">
        <v>273</v>
      </c>
      <c r="F2288" t="s">
        <v>279</v>
      </c>
      <c r="G2288" s="7">
        <v>4</v>
      </c>
      <c r="H2288" s="3">
        <v>52622.720000000001</v>
      </c>
      <c r="I2288" s="3">
        <v>210490.88</v>
      </c>
    </row>
    <row r="2289" spans="1:9" x14ac:dyDescent="0.3">
      <c r="A2289" s="5" t="s">
        <v>136</v>
      </c>
      <c r="B2289" t="s">
        <v>257</v>
      </c>
      <c r="C2289" t="s">
        <v>263</v>
      </c>
      <c r="D2289" t="s">
        <v>270</v>
      </c>
      <c r="E2289" t="s">
        <v>272</v>
      </c>
      <c r="F2289" t="s">
        <v>290</v>
      </c>
      <c r="G2289" s="7">
        <v>8</v>
      </c>
      <c r="H2289" s="3">
        <v>26792.25</v>
      </c>
      <c r="I2289" s="3">
        <v>214338</v>
      </c>
    </row>
    <row r="2290" spans="1:9" x14ac:dyDescent="0.3">
      <c r="A2290" s="5" t="s">
        <v>136</v>
      </c>
      <c r="B2290" t="s">
        <v>257</v>
      </c>
      <c r="C2290" t="s">
        <v>262</v>
      </c>
      <c r="D2290" t="s">
        <v>269</v>
      </c>
      <c r="E2290" t="s">
        <v>272</v>
      </c>
      <c r="F2290" t="s">
        <v>276</v>
      </c>
      <c r="G2290" s="7">
        <v>6</v>
      </c>
      <c r="H2290" s="3">
        <v>26538.85</v>
      </c>
      <c r="I2290" s="3">
        <v>159233.1</v>
      </c>
    </row>
    <row r="2291" spans="1:9" x14ac:dyDescent="0.3">
      <c r="A2291" s="5" t="s">
        <v>136</v>
      </c>
      <c r="B2291" t="s">
        <v>253</v>
      </c>
      <c r="C2291" t="s">
        <v>264</v>
      </c>
      <c r="D2291" t="s">
        <v>269</v>
      </c>
      <c r="E2291" t="s">
        <v>271</v>
      </c>
      <c r="F2291" t="s">
        <v>282</v>
      </c>
      <c r="G2291" s="7">
        <v>3</v>
      </c>
      <c r="H2291" s="3">
        <v>7997.9</v>
      </c>
      <c r="I2291" s="3">
        <v>23993.7</v>
      </c>
    </row>
    <row r="2292" spans="1:9" x14ac:dyDescent="0.3">
      <c r="A2292" s="5" t="s">
        <v>137</v>
      </c>
      <c r="B2292" t="s">
        <v>259</v>
      </c>
      <c r="C2292" t="s">
        <v>264</v>
      </c>
      <c r="D2292" t="s">
        <v>266</v>
      </c>
      <c r="E2292" t="s">
        <v>271</v>
      </c>
      <c r="F2292" t="s">
        <v>281</v>
      </c>
      <c r="G2292" s="7">
        <v>4</v>
      </c>
      <c r="H2292" s="3">
        <v>8378.41</v>
      </c>
      <c r="I2292" s="3">
        <v>33513.64</v>
      </c>
    </row>
    <row r="2293" spans="1:9" x14ac:dyDescent="0.3">
      <c r="A2293" s="5" t="s">
        <v>137</v>
      </c>
      <c r="B2293" t="s">
        <v>257</v>
      </c>
      <c r="C2293" t="s">
        <v>264</v>
      </c>
      <c r="D2293" t="s">
        <v>266</v>
      </c>
      <c r="E2293" t="s">
        <v>272</v>
      </c>
      <c r="F2293" t="s">
        <v>276</v>
      </c>
      <c r="G2293" s="7">
        <v>2</v>
      </c>
      <c r="H2293" s="3">
        <v>29379.83</v>
      </c>
      <c r="I2293" s="3">
        <v>58759.66</v>
      </c>
    </row>
    <row r="2294" spans="1:9" x14ac:dyDescent="0.3">
      <c r="A2294" s="5" t="s">
        <v>137</v>
      </c>
      <c r="B2294" t="s">
        <v>255</v>
      </c>
      <c r="C2294" t="s">
        <v>265</v>
      </c>
      <c r="D2294" t="s">
        <v>270</v>
      </c>
      <c r="E2294" t="s">
        <v>273</v>
      </c>
      <c r="F2294" t="s">
        <v>279</v>
      </c>
      <c r="G2294" s="7">
        <v>1</v>
      </c>
      <c r="H2294" s="3">
        <v>46146.02</v>
      </c>
      <c r="I2294" s="3">
        <v>46146.02</v>
      </c>
    </row>
    <row r="2295" spans="1:9" x14ac:dyDescent="0.3">
      <c r="A2295" s="5" t="s">
        <v>137</v>
      </c>
      <c r="B2295" t="s">
        <v>254</v>
      </c>
      <c r="C2295" t="s">
        <v>263</v>
      </c>
      <c r="D2295" t="s">
        <v>268</v>
      </c>
      <c r="E2295" t="s">
        <v>272</v>
      </c>
      <c r="F2295" t="s">
        <v>290</v>
      </c>
      <c r="G2295" s="7">
        <v>8</v>
      </c>
      <c r="H2295" s="3">
        <v>26244.66</v>
      </c>
      <c r="I2295" s="3">
        <v>209957.28</v>
      </c>
    </row>
    <row r="2296" spans="1:9" x14ac:dyDescent="0.3">
      <c r="A2296" s="5" t="s">
        <v>137</v>
      </c>
      <c r="B2296" t="s">
        <v>260</v>
      </c>
      <c r="C2296" t="s">
        <v>264</v>
      </c>
      <c r="D2296" t="s">
        <v>270</v>
      </c>
      <c r="E2296" t="s">
        <v>271</v>
      </c>
      <c r="F2296" t="s">
        <v>282</v>
      </c>
      <c r="G2296" s="7">
        <v>1</v>
      </c>
      <c r="H2296" s="3">
        <v>7668.53</v>
      </c>
      <c r="I2296" s="3">
        <v>7668.53</v>
      </c>
    </row>
    <row r="2297" spans="1:9" x14ac:dyDescent="0.3">
      <c r="A2297" s="5" t="s">
        <v>137</v>
      </c>
      <c r="B2297" t="s">
        <v>253</v>
      </c>
      <c r="C2297" t="s">
        <v>265</v>
      </c>
      <c r="D2297" t="s">
        <v>270</v>
      </c>
      <c r="E2297" t="s">
        <v>271</v>
      </c>
      <c r="F2297" t="s">
        <v>285</v>
      </c>
      <c r="G2297" s="7">
        <v>1</v>
      </c>
      <c r="H2297" s="3">
        <v>7267.76</v>
      </c>
      <c r="I2297" s="3">
        <v>7267.76</v>
      </c>
    </row>
    <row r="2298" spans="1:9" x14ac:dyDescent="0.3">
      <c r="A2298" s="5" t="s">
        <v>138</v>
      </c>
      <c r="B2298" t="s">
        <v>255</v>
      </c>
      <c r="C2298" t="s">
        <v>263</v>
      </c>
      <c r="D2298" t="s">
        <v>267</v>
      </c>
      <c r="E2298" t="s">
        <v>272</v>
      </c>
      <c r="F2298" t="s">
        <v>286</v>
      </c>
      <c r="G2298" s="7">
        <v>4</v>
      </c>
      <c r="H2298" s="3">
        <v>25524.39</v>
      </c>
      <c r="I2298" s="3">
        <v>102097.56</v>
      </c>
    </row>
    <row r="2299" spans="1:9" x14ac:dyDescent="0.3">
      <c r="A2299" s="5" t="s">
        <v>138</v>
      </c>
      <c r="B2299" t="s">
        <v>253</v>
      </c>
      <c r="C2299" t="s">
        <v>262</v>
      </c>
      <c r="D2299" t="s">
        <v>267</v>
      </c>
      <c r="E2299" t="s">
        <v>273</v>
      </c>
      <c r="F2299" t="s">
        <v>278</v>
      </c>
      <c r="G2299" s="7">
        <v>6</v>
      </c>
      <c r="H2299" s="3">
        <v>50946.41</v>
      </c>
      <c r="I2299" s="3">
        <v>305678.46000000002</v>
      </c>
    </row>
    <row r="2300" spans="1:9" x14ac:dyDescent="0.3">
      <c r="A2300" s="5" t="s">
        <v>138</v>
      </c>
      <c r="B2300" t="s">
        <v>260</v>
      </c>
      <c r="C2300" t="s">
        <v>265</v>
      </c>
      <c r="D2300" t="s">
        <v>270</v>
      </c>
      <c r="E2300" t="s">
        <v>272</v>
      </c>
      <c r="F2300" t="s">
        <v>276</v>
      </c>
      <c r="G2300" s="7">
        <v>9</v>
      </c>
      <c r="H2300" s="3">
        <v>26528.75</v>
      </c>
      <c r="I2300" s="3">
        <v>238758.75</v>
      </c>
    </row>
    <row r="2301" spans="1:9" x14ac:dyDescent="0.3">
      <c r="A2301" s="5" t="s">
        <v>138</v>
      </c>
      <c r="B2301" t="s">
        <v>256</v>
      </c>
      <c r="C2301" t="s">
        <v>261</v>
      </c>
      <c r="D2301" t="s">
        <v>270</v>
      </c>
      <c r="E2301" t="s">
        <v>272</v>
      </c>
      <c r="F2301" t="s">
        <v>290</v>
      </c>
      <c r="G2301" s="7">
        <v>1</v>
      </c>
      <c r="H2301" s="3">
        <v>29048.34</v>
      </c>
      <c r="I2301" s="3">
        <v>29048.34</v>
      </c>
    </row>
    <row r="2302" spans="1:9" x14ac:dyDescent="0.3">
      <c r="A2302" s="5" t="s">
        <v>138</v>
      </c>
      <c r="B2302" t="s">
        <v>260</v>
      </c>
      <c r="C2302" t="s">
        <v>265</v>
      </c>
      <c r="D2302" t="s">
        <v>270</v>
      </c>
      <c r="E2302" t="s">
        <v>271</v>
      </c>
      <c r="F2302" t="s">
        <v>281</v>
      </c>
      <c r="G2302" s="7">
        <v>7</v>
      </c>
      <c r="H2302" s="3">
        <v>9235.42</v>
      </c>
      <c r="I2302" s="3">
        <v>64647.94</v>
      </c>
    </row>
    <row r="2303" spans="1:9" x14ac:dyDescent="0.3">
      <c r="A2303" s="5" t="s">
        <v>138</v>
      </c>
      <c r="B2303" t="s">
        <v>259</v>
      </c>
      <c r="C2303" t="s">
        <v>265</v>
      </c>
      <c r="D2303" t="s">
        <v>269</v>
      </c>
      <c r="E2303" t="s">
        <v>273</v>
      </c>
      <c r="F2303" t="s">
        <v>288</v>
      </c>
      <c r="G2303" s="7">
        <v>5</v>
      </c>
      <c r="H2303" s="3">
        <v>54213.14</v>
      </c>
      <c r="I2303" s="3">
        <v>271065.7</v>
      </c>
    </row>
    <row r="2304" spans="1:9" x14ac:dyDescent="0.3">
      <c r="A2304" s="5" t="s">
        <v>139</v>
      </c>
      <c r="B2304" t="s">
        <v>260</v>
      </c>
      <c r="C2304" t="s">
        <v>263</v>
      </c>
      <c r="D2304" t="s">
        <v>267</v>
      </c>
      <c r="E2304" t="s">
        <v>274</v>
      </c>
      <c r="F2304" t="s">
        <v>289</v>
      </c>
      <c r="G2304" s="7">
        <v>8</v>
      </c>
      <c r="H2304" s="3">
        <v>38577.35</v>
      </c>
      <c r="I2304" s="3">
        <v>308618.8</v>
      </c>
    </row>
    <row r="2305" spans="1:9" x14ac:dyDescent="0.3">
      <c r="A2305" s="5" t="s">
        <v>139</v>
      </c>
      <c r="B2305" t="s">
        <v>260</v>
      </c>
      <c r="C2305" t="s">
        <v>262</v>
      </c>
      <c r="D2305" t="s">
        <v>270</v>
      </c>
      <c r="E2305" t="s">
        <v>273</v>
      </c>
      <c r="F2305" t="s">
        <v>279</v>
      </c>
      <c r="G2305" s="7">
        <v>7</v>
      </c>
      <c r="H2305" s="3">
        <v>51673.21</v>
      </c>
      <c r="I2305" s="3">
        <v>361712.47</v>
      </c>
    </row>
    <row r="2306" spans="1:9" x14ac:dyDescent="0.3">
      <c r="A2306" s="5" t="s">
        <v>139</v>
      </c>
      <c r="B2306" t="s">
        <v>259</v>
      </c>
      <c r="C2306" t="s">
        <v>261</v>
      </c>
      <c r="D2306" t="s">
        <v>266</v>
      </c>
      <c r="E2306" t="s">
        <v>272</v>
      </c>
      <c r="F2306" t="s">
        <v>286</v>
      </c>
      <c r="G2306" s="7">
        <v>4</v>
      </c>
      <c r="H2306" s="3">
        <v>24193.759999999998</v>
      </c>
      <c r="I2306" s="3">
        <v>96775.039999999994</v>
      </c>
    </row>
    <row r="2307" spans="1:9" x14ac:dyDescent="0.3">
      <c r="A2307" s="5" t="s">
        <v>139</v>
      </c>
      <c r="B2307" t="s">
        <v>254</v>
      </c>
      <c r="C2307" t="s">
        <v>264</v>
      </c>
      <c r="D2307" t="s">
        <v>266</v>
      </c>
      <c r="E2307" t="s">
        <v>272</v>
      </c>
      <c r="F2307" t="s">
        <v>277</v>
      </c>
      <c r="G2307" s="7">
        <v>4</v>
      </c>
      <c r="H2307" s="3">
        <v>30240.79</v>
      </c>
      <c r="I2307" s="3">
        <v>120963.16</v>
      </c>
    </row>
    <row r="2308" spans="1:9" x14ac:dyDescent="0.3">
      <c r="A2308" s="5" t="s">
        <v>139</v>
      </c>
      <c r="B2308" t="s">
        <v>257</v>
      </c>
      <c r="C2308" t="s">
        <v>264</v>
      </c>
      <c r="D2308" t="s">
        <v>269</v>
      </c>
      <c r="E2308" t="s">
        <v>272</v>
      </c>
      <c r="F2308" t="s">
        <v>290</v>
      </c>
      <c r="G2308" s="7">
        <v>6</v>
      </c>
      <c r="H2308" s="3">
        <v>32609.73</v>
      </c>
      <c r="I2308" s="3">
        <v>195658.38</v>
      </c>
    </row>
    <row r="2309" spans="1:9" x14ac:dyDescent="0.3">
      <c r="A2309" s="5" t="s">
        <v>139</v>
      </c>
      <c r="B2309" t="s">
        <v>260</v>
      </c>
      <c r="C2309" t="s">
        <v>265</v>
      </c>
      <c r="D2309" t="s">
        <v>269</v>
      </c>
      <c r="E2309" t="s">
        <v>273</v>
      </c>
      <c r="F2309" t="s">
        <v>279</v>
      </c>
      <c r="G2309" s="7">
        <v>6</v>
      </c>
      <c r="H2309" s="3">
        <v>38561.18</v>
      </c>
      <c r="I2309" s="3">
        <v>231367.08</v>
      </c>
    </row>
    <row r="2310" spans="1:9" x14ac:dyDescent="0.3">
      <c r="A2310" s="5" t="s">
        <v>139</v>
      </c>
      <c r="B2310" t="s">
        <v>259</v>
      </c>
      <c r="C2310" t="s">
        <v>263</v>
      </c>
      <c r="D2310" t="s">
        <v>268</v>
      </c>
      <c r="E2310" t="s">
        <v>271</v>
      </c>
      <c r="F2310" t="s">
        <v>281</v>
      </c>
      <c r="G2310" s="7">
        <v>9</v>
      </c>
      <c r="H2310" s="3">
        <v>9093.93</v>
      </c>
      <c r="I2310" s="3">
        <v>81845.37</v>
      </c>
    </row>
    <row r="2311" spans="1:9" x14ac:dyDescent="0.3">
      <c r="A2311" s="5" t="s">
        <v>140</v>
      </c>
      <c r="B2311" t="s">
        <v>255</v>
      </c>
      <c r="C2311" t="s">
        <v>263</v>
      </c>
      <c r="D2311" t="s">
        <v>268</v>
      </c>
      <c r="E2311" t="s">
        <v>272</v>
      </c>
      <c r="F2311" t="s">
        <v>286</v>
      </c>
      <c r="G2311" s="7">
        <v>5</v>
      </c>
      <c r="H2311" s="3">
        <v>33406.959999999999</v>
      </c>
      <c r="I2311" s="3">
        <v>167034.79999999999</v>
      </c>
    </row>
    <row r="2312" spans="1:9" x14ac:dyDescent="0.3">
      <c r="A2312" s="5" t="s">
        <v>140</v>
      </c>
      <c r="B2312" t="s">
        <v>256</v>
      </c>
      <c r="C2312" t="s">
        <v>264</v>
      </c>
      <c r="D2312" t="s">
        <v>268</v>
      </c>
      <c r="E2312" t="s">
        <v>272</v>
      </c>
      <c r="F2312" t="s">
        <v>286</v>
      </c>
      <c r="G2312" s="7">
        <v>8</v>
      </c>
      <c r="H2312" s="3">
        <v>29109.94</v>
      </c>
      <c r="I2312" s="3">
        <v>232879.52</v>
      </c>
    </row>
    <row r="2313" spans="1:9" x14ac:dyDescent="0.3">
      <c r="A2313" s="5" t="s">
        <v>140</v>
      </c>
      <c r="B2313" t="s">
        <v>256</v>
      </c>
      <c r="C2313" t="s">
        <v>261</v>
      </c>
      <c r="D2313" t="s">
        <v>269</v>
      </c>
      <c r="E2313" t="s">
        <v>273</v>
      </c>
      <c r="F2313" t="s">
        <v>283</v>
      </c>
      <c r="G2313" s="7">
        <v>5</v>
      </c>
      <c r="H2313" s="3">
        <v>38323.910000000003</v>
      </c>
      <c r="I2313" s="3">
        <v>191619.55</v>
      </c>
    </row>
    <row r="2314" spans="1:9" x14ac:dyDescent="0.3">
      <c r="A2314" s="5" t="s">
        <v>140</v>
      </c>
      <c r="B2314" t="s">
        <v>260</v>
      </c>
      <c r="C2314" t="s">
        <v>262</v>
      </c>
      <c r="D2314" t="s">
        <v>269</v>
      </c>
      <c r="E2314" t="s">
        <v>274</v>
      </c>
      <c r="F2314" t="s">
        <v>284</v>
      </c>
      <c r="G2314" s="7">
        <v>2</v>
      </c>
      <c r="H2314" s="3">
        <v>27340.97</v>
      </c>
      <c r="I2314" s="3">
        <v>54681.94</v>
      </c>
    </row>
    <row r="2315" spans="1:9" x14ac:dyDescent="0.3">
      <c r="A2315" s="5" t="s">
        <v>140</v>
      </c>
      <c r="B2315" t="s">
        <v>254</v>
      </c>
      <c r="C2315" t="s">
        <v>261</v>
      </c>
      <c r="D2315" t="s">
        <v>269</v>
      </c>
      <c r="E2315" t="s">
        <v>274</v>
      </c>
      <c r="F2315" t="s">
        <v>284</v>
      </c>
      <c r="G2315" s="7">
        <v>6</v>
      </c>
      <c r="H2315" s="3">
        <v>32532.94</v>
      </c>
      <c r="I2315" s="3">
        <v>195197.64</v>
      </c>
    </row>
    <row r="2316" spans="1:9" x14ac:dyDescent="0.3">
      <c r="A2316" s="5" t="s">
        <v>140</v>
      </c>
      <c r="B2316" t="s">
        <v>254</v>
      </c>
      <c r="C2316" t="s">
        <v>262</v>
      </c>
      <c r="D2316" t="s">
        <v>266</v>
      </c>
      <c r="E2316" t="s">
        <v>271</v>
      </c>
      <c r="F2316" t="s">
        <v>275</v>
      </c>
      <c r="G2316" s="7">
        <v>9</v>
      </c>
      <c r="H2316" s="3">
        <v>7752.03</v>
      </c>
      <c r="I2316" s="3">
        <v>69768.27</v>
      </c>
    </row>
    <row r="2317" spans="1:9" x14ac:dyDescent="0.3">
      <c r="A2317" s="5" t="s">
        <v>141</v>
      </c>
      <c r="B2317" t="s">
        <v>255</v>
      </c>
      <c r="C2317" t="s">
        <v>264</v>
      </c>
      <c r="D2317" t="s">
        <v>269</v>
      </c>
      <c r="E2317" t="s">
        <v>271</v>
      </c>
      <c r="F2317" t="s">
        <v>282</v>
      </c>
      <c r="G2317" s="7">
        <v>3</v>
      </c>
      <c r="H2317" s="3">
        <v>9484.1299999999992</v>
      </c>
      <c r="I2317" s="3">
        <v>28452.39</v>
      </c>
    </row>
    <row r="2318" spans="1:9" x14ac:dyDescent="0.3">
      <c r="A2318" s="5" t="s">
        <v>141</v>
      </c>
      <c r="B2318" t="s">
        <v>260</v>
      </c>
      <c r="C2318" t="s">
        <v>262</v>
      </c>
      <c r="D2318" t="s">
        <v>266</v>
      </c>
      <c r="E2318" t="s">
        <v>272</v>
      </c>
      <c r="F2318" t="s">
        <v>277</v>
      </c>
      <c r="G2318" s="7">
        <v>1</v>
      </c>
      <c r="H2318" s="3">
        <v>31738.55</v>
      </c>
      <c r="I2318" s="3">
        <v>31738.55</v>
      </c>
    </row>
    <row r="2319" spans="1:9" x14ac:dyDescent="0.3">
      <c r="A2319" s="5" t="s">
        <v>141</v>
      </c>
      <c r="B2319" t="s">
        <v>256</v>
      </c>
      <c r="C2319" t="s">
        <v>263</v>
      </c>
      <c r="D2319" t="s">
        <v>268</v>
      </c>
      <c r="E2319" t="s">
        <v>273</v>
      </c>
      <c r="F2319" t="s">
        <v>278</v>
      </c>
      <c r="G2319" s="7">
        <v>1</v>
      </c>
      <c r="H2319" s="3">
        <v>41451.839999999997</v>
      </c>
      <c r="I2319" s="3">
        <v>41451.839999999997</v>
      </c>
    </row>
    <row r="2320" spans="1:9" x14ac:dyDescent="0.3">
      <c r="A2320" s="5" t="s">
        <v>141</v>
      </c>
      <c r="B2320" t="s">
        <v>254</v>
      </c>
      <c r="C2320" t="s">
        <v>265</v>
      </c>
      <c r="D2320" t="s">
        <v>268</v>
      </c>
      <c r="E2320" t="s">
        <v>272</v>
      </c>
      <c r="F2320" t="s">
        <v>276</v>
      </c>
      <c r="G2320" s="7">
        <v>3</v>
      </c>
      <c r="H2320" s="3">
        <v>33751.57</v>
      </c>
      <c r="I2320" s="3">
        <v>101254.71</v>
      </c>
    </row>
    <row r="2321" spans="1:9" x14ac:dyDescent="0.3">
      <c r="A2321" s="5" t="s">
        <v>141</v>
      </c>
      <c r="B2321" t="s">
        <v>260</v>
      </c>
      <c r="C2321" t="s">
        <v>265</v>
      </c>
      <c r="D2321" t="s">
        <v>268</v>
      </c>
      <c r="E2321" t="s">
        <v>271</v>
      </c>
      <c r="F2321" t="s">
        <v>282</v>
      </c>
      <c r="G2321" s="7">
        <v>5</v>
      </c>
      <c r="H2321" s="3">
        <v>8727.49</v>
      </c>
      <c r="I2321" s="3">
        <v>43637.45</v>
      </c>
    </row>
    <row r="2322" spans="1:9" x14ac:dyDescent="0.3">
      <c r="A2322" s="5" t="s">
        <v>141</v>
      </c>
      <c r="B2322" t="s">
        <v>253</v>
      </c>
      <c r="C2322" t="s">
        <v>264</v>
      </c>
      <c r="D2322" t="s">
        <v>270</v>
      </c>
      <c r="E2322" t="s">
        <v>273</v>
      </c>
      <c r="F2322" t="s">
        <v>288</v>
      </c>
      <c r="G2322" s="7">
        <v>3</v>
      </c>
      <c r="H2322" s="3">
        <v>40821.230000000003</v>
      </c>
      <c r="I2322" s="3">
        <v>122463.69</v>
      </c>
    </row>
    <row r="2323" spans="1:9" x14ac:dyDescent="0.3">
      <c r="A2323" s="5" t="s">
        <v>142</v>
      </c>
      <c r="B2323" t="s">
        <v>254</v>
      </c>
      <c r="C2323" t="s">
        <v>263</v>
      </c>
      <c r="D2323" t="s">
        <v>270</v>
      </c>
      <c r="E2323" t="s">
        <v>273</v>
      </c>
      <c r="F2323" t="s">
        <v>279</v>
      </c>
      <c r="G2323" s="7">
        <v>9</v>
      </c>
      <c r="H2323" s="3">
        <v>52006.53</v>
      </c>
      <c r="I2323" s="3">
        <v>468058.77</v>
      </c>
    </row>
    <row r="2324" spans="1:9" x14ac:dyDescent="0.3">
      <c r="A2324" s="5" t="s">
        <v>142</v>
      </c>
      <c r="B2324" t="s">
        <v>259</v>
      </c>
      <c r="C2324" t="s">
        <v>261</v>
      </c>
      <c r="D2324" t="s">
        <v>267</v>
      </c>
      <c r="E2324" t="s">
        <v>271</v>
      </c>
      <c r="F2324" t="s">
        <v>275</v>
      </c>
      <c r="G2324" s="7">
        <v>8</v>
      </c>
      <c r="H2324" s="3">
        <v>9910.91</v>
      </c>
      <c r="I2324" s="3">
        <v>79287.28</v>
      </c>
    </row>
    <row r="2325" spans="1:9" x14ac:dyDescent="0.3">
      <c r="A2325" s="5" t="s">
        <v>142</v>
      </c>
      <c r="B2325" t="s">
        <v>253</v>
      </c>
      <c r="C2325" t="s">
        <v>263</v>
      </c>
      <c r="D2325" t="s">
        <v>267</v>
      </c>
      <c r="E2325" t="s">
        <v>274</v>
      </c>
      <c r="F2325" t="s">
        <v>284</v>
      </c>
      <c r="G2325" s="7">
        <v>3</v>
      </c>
      <c r="H2325" s="3">
        <v>35382.980000000003</v>
      </c>
      <c r="I2325" s="3">
        <v>106148.94</v>
      </c>
    </row>
    <row r="2326" spans="1:9" x14ac:dyDescent="0.3">
      <c r="A2326" s="5" t="s">
        <v>142</v>
      </c>
      <c r="B2326" t="s">
        <v>257</v>
      </c>
      <c r="C2326" t="s">
        <v>265</v>
      </c>
      <c r="D2326" t="s">
        <v>267</v>
      </c>
      <c r="E2326" t="s">
        <v>274</v>
      </c>
      <c r="F2326" t="s">
        <v>280</v>
      </c>
      <c r="G2326" s="7">
        <v>9</v>
      </c>
      <c r="H2326" s="3">
        <v>38124.36</v>
      </c>
      <c r="I2326" s="3">
        <v>343119.24</v>
      </c>
    </row>
    <row r="2327" spans="1:9" x14ac:dyDescent="0.3">
      <c r="A2327" s="5" t="s">
        <v>142</v>
      </c>
      <c r="B2327" t="s">
        <v>254</v>
      </c>
      <c r="C2327" t="s">
        <v>265</v>
      </c>
      <c r="D2327" t="s">
        <v>270</v>
      </c>
      <c r="E2327" t="s">
        <v>273</v>
      </c>
      <c r="F2327" t="s">
        <v>288</v>
      </c>
      <c r="G2327" s="7">
        <v>6</v>
      </c>
      <c r="H2327" s="3">
        <v>51522.71</v>
      </c>
      <c r="I2327" s="3">
        <v>309136.26</v>
      </c>
    </row>
    <row r="2328" spans="1:9" x14ac:dyDescent="0.3">
      <c r="A2328" s="5" t="s">
        <v>142</v>
      </c>
      <c r="B2328" t="s">
        <v>256</v>
      </c>
      <c r="C2328" t="s">
        <v>263</v>
      </c>
      <c r="D2328" t="s">
        <v>270</v>
      </c>
      <c r="E2328" t="s">
        <v>272</v>
      </c>
      <c r="F2328" t="s">
        <v>277</v>
      </c>
      <c r="G2328" s="7">
        <v>7</v>
      </c>
      <c r="H2328" s="3">
        <v>33680.699999999997</v>
      </c>
      <c r="I2328" s="3">
        <v>235764.9</v>
      </c>
    </row>
    <row r="2329" spans="1:9" x14ac:dyDescent="0.3">
      <c r="A2329" s="5" t="s">
        <v>143</v>
      </c>
      <c r="B2329" t="s">
        <v>258</v>
      </c>
      <c r="C2329" t="s">
        <v>263</v>
      </c>
      <c r="D2329" t="s">
        <v>267</v>
      </c>
      <c r="E2329" t="s">
        <v>274</v>
      </c>
      <c r="F2329" t="s">
        <v>289</v>
      </c>
      <c r="G2329" s="7">
        <v>4</v>
      </c>
      <c r="H2329" s="3">
        <v>32753.77</v>
      </c>
      <c r="I2329" s="3">
        <v>131015.08</v>
      </c>
    </row>
    <row r="2330" spans="1:9" x14ac:dyDescent="0.3">
      <c r="A2330" s="5" t="s">
        <v>143</v>
      </c>
      <c r="B2330" t="s">
        <v>253</v>
      </c>
      <c r="C2330" t="s">
        <v>265</v>
      </c>
      <c r="D2330" t="s">
        <v>267</v>
      </c>
      <c r="E2330" t="s">
        <v>272</v>
      </c>
      <c r="F2330" t="s">
        <v>286</v>
      </c>
      <c r="G2330" s="7">
        <v>4</v>
      </c>
      <c r="H2330" s="3">
        <v>32173.09</v>
      </c>
      <c r="I2330" s="3">
        <v>128692.36</v>
      </c>
    </row>
    <row r="2331" spans="1:9" x14ac:dyDescent="0.3">
      <c r="A2331" s="5" t="s">
        <v>143</v>
      </c>
      <c r="B2331" t="s">
        <v>257</v>
      </c>
      <c r="C2331" t="s">
        <v>261</v>
      </c>
      <c r="D2331" t="s">
        <v>269</v>
      </c>
      <c r="E2331" t="s">
        <v>274</v>
      </c>
      <c r="F2331" t="s">
        <v>280</v>
      </c>
      <c r="G2331" s="7">
        <v>2</v>
      </c>
      <c r="H2331" s="3">
        <v>39996.82</v>
      </c>
      <c r="I2331" s="3">
        <v>79993.64</v>
      </c>
    </row>
    <row r="2332" spans="1:9" x14ac:dyDescent="0.3">
      <c r="A2332" s="5" t="s">
        <v>143</v>
      </c>
      <c r="B2332" t="s">
        <v>255</v>
      </c>
      <c r="C2332" t="s">
        <v>264</v>
      </c>
      <c r="D2332" t="s">
        <v>267</v>
      </c>
      <c r="E2332" t="s">
        <v>274</v>
      </c>
      <c r="F2332" t="s">
        <v>287</v>
      </c>
      <c r="G2332" s="7">
        <v>5</v>
      </c>
      <c r="H2332" s="3">
        <v>36479.120000000003</v>
      </c>
      <c r="I2332" s="3">
        <v>182395.6</v>
      </c>
    </row>
    <row r="2333" spans="1:9" x14ac:dyDescent="0.3">
      <c r="A2333" s="5" t="s">
        <v>143</v>
      </c>
      <c r="B2333" t="s">
        <v>255</v>
      </c>
      <c r="C2333" t="s">
        <v>264</v>
      </c>
      <c r="D2333" t="s">
        <v>269</v>
      </c>
      <c r="E2333" t="s">
        <v>272</v>
      </c>
      <c r="F2333" t="s">
        <v>290</v>
      </c>
      <c r="G2333" s="7">
        <v>8</v>
      </c>
      <c r="H2333" s="3">
        <v>25078.86</v>
      </c>
      <c r="I2333" s="3">
        <v>200630.88</v>
      </c>
    </row>
    <row r="2334" spans="1:9" x14ac:dyDescent="0.3">
      <c r="A2334" s="5" t="s">
        <v>143</v>
      </c>
      <c r="B2334" t="s">
        <v>256</v>
      </c>
      <c r="C2334" t="s">
        <v>263</v>
      </c>
      <c r="D2334" t="s">
        <v>266</v>
      </c>
      <c r="E2334" t="s">
        <v>271</v>
      </c>
      <c r="F2334" t="s">
        <v>282</v>
      </c>
      <c r="G2334" s="7">
        <v>7</v>
      </c>
      <c r="H2334" s="3">
        <v>8987.2800000000007</v>
      </c>
      <c r="I2334" s="3">
        <v>62910.96</v>
      </c>
    </row>
    <row r="2335" spans="1:9" x14ac:dyDescent="0.3">
      <c r="A2335" s="5" t="s">
        <v>144</v>
      </c>
      <c r="B2335" t="s">
        <v>254</v>
      </c>
      <c r="C2335" t="s">
        <v>264</v>
      </c>
      <c r="D2335" t="s">
        <v>270</v>
      </c>
      <c r="E2335" t="s">
        <v>274</v>
      </c>
      <c r="F2335" t="s">
        <v>287</v>
      </c>
      <c r="G2335" s="7">
        <v>7</v>
      </c>
      <c r="H2335" s="3">
        <v>34718.050000000003</v>
      </c>
      <c r="I2335" s="3">
        <v>243026.35</v>
      </c>
    </row>
    <row r="2336" spans="1:9" x14ac:dyDescent="0.3">
      <c r="A2336" s="5" t="s">
        <v>144</v>
      </c>
      <c r="B2336" t="s">
        <v>260</v>
      </c>
      <c r="C2336" t="s">
        <v>265</v>
      </c>
      <c r="D2336" t="s">
        <v>267</v>
      </c>
      <c r="E2336" t="s">
        <v>274</v>
      </c>
      <c r="F2336" t="s">
        <v>289</v>
      </c>
      <c r="G2336" s="7">
        <v>6</v>
      </c>
      <c r="H2336" s="3">
        <v>29429.9</v>
      </c>
      <c r="I2336" s="3">
        <v>176579.4</v>
      </c>
    </row>
    <row r="2337" spans="1:9" x14ac:dyDescent="0.3">
      <c r="A2337" s="5" t="s">
        <v>144</v>
      </c>
      <c r="B2337" t="s">
        <v>254</v>
      </c>
      <c r="C2337" t="s">
        <v>265</v>
      </c>
      <c r="D2337" t="s">
        <v>270</v>
      </c>
      <c r="E2337" t="s">
        <v>272</v>
      </c>
      <c r="F2337" t="s">
        <v>290</v>
      </c>
      <c r="G2337" s="7">
        <v>3</v>
      </c>
      <c r="H2337" s="3">
        <v>34584.39</v>
      </c>
      <c r="I2337" s="3">
        <v>103753.17</v>
      </c>
    </row>
    <row r="2338" spans="1:9" x14ac:dyDescent="0.3">
      <c r="A2338" s="5" t="s">
        <v>144</v>
      </c>
      <c r="B2338" t="s">
        <v>256</v>
      </c>
      <c r="C2338" t="s">
        <v>263</v>
      </c>
      <c r="D2338" t="s">
        <v>270</v>
      </c>
      <c r="E2338" t="s">
        <v>271</v>
      </c>
      <c r="F2338" t="s">
        <v>282</v>
      </c>
      <c r="G2338" s="7">
        <v>5</v>
      </c>
      <c r="H2338" s="3">
        <v>7821.97</v>
      </c>
      <c r="I2338" s="3">
        <v>39109.85</v>
      </c>
    </row>
    <row r="2339" spans="1:9" x14ac:dyDescent="0.3">
      <c r="A2339" s="5" t="s">
        <v>144</v>
      </c>
      <c r="B2339" t="s">
        <v>255</v>
      </c>
      <c r="C2339" t="s">
        <v>263</v>
      </c>
      <c r="D2339" t="s">
        <v>270</v>
      </c>
      <c r="E2339" t="s">
        <v>274</v>
      </c>
      <c r="F2339" t="s">
        <v>284</v>
      </c>
      <c r="G2339" s="7">
        <v>1</v>
      </c>
      <c r="H2339" s="3">
        <v>29472.74</v>
      </c>
      <c r="I2339" s="3">
        <v>29472.74</v>
      </c>
    </row>
    <row r="2340" spans="1:9" x14ac:dyDescent="0.3">
      <c r="A2340" s="5" t="s">
        <v>144</v>
      </c>
      <c r="B2340" t="s">
        <v>254</v>
      </c>
      <c r="C2340" t="s">
        <v>263</v>
      </c>
      <c r="D2340" t="s">
        <v>266</v>
      </c>
      <c r="E2340" t="s">
        <v>274</v>
      </c>
      <c r="F2340" t="s">
        <v>284</v>
      </c>
      <c r="G2340" s="7">
        <v>7</v>
      </c>
      <c r="H2340" s="3">
        <v>38914.14</v>
      </c>
      <c r="I2340" s="3">
        <v>272398.98</v>
      </c>
    </row>
    <row r="2341" spans="1:9" x14ac:dyDescent="0.3">
      <c r="A2341" s="5" t="s">
        <v>145</v>
      </c>
      <c r="B2341" t="s">
        <v>255</v>
      </c>
      <c r="C2341" t="s">
        <v>261</v>
      </c>
      <c r="D2341" t="s">
        <v>268</v>
      </c>
      <c r="E2341" t="s">
        <v>271</v>
      </c>
      <c r="F2341" t="s">
        <v>282</v>
      </c>
      <c r="G2341" s="7">
        <v>9</v>
      </c>
      <c r="H2341" s="3">
        <v>8806.7000000000007</v>
      </c>
      <c r="I2341" s="3">
        <v>79260.3</v>
      </c>
    </row>
    <row r="2342" spans="1:9" x14ac:dyDescent="0.3">
      <c r="A2342" s="5" t="s">
        <v>145</v>
      </c>
      <c r="B2342" t="s">
        <v>253</v>
      </c>
      <c r="C2342" t="s">
        <v>264</v>
      </c>
      <c r="D2342" t="s">
        <v>267</v>
      </c>
      <c r="E2342" t="s">
        <v>274</v>
      </c>
      <c r="F2342" t="s">
        <v>289</v>
      </c>
      <c r="G2342" s="7">
        <v>1</v>
      </c>
      <c r="H2342" s="3">
        <v>28008.81</v>
      </c>
      <c r="I2342" s="3">
        <v>28008.81</v>
      </c>
    </row>
    <row r="2343" spans="1:9" x14ac:dyDescent="0.3">
      <c r="A2343" s="5" t="s">
        <v>145</v>
      </c>
      <c r="B2343" t="s">
        <v>257</v>
      </c>
      <c r="C2343" t="s">
        <v>263</v>
      </c>
      <c r="D2343" t="s">
        <v>268</v>
      </c>
      <c r="E2343" t="s">
        <v>271</v>
      </c>
      <c r="F2343" t="s">
        <v>285</v>
      </c>
      <c r="G2343" s="7">
        <v>2</v>
      </c>
      <c r="H2343" s="3">
        <v>9258.84</v>
      </c>
      <c r="I2343" s="3">
        <v>18517.68</v>
      </c>
    </row>
    <row r="2344" spans="1:9" x14ac:dyDescent="0.3">
      <c r="A2344" s="5" t="s">
        <v>145</v>
      </c>
      <c r="B2344" t="s">
        <v>260</v>
      </c>
      <c r="C2344" t="s">
        <v>262</v>
      </c>
      <c r="D2344" t="s">
        <v>268</v>
      </c>
      <c r="E2344" t="s">
        <v>271</v>
      </c>
      <c r="F2344" t="s">
        <v>275</v>
      </c>
      <c r="G2344" s="7">
        <v>3</v>
      </c>
      <c r="H2344" s="3">
        <v>9271.2099999999991</v>
      </c>
      <c r="I2344" s="3">
        <v>27813.63</v>
      </c>
    </row>
    <row r="2345" spans="1:9" x14ac:dyDescent="0.3">
      <c r="A2345" s="5" t="s">
        <v>145</v>
      </c>
      <c r="B2345" t="s">
        <v>253</v>
      </c>
      <c r="C2345" t="s">
        <v>262</v>
      </c>
      <c r="D2345" t="s">
        <v>268</v>
      </c>
      <c r="E2345" t="s">
        <v>272</v>
      </c>
      <c r="F2345" t="s">
        <v>277</v>
      </c>
      <c r="G2345" s="7">
        <v>3</v>
      </c>
      <c r="H2345" s="3">
        <v>24522.41</v>
      </c>
      <c r="I2345" s="3">
        <v>73567.23</v>
      </c>
    </row>
    <row r="2346" spans="1:9" x14ac:dyDescent="0.3">
      <c r="A2346" s="5" t="s">
        <v>145</v>
      </c>
      <c r="B2346" t="s">
        <v>255</v>
      </c>
      <c r="C2346" t="s">
        <v>265</v>
      </c>
      <c r="D2346" t="s">
        <v>270</v>
      </c>
      <c r="E2346" t="s">
        <v>273</v>
      </c>
      <c r="F2346" t="s">
        <v>278</v>
      </c>
      <c r="G2346" s="7">
        <v>8</v>
      </c>
      <c r="H2346" s="3">
        <v>55755.4</v>
      </c>
      <c r="I2346" s="3">
        <v>446043.2</v>
      </c>
    </row>
    <row r="2347" spans="1:9" x14ac:dyDescent="0.3">
      <c r="A2347" s="5" t="s">
        <v>145</v>
      </c>
      <c r="B2347" t="s">
        <v>255</v>
      </c>
      <c r="C2347" t="s">
        <v>264</v>
      </c>
      <c r="D2347" t="s">
        <v>269</v>
      </c>
      <c r="E2347" t="s">
        <v>271</v>
      </c>
      <c r="F2347" t="s">
        <v>282</v>
      </c>
      <c r="G2347" s="7">
        <v>7</v>
      </c>
      <c r="H2347" s="3">
        <v>9074.7000000000007</v>
      </c>
      <c r="I2347" s="3">
        <v>63522.9</v>
      </c>
    </row>
    <row r="2348" spans="1:9" x14ac:dyDescent="0.3">
      <c r="A2348" s="5" t="s">
        <v>146</v>
      </c>
      <c r="B2348" t="s">
        <v>258</v>
      </c>
      <c r="C2348" t="s">
        <v>263</v>
      </c>
      <c r="D2348" t="s">
        <v>270</v>
      </c>
      <c r="E2348" t="s">
        <v>272</v>
      </c>
      <c r="F2348" t="s">
        <v>286</v>
      </c>
      <c r="G2348" s="7">
        <v>6</v>
      </c>
      <c r="H2348" s="3">
        <v>30069.71</v>
      </c>
      <c r="I2348" s="3">
        <v>180418.26</v>
      </c>
    </row>
    <row r="2349" spans="1:9" x14ac:dyDescent="0.3">
      <c r="A2349" s="5" t="s">
        <v>146</v>
      </c>
      <c r="B2349" t="s">
        <v>258</v>
      </c>
      <c r="C2349" t="s">
        <v>262</v>
      </c>
      <c r="D2349" t="s">
        <v>270</v>
      </c>
      <c r="E2349" t="s">
        <v>273</v>
      </c>
      <c r="F2349" t="s">
        <v>279</v>
      </c>
      <c r="G2349" s="7">
        <v>4</v>
      </c>
      <c r="H2349" s="3">
        <v>47612.08</v>
      </c>
      <c r="I2349" s="3">
        <v>190448.32</v>
      </c>
    </row>
    <row r="2350" spans="1:9" x14ac:dyDescent="0.3">
      <c r="A2350" s="5" t="s">
        <v>146</v>
      </c>
      <c r="B2350" t="s">
        <v>253</v>
      </c>
      <c r="C2350" t="s">
        <v>264</v>
      </c>
      <c r="D2350" t="s">
        <v>268</v>
      </c>
      <c r="E2350" t="s">
        <v>274</v>
      </c>
      <c r="F2350" t="s">
        <v>280</v>
      </c>
      <c r="G2350" s="7">
        <v>9</v>
      </c>
      <c r="H2350" s="3">
        <v>35017.370000000003</v>
      </c>
      <c r="I2350" s="3">
        <v>315156.33</v>
      </c>
    </row>
    <row r="2351" spans="1:9" x14ac:dyDescent="0.3">
      <c r="A2351" s="5" t="s">
        <v>146</v>
      </c>
      <c r="B2351" t="s">
        <v>259</v>
      </c>
      <c r="C2351" t="s">
        <v>265</v>
      </c>
      <c r="D2351" t="s">
        <v>270</v>
      </c>
      <c r="E2351" t="s">
        <v>273</v>
      </c>
      <c r="F2351" t="s">
        <v>278</v>
      </c>
      <c r="G2351" s="7">
        <v>1</v>
      </c>
      <c r="H2351" s="3">
        <v>43007.4</v>
      </c>
      <c r="I2351" s="3">
        <v>43007.4</v>
      </c>
    </row>
    <row r="2352" spans="1:9" x14ac:dyDescent="0.3">
      <c r="A2352" s="5" t="s">
        <v>146</v>
      </c>
      <c r="B2352" t="s">
        <v>253</v>
      </c>
      <c r="C2352" t="s">
        <v>261</v>
      </c>
      <c r="D2352" t="s">
        <v>268</v>
      </c>
      <c r="E2352" t="s">
        <v>271</v>
      </c>
      <c r="F2352" t="s">
        <v>285</v>
      </c>
      <c r="G2352" s="7">
        <v>2</v>
      </c>
      <c r="H2352" s="3">
        <v>8201.6200000000008</v>
      </c>
      <c r="I2352" s="3">
        <v>16403.240000000002</v>
      </c>
    </row>
    <row r="2353" spans="1:9" x14ac:dyDescent="0.3">
      <c r="A2353" s="5" t="s">
        <v>146</v>
      </c>
      <c r="B2353" t="s">
        <v>258</v>
      </c>
      <c r="C2353" t="s">
        <v>264</v>
      </c>
      <c r="D2353" t="s">
        <v>269</v>
      </c>
      <c r="E2353" t="s">
        <v>271</v>
      </c>
      <c r="F2353" t="s">
        <v>281</v>
      </c>
      <c r="G2353" s="7">
        <v>4</v>
      </c>
      <c r="H2353" s="3">
        <v>8963.5499999999993</v>
      </c>
      <c r="I2353" s="3">
        <v>35854.199999999997</v>
      </c>
    </row>
    <row r="2354" spans="1:9" x14ac:dyDescent="0.3">
      <c r="A2354" s="5" t="s">
        <v>147</v>
      </c>
      <c r="B2354" t="s">
        <v>255</v>
      </c>
      <c r="C2354" t="s">
        <v>264</v>
      </c>
      <c r="D2354" t="s">
        <v>267</v>
      </c>
      <c r="E2354" t="s">
        <v>271</v>
      </c>
      <c r="F2354" t="s">
        <v>285</v>
      </c>
      <c r="G2354" s="7">
        <v>3</v>
      </c>
      <c r="H2354" s="3">
        <v>9967.73</v>
      </c>
      <c r="I2354" s="3">
        <v>29903.19</v>
      </c>
    </row>
    <row r="2355" spans="1:9" x14ac:dyDescent="0.3">
      <c r="A2355" s="5" t="s">
        <v>147</v>
      </c>
      <c r="B2355" t="s">
        <v>256</v>
      </c>
      <c r="C2355" t="s">
        <v>261</v>
      </c>
      <c r="D2355" t="s">
        <v>268</v>
      </c>
      <c r="E2355" t="s">
        <v>271</v>
      </c>
      <c r="F2355" t="s">
        <v>281</v>
      </c>
      <c r="G2355" s="7">
        <v>1</v>
      </c>
      <c r="H2355" s="3">
        <v>7394.54</v>
      </c>
      <c r="I2355" s="3">
        <v>7394.54</v>
      </c>
    </row>
    <row r="2356" spans="1:9" x14ac:dyDescent="0.3">
      <c r="A2356" s="5" t="s">
        <v>147</v>
      </c>
      <c r="B2356" t="s">
        <v>253</v>
      </c>
      <c r="C2356" t="s">
        <v>264</v>
      </c>
      <c r="D2356" t="s">
        <v>269</v>
      </c>
      <c r="E2356" t="s">
        <v>271</v>
      </c>
      <c r="F2356" t="s">
        <v>282</v>
      </c>
      <c r="G2356" s="7">
        <v>5</v>
      </c>
      <c r="H2356" s="3">
        <v>9276.57</v>
      </c>
      <c r="I2356" s="3">
        <v>46382.85</v>
      </c>
    </row>
    <row r="2357" spans="1:9" x14ac:dyDescent="0.3">
      <c r="A2357" s="5" t="s">
        <v>147</v>
      </c>
      <c r="B2357" t="s">
        <v>255</v>
      </c>
      <c r="C2357" t="s">
        <v>265</v>
      </c>
      <c r="D2357" t="s">
        <v>267</v>
      </c>
      <c r="E2357" t="s">
        <v>272</v>
      </c>
      <c r="F2357" t="s">
        <v>277</v>
      </c>
      <c r="G2357" s="7">
        <v>7</v>
      </c>
      <c r="H2357" s="3">
        <v>32835.919999999998</v>
      </c>
      <c r="I2357" s="3">
        <v>229851.44</v>
      </c>
    </row>
    <row r="2358" spans="1:9" x14ac:dyDescent="0.3">
      <c r="A2358" s="5" t="s">
        <v>147</v>
      </c>
      <c r="B2358" t="s">
        <v>256</v>
      </c>
      <c r="C2358" t="s">
        <v>265</v>
      </c>
      <c r="D2358" t="s">
        <v>266</v>
      </c>
      <c r="E2358" t="s">
        <v>271</v>
      </c>
      <c r="F2358" t="s">
        <v>285</v>
      </c>
      <c r="G2358" s="7">
        <v>2</v>
      </c>
      <c r="H2358" s="3">
        <v>7758.52</v>
      </c>
      <c r="I2358" s="3">
        <v>15517.04</v>
      </c>
    </row>
    <row r="2359" spans="1:9" x14ac:dyDescent="0.3">
      <c r="A2359" s="5" t="s">
        <v>147</v>
      </c>
      <c r="B2359" t="s">
        <v>256</v>
      </c>
      <c r="C2359" t="s">
        <v>261</v>
      </c>
      <c r="D2359" t="s">
        <v>268</v>
      </c>
      <c r="E2359" t="s">
        <v>272</v>
      </c>
      <c r="F2359" t="s">
        <v>277</v>
      </c>
      <c r="G2359" s="7">
        <v>5</v>
      </c>
      <c r="H2359" s="3">
        <v>23968.25</v>
      </c>
      <c r="I2359" s="3">
        <v>119841.25</v>
      </c>
    </row>
    <row r="2360" spans="1:9" x14ac:dyDescent="0.3">
      <c r="A2360" s="5" t="s">
        <v>148</v>
      </c>
      <c r="B2360" t="s">
        <v>258</v>
      </c>
      <c r="C2360" t="s">
        <v>263</v>
      </c>
      <c r="D2360" t="s">
        <v>268</v>
      </c>
      <c r="E2360" t="s">
        <v>274</v>
      </c>
      <c r="F2360" t="s">
        <v>287</v>
      </c>
      <c r="G2360" s="7">
        <v>6</v>
      </c>
      <c r="H2360" s="3">
        <v>31202.73</v>
      </c>
      <c r="I2360" s="3">
        <v>187216.38</v>
      </c>
    </row>
    <row r="2361" spans="1:9" x14ac:dyDescent="0.3">
      <c r="A2361" s="5" t="s">
        <v>148</v>
      </c>
      <c r="B2361" t="s">
        <v>253</v>
      </c>
      <c r="C2361" t="s">
        <v>262</v>
      </c>
      <c r="D2361" t="s">
        <v>266</v>
      </c>
      <c r="E2361" t="s">
        <v>271</v>
      </c>
      <c r="F2361" t="s">
        <v>282</v>
      </c>
      <c r="G2361" s="7">
        <v>7</v>
      </c>
      <c r="H2361" s="3">
        <v>9224.69</v>
      </c>
      <c r="I2361" s="3">
        <v>64572.83</v>
      </c>
    </row>
    <row r="2362" spans="1:9" x14ac:dyDescent="0.3">
      <c r="A2362" s="5" t="s">
        <v>148</v>
      </c>
      <c r="B2362" t="s">
        <v>254</v>
      </c>
      <c r="C2362" t="s">
        <v>263</v>
      </c>
      <c r="D2362" t="s">
        <v>266</v>
      </c>
      <c r="E2362" t="s">
        <v>271</v>
      </c>
      <c r="F2362" t="s">
        <v>282</v>
      </c>
      <c r="G2362" s="7">
        <v>1</v>
      </c>
      <c r="H2362" s="3">
        <v>7695.16</v>
      </c>
      <c r="I2362" s="3">
        <v>7695.16</v>
      </c>
    </row>
    <row r="2363" spans="1:9" x14ac:dyDescent="0.3">
      <c r="A2363" s="5" t="s">
        <v>148</v>
      </c>
      <c r="B2363" t="s">
        <v>260</v>
      </c>
      <c r="C2363" t="s">
        <v>264</v>
      </c>
      <c r="D2363" t="s">
        <v>268</v>
      </c>
      <c r="E2363" t="s">
        <v>273</v>
      </c>
      <c r="F2363" t="s">
        <v>283</v>
      </c>
      <c r="G2363" s="7">
        <v>7</v>
      </c>
      <c r="H2363" s="3">
        <v>45920.2</v>
      </c>
      <c r="I2363" s="3">
        <v>321441.40000000002</v>
      </c>
    </row>
    <row r="2364" spans="1:9" x14ac:dyDescent="0.3">
      <c r="A2364" s="5" t="s">
        <v>148</v>
      </c>
      <c r="B2364" t="s">
        <v>258</v>
      </c>
      <c r="C2364" t="s">
        <v>262</v>
      </c>
      <c r="D2364" t="s">
        <v>266</v>
      </c>
      <c r="E2364" t="s">
        <v>274</v>
      </c>
      <c r="F2364" t="s">
        <v>284</v>
      </c>
      <c r="G2364" s="7">
        <v>4</v>
      </c>
      <c r="H2364" s="3">
        <v>34269.72</v>
      </c>
      <c r="I2364" s="3">
        <v>137078.88</v>
      </c>
    </row>
    <row r="2365" spans="1:9" x14ac:dyDescent="0.3">
      <c r="A2365" s="5" t="s">
        <v>148</v>
      </c>
      <c r="B2365" t="s">
        <v>258</v>
      </c>
      <c r="C2365" t="s">
        <v>261</v>
      </c>
      <c r="D2365" t="s">
        <v>270</v>
      </c>
      <c r="E2365" t="s">
        <v>271</v>
      </c>
      <c r="F2365" t="s">
        <v>275</v>
      </c>
      <c r="G2365" s="7">
        <v>8</v>
      </c>
      <c r="H2365" s="3">
        <v>9261.2000000000007</v>
      </c>
      <c r="I2365" s="3">
        <v>74089.600000000006</v>
      </c>
    </row>
    <row r="2366" spans="1:9" x14ac:dyDescent="0.3">
      <c r="A2366" s="5" t="s">
        <v>149</v>
      </c>
      <c r="B2366" t="s">
        <v>254</v>
      </c>
      <c r="C2366" t="s">
        <v>261</v>
      </c>
      <c r="D2366" t="s">
        <v>267</v>
      </c>
      <c r="E2366" t="s">
        <v>271</v>
      </c>
      <c r="F2366" t="s">
        <v>282</v>
      </c>
      <c r="G2366" s="7">
        <v>4</v>
      </c>
      <c r="H2366" s="3">
        <v>8158</v>
      </c>
      <c r="I2366" s="3">
        <v>32632</v>
      </c>
    </row>
    <row r="2367" spans="1:9" x14ac:dyDescent="0.3">
      <c r="A2367" s="5" t="s">
        <v>149</v>
      </c>
      <c r="B2367" t="s">
        <v>260</v>
      </c>
      <c r="C2367" t="s">
        <v>262</v>
      </c>
      <c r="D2367" t="s">
        <v>267</v>
      </c>
      <c r="E2367" t="s">
        <v>274</v>
      </c>
      <c r="F2367" t="s">
        <v>289</v>
      </c>
      <c r="G2367" s="7">
        <v>6</v>
      </c>
      <c r="H2367" s="3">
        <v>32320.38</v>
      </c>
      <c r="I2367" s="3">
        <v>193922.28</v>
      </c>
    </row>
    <row r="2368" spans="1:9" x14ac:dyDescent="0.3">
      <c r="A2368" s="5" t="s">
        <v>149</v>
      </c>
      <c r="B2368" t="s">
        <v>255</v>
      </c>
      <c r="C2368" t="s">
        <v>265</v>
      </c>
      <c r="D2368" t="s">
        <v>267</v>
      </c>
      <c r="E2368" t="s">
        <v>272</v>
      </c>
      <c r="F2368" t="s">
        <v>290</v>
      </c>
      <c r="G2368" s="7">
        <v>9</v>
      </c>
      <c r="H2368" s="3">
        <v>32517.4</v>
      </c>
      <c r="I2368" s="3">
        <v>292656.59999999998</v>
      </c>
    </row>
    <row r="2369" spans="1:9" x14ac:dyDescent="0.3">
      <c r="A2369" s="5" t="s">
        <v>149</v>
      </c>
      <c r="B2369" t="s">
        <v>259</v>
      </c>
      <c r="C2369" t="s">
        <v>262</v>
      </c>
      <c r="D2369" t="s">
        <v>270</v>
      </c>
      <c r="E2369" t="s">
        <v>271</v>
      </c>
      <c r="F2369" t="s">
        <v>285</v>
      </c>
      <c r="G2369" s="7">
        <v>5</v>
      </c>
      <c r="H2369" s="3">
        <v>10425.129999999999</v>
      </c>
      <c r="I2369" s="3">
        <v>52125.65</v>
      </c>
    </row>
    <row r="2370" spans="1:9" x14ac:dyDescent="0.3">
      <c r="A2370" s="5" t="s">
        <v>149</v>
      </c>
      <c r="B2370" t="s">
        <v>253</v>
      </c>
      <c r="C2370" t="s">
        <v>264</v>
      </c>
      <c r="D2370" t="s">
        <v>266</v>
      </c>
      <c r="E2370" t="s">
        <v>273</v>
      </c>
      <c r="F2370" t="s">
        <v>279</v>
      </c>
      <c r="G2370" s="7">
        <v>4</v>
      </c>
      <c r="H2370" s="3">
        <v>53763.85</v>
      </c>
      <c r="I2370" s="3">
        <v>215055.4</v>
      </c>
    </row>
    <row r="2371" spans="1:9" x14ac:dyDescent="0.3">
      <c r="A2371" s="5" t="s">
        <v>149</v>
      </c>
      <c r="B2371" t="s">
        <v>259</v>
      </c>
      <c r="C2371" t="s">
        <v>265</v>
      </c>
      <c r="D2371" t="s">
        <v>269</v>
      </c>
      <c r="E2371" t="s">
        <v>271</v>
      </c>
      <c r="F2371" t="s">
        <v>281</v>
      </c>
      <c r="G2371" s="7">
        <v>8</v>
      </c>
      <c r="H2371" s="3">
        <v>9143.56</v>
      </c>
      <c r="I2371" s="3">
        <v>73148.479999999996</v>
      </c>
    </row>
    <row r="2372" spans="1:9" x14ac:dyDescent="0.3">
      <c r="A2372" s="5" t="s">
        <v>150</v>
      </c>
      <c r="B2372" t="s">
        <v>255</v>
      </c>
      <c r="C2372" t="s">
        <v>261</v>
      </c>
      <c r="D2372" t="s">
        <v>266</v>
      </c>
      <c r="E2372" t="s">
        <v>273</v>
      </c>
      <c r="F2372" t="s">
        <v>278</v>
      </c>
      <c r="G2372" s="7">
        <v>9</v>
      </c>
      <c r="H2372" s="3">
        <v>45635.27</v>
      </c>
      <c r="I2372" s="3">
        <v>410717.43</v>
      </c>
    </row>
    <row r="2373" spans="1:9" x14ac:dyDescent="0.3">
      <c r="A2373" s="5" t="s">
        <v>150</v>
      </c>
      <c r="B2373" t="s">
        <v>257</v>
      </c>
      <c r="C2373" t="s">
        <v>262</v>
      </c>
      <c r="D2373" t="s">
        <v>268</v>
      </c>
      <c r="E2373" t="s">
        <v>273</v>
      </c>
      <c r="F2373" t="s">
        <v>283</v>
      </c>
      <c r="G2373" s="7">
        <v>4</v>
      </c>
      <c r="H2373" s="3">
        <v>44243.22</v>
      </c>
      <c r="I2373" s="3">
        <v>176972.88</v>
      </c>
    </row>
    <row r="2374" spans="1:9" x14ac:dyDescent="0.3">
      <c r="A2374" s="5" t="s">
        <v>150</v>
      </c>
      <c r="B2374" t="s">
        <v>258</v>
      </c>
      <c r="C2374" t="s">
        <v>263</v>
      </c>
      <c r="D2374" t="s">
        <v>267</v>
      </c>
      <c r="E2374" t="s">
        <v>271</v>
      </c>
      <c r="F2374" t="s">
        <v>275</v>
      </c>
      <c r="G2374" s="7">
        <v>3</v>
      </c>
      <c r="H2374" s="3">
        <v>7649.85</v>
      </c>
      <c r="I2374" s="3">
        <v>22949.55</v>
      </c>
    </row>
    <row r="2375" spans="1:9" x14ac:dyDescent="0.3">
      <c r="A2375" s="5" t="s">
        <v>150</v>
      </c>
      <c r="B2375" t="s">
        <v>260</v>
      </c>
      <c r="C2375" t="s">
        <v>263</v>
      </c>
      <c r="D2375" t="s">
        <v>266</v>
      </c>
      <c r="E2375" t="s">
        <v>271</v>
      </c>
      <c r="F2375" t="s">
        <v>281</v>
      </c>
      <c r="G2375" s="7">
        <v>8</v>
      </c>
      <c r="H2375" s="3">
        <v>7587.27</v>
      </c>
      <c r="I2375" s="3">
        <v>60698.16</v>
      </c>
    </row>
    <row r="2376" spans="1:9" x14ac:dyDescent="0.3">
      <c r="A2376" s="5" t="s">
        <v>150</v>
      </c>
      <c r="B2376" t="s">
        <v>258</v>
      </c>
      <c r="C2376" t="s">
        <v>264</v>
      </c>
      <c r="D2376" t="s">
        <v>269</v>
      </c>
      <c r="E2376" t="s">
        <v>273</v>
      </c>
      <c r="F2376" t="s">
        <v>288</v>
      </c>
      <c r="G2376" s="7">
        <v>5</v>
      </c>
      <c r="H2376" s="3">
        <v>50640.44</v>
      </c>
      <c r="I2376" s="3">
        <v>253202.2</v>
      </c>
    </row>
    <row r="2377" spans="1:9" x14ac:dyDescent="0.3">
      <c r="A2377" s="5" t="s">
        <v>150</v>
      </c>
      <c r="B2377" t="s">
        <v>256</v>
      </c>
      <c r="C2377" t="s">
        <v>263</v>
      </c>
      <c r="D2377" t="s">
        <v>268</v>
      </c>
      <c r="E2377" t="s">
        <v>274</v>
      </c>
      <c r="F2377" t="s">
        <v>280</v>
      </c>
      <c r="G2377" s="7">
        <v>2</v>
      </c>
      <c r="H2377" s="3">
        <v>30525.37</v>
      </c>
      <c r="I2377" s="3">
        <v>61050.74</v>
      </c>
    </row>
    <row r="2378" spans="1:9" x14ac:dyDescent="0.3">
      <c r="A2378" s="5" t="s">
        <v>151</v>
      </c>
      <c r="B2378" t="s">
        <v>258</v>
      </c>
      <c r="C2378" t="s">
        <v>262</v>
      </c>
      <c r="D2378" t="s">
        <v>270</v>
      </c>
      <c r="E2378" t="s">
        <v>274</v>
      </c>
      <c r="F2378" t="s">
        <v>287</v>
      </c>
      <c r="G2378" s="7">
        <v>9</v>
      </c>
      <c r="H2378" s="3">
        <v>30459.67</v>
      </c>
      <c r="I2378" s="3">
        <v>274137.03000000003</v>
      </c>
    </row>
    <row r="2379" spans="1:9" x14ac:dyDescent="0.3">
      <c r="A2379" s="5" t="s">
        <v>151</v>
      </c>
      <c r="B2379" t="s">
        <v>258</v>
      </c>
      <c r="C2379" t="s">
        <v>262</v>
      </c>
      <c r="D2379" t="s">
        <v>270</v>
      </c>
      <c r="E2379" t="s">
        <v>271</v>
      </c>
      <c r="F2379" t="s">
        <v>275</v>
      </c>
      <c r="G2379" s="7">
        <v>3</v>
      </c>
      <c r="H2379" s="3">
        <v>10618.86</v>
      </c>
      <c r="I2379" s="3">
        <v>31856.58</v>
      </c>
    </row>
    <row r="2380" spans="1:9" x14ac:dyDescent="0.3">
      <c r="A2380" s="5" t="s">
        <v>151</v>
      </c>
      <c r="B2380" t="s">
        <v>255</v>
      </c>
      <c r="C2380" t="s">
        <v>263</v>
      </c>
      <c r="D2380" t="s">
        <v>269</v>
      </c>
      <c r="E2380" t="s">
        <v>272</v>
      </c>
      <c r="F2380" t="s">
        <v>276</v>
      </c>
      <c r="G2380" s="7">
        <v>2</v>
      </c>
      <c r="H2380" s="3">
        <v>25904.77</v>
      </c>
      <c r="I2380" s="3">
        <v>51809.54</v>
      </c>
    </row>
    <row r="2381" spans="1:9" x14ac:dyDescent="0.3">
      <c r="A2381" s="5" t="s">
        <v>151</v>
      </c>
      <c r="B2381" t="s">
        <v>255</v>
      </c>
      <c r="C2381" t="s">
        <v>262</v>
      </c>
      <c r="D2381" t="s">
        <v>268</v>
      </c>
      <c r="E2381" t="s">
        <v>274</v>
      </c>
      <c r="F2381" t="s">
        <v>280</v>
      </c>
      <c r="G2381" s="7">
        <v>1</v>
      </c>
      <c r="H2381" s="3">
        <v>29095.16</v>
      </c>
      <c r="I2381" s="3">
        <v>29095.16</v>
      </c>
    </row>
    <row r="2382" spans="1:9" x14ac:dyDescent="0.3">
      <c r="A2382" s="5" t="s">
        <v>151</v>
      </c>
      <c r="B2382" t="s">
        <v>255</v>
      </c>
      <c r="C2382" t="s">
        <v>264</v>
      </c>
      <c r="D2382" t="s">
        <v>267</v>
      </c>
      <c r="E2382" t="s">
        <v>271</v>
      </c>
      <c r="F2382" t="s">
        <v>282</v>
      </c>
      <c r="G2382" s="7">
        <v>8</v>
      </c>
      <c r="H2382" s="3">
        <v>7560.53</v>
      </c>
      <c r="I2382" s="3">
        <v>60484.24</v>
      </c>
    </row>
    <row r="2383" spans="1:9" x14ac:dyDescent="0.3">
      <c r="A2383" s="5" t="s">
        <v>151</v>
      </c>
      <c r="B2383" t="s">
        <v>259</v>
      </c>
      <c r="C2383" t="s">
        <v>265</v>
      </c>
      <c r="D2383" t="s">
        <v>266</v>
      </c>
      <c r="E2383" t="s">
        <v>274</v>
      </c>
      <c r="F2383" t="s">
        <v>284</v>
      </c>
      <c r="G2383" s="7">
        <v>3</v>
      </c>
      <c r="H2383" s="3">
        <v>34621.51</v>
      </c>
      <c r="I2383" s="3">
        <v>103864.53</v>
      </c>
    </row>
    <row r="2384" spans="1:9" x14ac:dyDescent="0.3">
      <c r="A2384" s="5" t="s">
        <v>151</v>
      </c>
      <c r="B2384" t="s">
        <v>256</v>
      </c>
      <c r="C2384" t="s">
        <v>264</v>
      </c>
      <c r="D2384" t="s">
        <v>268</v>
      </c>
      <c r="E2384" t="s">
        <v>272</v>
      </c>
      <c r="F2384" t="s">
        <v>286</v>
      </c>
      <c r="G2384" s="7">
        <v>7</v>
      </c>
      <c r="H2384" s="3">
        <v>30832.07</v>
      </c>
      <c r="I2384" s="3">
        <v>215824.49</v>
      </c>
    </row>
    <row r="2385" spans="1:9" x14ac:dyDescent="0.3">
      <c r="A2385" s="5" t="s">
        <v>152</v>
      </c>
      <c r="B2385" t="s">
        <v>257</v>
      </c>
      <c r="C2385" t="s">
        <v>264</v>
      </c>
      <c r="D2385" t="s">
        <v>270</v>
      </c>
      <c r="E2385" t="s">
        <v>271</v>
      </c>
      <c r="F2385" t="s">
        <v>281</v>
      </c>
      <c r="G2385" s="7">
        <v>1</v>
      </c>
      <c r="H2385" s="3">
        <v>8466.77</v>
      </c>
      <c r="I2385" s="3">
        <v>8466.77</v>
      </c>
    </row>
    <row r="2386" spans="1:9" x14ac:dyDescent="0.3">
      <c r="A2386" s="5" t="s">
        <v>152</v>
      </c>
      <c r="B2386" t="s">
        <v>257</v>
      </c>
      <c r="C2386" t="s">
        <v>262</v>
      </c>
      <c r="D2386" t="s">
        <v>269</v>
      </c>
      <c r="E2386" t="s">
        <v>272</v>
      </c>
      <c r="F2386" t="s">
        <v>277</v>
      </c>
      <c r="G2386" s="7">
        <v>1</v>
      </c>
      <c r="H2386" s="3">
        <v>29796.63</v>
      </c>
      <c r="I2386" s="3">
        <v>29796.63</v>
      </c>
    </row>
    <row r="2387" spans="1:9" x14ac:dyDescent="0.3">
      <c r="A2387" s="5" t="s">
        <v>152</v>
      </c>
      <c r="B2387" t="s">
        <v>255</v>
      </c>
      <c r="C2387" t="s">
        <v>265</v>
      </c>
      <c r="D2387" t="s">
        <v>269</v>
      </c>
      <c r="E2387" t="s">
        <v>271</v>
      </c>
      <c r="F2387" t="s">
        <v>285</v>
      </c>
      <c r="G2387" s="7">
        <v>9</v>
      </c>
      <c r="H2387" s="3">
        <v>9905.56</v>
      </c>
      <c r="I2387" s="3">
        <v>89150.04</v>
      </c>
    </row>
    <row r="2388" spans="1:9" x14ac:dyDescent="0.3">
      <c r="A2388" s="5" t="s">
        <v>152</v>
      </c>
      <c r="B2388" t="s">
        <v>260</v>
      </c>
      <c r="C2388" t="s">
        <v>262</v>
      </c>
      <c r="D2388" t="s">
        <v>266</v>
      </c>
      <c r="E2388" t="s">
        <v>272</v>
      </c>
      <c r="F2388" t="s">
        <v>277</v>
      </c>
      <c r="G2388" s="7">
        <v>8</v>
      </c>
      <c r="H2388" s="3">
        <v>32962.769999999997</v>
      </c>
      <c r="I2388" s="3">
        <v>263702.15999999997</v>
      </c>
    </row>
    <row r="2389" spans="1:9" x14ac:dyDescent="0.3">
      <c r="A2389" s="5" t="s">
        <v>152</v>
      </c>
      <c r="B2389" t="s">
        <v>259</v>
      </c>
      <c r="C2389" t="s">
        <v>261</v>
      </c>
      <c r="D2389" t="s">
        <v>269</v>
      </c>
      <c r="E2389" t="s">
        <v>274</v>
      </c>
      <c r="F2389" t="s">
        <v>287</v>
      </c>
      <c r="G2389" s="7">
        <v>3</v>
      </c>
      <c r="H2389" s="3">
        <v>39461.269999999997</v>
      </c>
      <c r="I2389" s="3">
        <v>118383.81</v>
      </c>
    </row>
    <row r="2390" spans="1:9" x14ac:dyDescent="0.3">
      <c r="A2390" s="5" t="s">
        <v>152</v>
      </c>
      <c r="B2390" t="s">
        <v>254</v>
      </c>
      <c r="C2390" t="s">
        <v>262</v>
      </c>
      <c r="D2390" t="s">
        <v>269</v>
      </c>
      <c r="E2390" t="s">
        <v>274</v>
      </c>
      <c r="F2390" t="s">
        <v>287</v>
      </c>
      <c r="G2390" s="7">
        <v>6</v>
      </c>
      <c r="H2390" s="3">
        <v>37750.629999999997</v>
      </c>
      <c r="I2390" s="3">
        <v>226503.78</v>
      </c>
    </row>
    <row r="2391" spans="1:9" x14ac:dyDescent="0.3">
      <c r="A2391" s="5" t="s">
        <v>153</v>
      </c>
      <c r="B2391" t="s">
        <v>260</v>
      </c>
      <c r="C2391" t="s">
        <v>262</v>
      </c>
      <c r="D2391" t="s">
        <v>268</v>
      </c>
      <c r="E2391" t="s">
        <v>272</v>
      </c>
      <c r="F2391" t="s">
        <v>276</v>
      </c>
      <c r="G2391" s="7">
        <v>3</v>
      </c>
      <c r="H2391" s="3">
        <v>30126.22</v>
      </c>
      <c r="I2391" s="3">
        <v>90378.66</v>
      </c>
    </row>
    <row r="2392" spans="1:9" x14ac:dyDescent="0.3">
      <c r="A2392" s="5" t="s">
        <v>153</v>
      </c>
      <c r="B2392" t="s">
        <v>253</v>
      </c>
      <c r="C2392" t="s">
        <v>262</v>
      </c>
      <c r="D2392" t="s">
        <v>267</v>
      </c>
      <c r="E2392" t="s">
        <v>272</v>
      </c>
      <c r="F2392" t="s">
        <v>276</v>
      </c>
      <c r="G2392" s="7">
        <v>4</v>
      </c>
      <c r="H2392" s="3">
        <v>25812.16</v>
      </c>
      <c r="I2392" s="3">
        <v>103248.64</v>
      </c>
    </row>
    <row r="2393" spans="1:9" x14ac:dyDescent="0.3">
      <c r="A2393" s="5" t="s">
        <v>153</v>
      </c>
      <c r="B2393" t="s">
        <v>253</v>
      </c>
      <c r="C2393" t="s">
        <v>265</v>
      </c>
      <c r="D2393" t="s">
        <v>266</v>
      </c>
      <c r="E2393" t="s">
        <v>272</v>
      </c>
      <c r="F2393" t="s">
        <v>276</v>
      </c>
      <c r="G2393" s="7">
        <v>1</v>
      </c>
      <c r="H2393" s="3">
        <v>24917.35</v>
      </c>
      <c r="I2393" s="3">
        <v>24917.35</v>
      </c>
    </row>
    <row r="2394" spans="1:9" x14ac:dyDescent="0.3">
      <c r="A2394" s="5" t="s">
        <v>153</v>
      </c>
      <c r="B2394" t="s">
        <v>260</v>
      </c>
      <c r="C2394" t="s">
        <v>262</v>
      </c>
      <c r="D2394" t="s">
        <v>268</v>
      </c>
      <c r="E2394" t="s">
        <v>271</v>
      </c>
      <c r="F2394" t="s">
        <v>281</v>
      </c>
      <c r="G2394" s="7">
        <v>5</v>
      </c>
      <c r="H2394" s="3">
        <v>7410.34</v>
      </c>
      <c r="I2394" s="3">
        <v>37051.699999999997</v>
      </c>
    </row>
    <row r="2395" spans="1:9" x14ac:dyDescent="0.3">
      <c r="A2395" s="5" t="s">
        <v>153</v>
      </c>
      <c r="B2395" t="s">
        <v>255</v>
      </c>
      <c r="C2395" t="s">
        <v>265</v>
      </c>
      <c r="D2395" t="s">
        <v>267</v>
      </c>
      <c r="E2395" t="s">
        <v>274</v>
      </c>
      <c r="F2395" t="s">
        <v>284</v>
      </c>
      <c r="G2395" s="7">
        <v>1</v>
      </c>
      <c r="H2395" s="3">
        <v>35731.53</v>
      </c>
      <c r="I2395" s="3">
        <v>35731.53</v>
      </c>
    </row>
    <row r="2396" spans="1:9" x14ac:dyDescent="0.3">
      <c r="A2396" s="5" t="s">
        <v>153</v>
      </c>
      <c r="B2396" t="s">
        <v>254</v>
      </c>
      <c r="C2396" t="s">
        <v>263</v>
      </c>
      <c r="D2396" t="s">
        <v>268</v>
      </c>
      <c r="E2396" t="s">
        <v>271</v>
      </c>
      <c r="F2396" t="s">
        <v>285</v>
      </c>
      <c r="G2396" s="7">
        <v>1</v>
      </c>
      <c r="H2396" s="3">
        <v>9970.6200000000008</v>
      </c>
      <c r="I2396" s="3">
        <v>9970.6200000000008</v>
      </c>
    </row>
    <row r="2397" spans="1:9" x14ac:dyDescent="0.3">
      <c r="A2397" s="5" t="s">
        <v>154</v>
      </c>
      <c r="B2397" t="s">
        <v>254</v>
      </c>
      <c r="C2397" t="s">
        <v>261</v>
      </c>
      <c r="D2397" t="s">
        <v>268</v>
      </c>
      <c r="E2397" t="s">
        <v>274</v>
      </c>
      <c r="F2397" t="s">
        <v>287</v>
      </c>
      <c r="G2397" s="7">
        <v>7</v>
      </c>
      <c r="H2397" s="3">
        <v>33711.15</v>
      </c>
      <c r="I2397" s="3">
        <v>235978.05</v>
      </c>
    </row>
    <row r="2398" spans="1:9" x14ac:dyDescent="0.3">
      <c r="A2398" s="5" t="s">
        <v>154</v>
      </c>
      <c r="B2398" t="s">
        <v>259</v>
      </c>
      <c r="C2398" t="s">
        <v>265</v>
      </c>
      <c r="D2398" t="s">
        <v>269</v>
      </c>
      <c r="E2398" t="s">
        <v>273</v>
      </c>
      <c r="F2398" t="s">
        <v>283</v>
      </c>
      <c r="G2398" s="7">
        <v>6</v>
      </c>
      <c r="H2398" s="3">
        <v>39234.86</v>
      </c>
      <c r="I2398" s="3">
        <v>235409.16</v>
      </c>
    </row>
    <row r="2399" spans="1:9" x14ac:dyDescent="0.3">
      <c r="A2399" s="5" t="s">
        <v>154</v>
      </c>
      <c r="B2399" t="s">
        <v>254</v>
      </c>
      <c r="C2399" t="s">
        <v>263</v>
      </c>
      <c r="D2399" t="s">
        <v>267</v>
      </c>
      <c r="E2399" t="s">
        <v>271</v>
      </c>
      <c r="F2399" t="s">
        <v>282</v>
      </c>
      <c r="G2399" s="7">
        <v>2</v>
      </c>
      <c r="H2399" s="3">
        <v>9045.6</v>
      </c>
      <c r="I2399" s="3">
        <v>18091.2</v>
      </c>
    </row>
    <row r="2400" spans="1:9" x14ac:dyDescent="0.3">
      <c r="A2400" s="5" t="s">
        <v>154</v>
      </c>
      <c r="B2400" t="s">
        <v>253</v>
      </c>
      <c r="C2400" t="s">
        <v>265</v>
      </c>
      <c r="D2400" t="s">
        <v>266</v>
      </c>
      <c r="E2400" t="s">
        <v>274</v>
      </c>
      <c r="F2400" t="s">
        <v>289</v>
      </c>
      <c r="G2400" s="7">
        <v>2</v>
      </c>
      <c r="H2400" s="3">
        <v>39177.589999999997</v>
      </c>
      <c r="I2400" s="3">
        <v>78355.179999999993</v>
      </c>
    </row>
    <row r="2401" spans="1:9" x14ac:dyDescent="0.3">
      <c r="A2401" s="5" t="s">
        <v>154</v>
      </c>
      <c r="B2401" t="s">
        <v>256</v>
      </c>
      <c r="C2401" t="s">
        <v>265</v>
      </c>
      <c r="D2401" t="s">
        <v>266</v>
      </c>
      <c r="E2401" t="s">
        <v>274</v>
      </c>
      <c r="F2401" t="s">
        <v>280</v>
      </c>
      <c r="G2401" s="7">
        <v>7</v>
      </c>
      <c r="H2401" s="3">
        <v>34849.449999999997</v>
      </c>
      <c r="I2401" s="3">
        <v>243946.15</v>
      </c>
    </row>
    <row r="2402" spans="1:9" x14ac:dyDescent="0.3">
      <c r="A2402" s="5" t="s">
        <v>154</v>
      </c>
      <c r="B2402" t="s">
        <v>255</v>
      </c>
      <c r="C2402" t="s">
        <v>261</v>
      </c>
      <c r="D2402" t="s">
        <v>267</v>
      </c>
      <c r="E2402" t="s">
        <v>271</v>
      </c>
      <c r="F2402" t="s">
        <v>275</v>
      </c>
      <c r="G2402" s="7">
        <v>1</v>
      </c>
      <c r="H2402" s="3">
        <v>9977.0499999999993</v>
      </c>
      <c r="I2402" s="3">
        <v>9977.0499999999993</v>
      </c>
    </row>
    <row r="2403" spans="1:9" x14ac:dyDescent="0.3">
      <c r="A2403" s="5" t="s">
        <v>155</v>
      </c>
      <c r="B2403" t="s">
        <v>254</v>
      </c>
      <c r="C2403" t="s">
        <v>264</v>
      </c>
      <c r="D2403" t="s">
        <v>269</v>
      </c>
      <c r="E2403" t="s">
        <v>271</v>
      </c>
      <c r="F2403" t="s">
        <v>285</v>
      </c>
      <c r="G2403" s="7">
        <v>2</v>
      </c>
      <c r="H2403" s="3">
        <v>9945.52</v>
      </c>
      <c r="I2403" s="3">
        <v>19891.04</v>
      </c>
    </row>
    <row r="2404" spans="1:9" x14ac:dyDescent="0.3">
      <c r="A2404" s="5" t="s">
        <v>155</v>
      </c>
      <c r="B2404" t="s">
        <v>259</v>
      </c>
      <c r="C2404" t="s">
        <v>264</v>
      </c>
      <c r="D2404" t="s">
        <v>270</v>
      </c>
      <c r="E2404" t="s">
        <v>274</v>
      </c>
      <c r="F2404" t="s">
        <v>280</v>
      </c>
      <c r="G2404" s="7">
        <v>8</v>
      </c>
      <c r="H2404" s="3">
        <v>39131.25</v>
      </c>
      <c r="I2404" s="3">
        <v>313050</v>
      </c>
    </row>
    <row r="2405" spans="1:9" x14ac:dyDescent="0.3">
      <c r="A2405" s="5" t="s">
        <v>155</v>
      </c>
      <c r="B2405" t="s">
        <v>253</v>
      </c>
      <c r="C2405" t="s">
        <v>265</v>
      </c>
      <c r="D2405" t="s">
        <v>268</v>
      </c>
      <c r="E2405" t="s">
        <v>271</v>
      </c>
      <c r="F2405" t="s">
        <v>282</v>
      </c>
      <c r="G2405" s="7">
        <v>6</v>
      </c>
      <c r="H2405" s="3">
        <v>9843.7800000000007</v>
      </c>
      <c r="I2405" s="3">
        <v>59062.68</v>
      </c>
    </row>
    <row r="2406" spans="1:9" x14ac:dyDescent="0.3">
      <c r="A2406" s="5" t="s">
        <v>155</v>
      </c>
      <c r="B2406" t="s">
        <v>256</v>
      </c>
      <c r="C2406" t="s">
        <v>262</v>
      </c>
      <c r="D2406" t="s">
        <v>269</v>
      </c>
      <c r="E2406" t="s">
        <v>272</v>
      </c>
      <c r="F2406" t="s">
        <v>286</v>
      </c>
      <c r="G2406" s="7">
        <v>2</v>
      </c>
      <c r="H2406" s="3">
        <v>32174.25</v>
      </c>
      <c r="I2406" s="3">
        <v>64348.5</v>
      </c>
    </row>
    <row r="2407" spans="1:9" x14ac:dyDescent="0.3">
      <c r="A2407" s="5" t="s">
        <v>155</v>
      </c>
      <c r="B2407" t="s">
        <v>258</v>
      </c>
      <c r="C2407" t="s">
        <v>263</v>
      </c>
      <c r="D2407" t="s">
        <v>267</v>
      </c>
      <c r="E2407" t="s">
        <v>271</v>
      </c>
      <c r="F2407" t="s">
        <v>282</v>
      </c>
      <c r="G2407" s="7">
        <v>7</v>
      </c>
      <c r="H2407" s="3">
        <v>8020.95</v>
      </c>
      <c r="I2407" s="3">
        <v>56146.65</v>
      </c>
    </row>
    <row r="2408" spans="1:9" x14ac:dyDescent="0.3">
      <c r="A2408" s="5" t="s">
        <v>155</v>
      </c>
      <c r="B2408" t="s">
        <v>258</v>
      </c>
      <c r="C2408" t="s">
        <v>262</v>
      </c>
      <c r="D2408" t="s">
        <v>268</v>
      </c>
      <c r="E2408" t="s">
        <v>271</v>
      </c>
      <c r="F2408" t="s">
        <v>275</v>
      </c>
      <c r="G2408" s="7">
        <v>4</v>
      </c>
      <c r="H2408" s="3">
        <v>7428.75</v>
      </c>
      <c r="I2408" s="3">
        <v>29715</v>
      </c>
    </row>
    <row r="2409" spans="1:9" x14ac:dyDescent="0.3">
      <c r="A2409" s="5" t="s">
        <v>156</v>
      </c>
      <c r="B2409" t="s">
        <v>256</v>
      </c>
      <c r="C2409" t="s">
        <v>262</v>
      </c>
      <c r="D2409" t="s">
        <v>266</v>
      </c>
      <c r="E2409" t="s">
        <v>271</v>
      </c>
      <c r="F2409" t="s">
        <v>282</v>
      </c>
      <c r="G2409" s="7">
        <v>2</v>
      </c>
      <c r="H2409" s="3">
        <v>8984.84</v>
      </c>
      <c r="I2409" s="3">
        <v>17969.68</v>
      </c>
    </row>
    <row r="2410" spans="1:9" x14ac:dyDescent="0.3">
      <c r="A2410" s="5" t="s">
        <v>156</v>
      </c>
      <c r="B2410" t="s">
        <v>253</v>
      </c>
      <c r="C2410" t="s">
        <v>265</v>
      </c>
      <c r="D2410" t="s">
        <v>270</v>
      </c>
      <c r="E2410" t="s">
        <v>274</v>
      </c>
      <c r="F2410" t="s">
        <v>280</v>
      </c>
      <c r="G2410" s="7">
        <v>6</v>
      </c>
      <c r="H2410" s="3">
        <v>28792.76</v>
      </c>
      <c r="I2410" s="3">
        <v>172756.56</v>
      </c>
    </row>
    <row r="2411" spans="1:9" x14ac:dyDescent="0.3">
      <c r="A2411" s="5" t="s">
        <v>156</v>
      </c>
      <c r="B2411" t="s">
        <v>259</v>
      </c>
      <c r="C2411" t="s">
        <v>265</v>
      </c>
      <c r="D2411" t="s">
        <v>266</v>
      </c>
      <c r="E2411" t="s">
        <v>272</v>
      </c>
      <c r="F2411" t="s">
        <v>277</v>
      </c>
      <c r="G2411" s="7">
        <v>9</v>
      </c>
      <c r="H2411" s="3">
        <v>34576.589999999997</v>
      </c>
      <c r="I2411" s="3">
        <v>311189.31</v>
      </c>
    </row>
    <row r="2412" spans="1:9" x14ac:dyDescent="0.3">
      <c r="A2412" s="5" t="s">
        <v>156</v>
      </c>
      <c r="B2412" t="s">
        <v>256</v>
      </c>
      <c r="C2412" t="s">
        <v>265</v>
      </c>
      <c r="D2412" t="s">
        <v>267</v>
      </c>
      <c r="E2412" t="s">
        <v>273</v>
      </c>
      <c r="F2412" t="s">
        <v>288</v>
      </c>
      <c r="G2412" s="7">
        <v>9</v>
      </c>
      <c r="H2412" s="3">
        <v>43468.65</v>
      </c>
      <c r="I2412" s="3">
        <v>391217.85</v>
      </c>
    </row>
    <row r="2413" spans="1:9" x14ac:dyDescent="0.3">
      <c r="A2413" s="5" t="s">
        <v>156</v>
      </c>
      <c r="B2413" t="s">
        <v>255</v>
      </c>
      <c r="C2413" t="s">
        <v>265</v>
      </c>
      <c r="D2413" t="s">
        <v>268</v>
      </c>
      <c r="E2413" t="s">
        <v>273</v>
      </c>
      <c r="F2413" t="s">
        <v>283</v>
      </c>
      <c r="G2413" s="7">
        <v>8</v>
      </c>
      <c r="H2413" s="3">
        <v>53603</v>
      </c>
      <c r="I2413" s="3">
        <v>428824</v>
      </c>
    </row>
    <row r="2414" spans="1:9" x14ac:dyDescent="0.3">
      <c r="A2414" s="5" t="s">
        <v>156</v>
      </c>
      <c r="B2414" t="s">
        <v>255</v>
      </c>
      <c r="C2414" t="s">
        <v>264</v>
      </c>
      <c r="D2414" t="s">
        <v>267</v>
      </c>
      <c r="E2414" t="s">
        <v>272</v>
      </c>
      <c r="F2414" t="s">
        <v>286</v>
      </c>
      <c r="G2414" s="7">
        <v>3</v>
      </c>
      <c r="H2414" s="3">
        <v>28141.4</v>
      </c>
      <c r="I2414" s="3">
        <v>84424.2</v>
      </c>
    </row>
    <row r="2415" spans="1:9" x14ac:dyDescent="0.3">
      <c r="A2415" s="5" t="s">
        <v>157</v>
      </c>
      <c r="B2415" t="s">
        <v>258</v>
      </c>
      <c r="C2415" t="s">
        <v>265</v>
      </c>
      <c r="D2415" t="s">
        <v>268</v>
      </c>
      <c r="E2415" t="s">
        <v>272</v>
      </c>
      <c r="F2415" t="s">
        <v>286</v>
      </c>
      <c r="G2415" s="7">
        <v>3</v>
      </c>
      <c r="H2415" s="3">
        <v>27419.78</v>
      </c>
      <c r="I2415" s="3">
        <v>82259.34</v>
      </c>
    </row>
    <row r="2416" spans="1:9" x14ac:dyDescent="0.3">
      <c r="A2416" s="5" t="s">
        <v>157</v>
      </c>
      <c r="B2416" t="s">
        <v>254</v>
      </c>
      <c r="C2416" t="s">
        <v>264</v>
      </c>
      <c r="D2416" t="s">
        <v>269</v>
      </c>
      <c r="E2416" t="s">
        <v>272</v>
      </c>
      <c r="F2416" t="s">
        <v>290</v>
      </c>
      <c r="G2416" s="7">
        <v>2</v>
      </c>
      <c r="H2416" s="3">
        <v>34273.78</v>
      </c>
      <c r="I2416" s="3">
        <v>68547.56</v>
      </c>
    </row>
    <row r="2417" spans="1:9" x14ac:dyDescent="0.3">
      <c r="A2417" s="5" t="s">
        <v>157</v>
      </c>
      <c r="B2417" t="s">
        <v>259</v>
      </c>
      <c r="C2417" t="s">
        <v>264</v>
      </c>
      <c r="D2417" t="s">
        <v>270</v>
      </c>
      <c r="E2417" t="s">
        <v>274</v>
      </c>
      <c r="F2417" t="s">
        <v>287</v>
      </c>
      <c r="G2417" s="7">
        <v>5</v>
      </c>
      <c r="H2417" s="3">
        <v>31850.53</v>
      </c>
      <c r="I2417" s="3">
        <v>159252.65</v>
      </c>
    </row>
    <row r="2418" spans="1:9" x14ac:dyDescent="0.3">
      <c r="A2418" s="5" t="s">
        <v>157</v>
      </c>
      <c r="B2418" t="s">
        <v>258</v>
      </c>
      <c r="C2418" t="s">
        <v>265</v>
      </c>
      <c r="D2418" t="s">
        <v>269</v>
      </c>
      <c r="E2418" t="s">
        <v>273</v>
      </c>
      <c r="F2418" t="s">
        <v>279</v>
      </c>
      <c r="G2418" s="7">
        <v>4</v>
      </c>
      <c r="H2418" s="3">
        <v>45275.18</v>
      </c>
      <c r="I2418" s="3">
        <v>181100.72</v>
      </c>
    </row>
    <row r="2419" spans="1:9" x14ac:dyDescent="0.3">
      <c r="A2419" s="5" t="s">
        <v>157</v>
      </c>
      <c r="B2419" t="s">
        <v>254</v>
      </c>
      <c r="C2419" t="s">
        <v>261</v>
      </c>
      <c r="D2419" t="s">
        <v>269</v>
      </c>
      <c r="E2419" t="s">
        <v>272</v>
      </c>
      <c r="F2419" t="s">
        <v>290</v>
      </c>
      <c r="G2419" s="7">
        <v>7</v>
      </c>
      <c r="H2419" s="3">
        <v>24988.23</v>
      </c>
      <c r="I2419" s="3">
        <v>174917.61</v>
      </c>
    </row>
    <row r="2420" spans="1:9" x14ac:dyDescent="0.3">
      <c r="A2420" s="5" t="s">
        <v>157</v>
      </c>
      <c r="B2420" t="s">
        <v>254</v>
      </c>
      <c r="C2420" t="s">
        <v>263</v>
      </c>
      <c r="D2420" t="s">
        <v>267</v>
      </c>
      <c r="E2420" t="s">
        <v>274</v>
      </c>
      <c r="F2420" t="s">
        <v>284</v>
      </c>
      <c r="G2420" s="7">
        <v>4</v>
      </c>
      <c r="H2420" s="3">
        <v>35781.72</v>
      </c>
      <c r="I2420" s="3">
        <v>143126.88</v>
      </c>
    </row>
    <row r="2421" spans="1:9" x14ac:dyDescent="0.3">
      <c r="A2421" s="5" t="s">
        <v>157</v>
      </c>
      <c r="B2421" t="s">
        <v>257</v>
      </c>
      <c r="C2421" t="s">
        <v>262</v>
      </c>
      <c r="D2421" t="s">
        <v>270</v>
      </c>
      <c r="E2421" t="s">
        <v>273</v>
      </c>
      <c r="F2421" t="s">
        <v>279</v>
      </c>
      <c r="G2421" s="7">
        <v>9</v>
      </c>
      <c r="H2421" s="3">
        <v>43449.11</v>
      </c>
      <c r="I2421" s="3">
        <v>391041.99</v>
      </c>
    </row>
    <row r="2422" spans="1:9" x14ac:dyDescent="0.3">
      <c r="A2422" s="5" t="s">
        <v>158</v>
      </c>
      <c r="B2422" t="s">
        <v>255</v>
      </c>
      <c r="C2422" t="s">
        <v>264</v>
      </c>
      <c r="D2422" t="s">
        <v>268</v>
      </c>
      <c r="E2422" t="s">
        <v>271</v>
      </c>
      <c r="F2422" t="s">
        <v>282</v>
      </c>
      <c r="G2422" s="7">
        <v>2</v>
      </c>
      <c r="H2422" s="3">
        <v>9216.0499999999993</v>
      </c>
      <c r="I2422" s="3">
        <v>18432.099999999999</v>
      </c>
    </row>
    <row r="2423" spans="1:9" x14ac:dyDescent="0.3">
      <c r="A2423" s="5" t="s">
        <v>158</v>
      </c>
      <c r="B2423" t="s">
        <v>253</v>
      </c>
      <c r="C2423" t="s">
        <v>263</v>
      </c>
      <c r="D2423" t="s">
        <v>268</v>
      </c>
      <c r="E2423" t="s">
        <v>274</v>
      </c>
      <c r="F2423" t="s">
        <v>289</v>
      </c>
      <c r="G2423" s="7">
        <v>6</v>
      </c>
      <c r="H2423" s="3">
        <v>34769.300000000003</v>
      </c>
      <c r="I2423" s="3">
        <v>208615.8</v>
      </c>
    </row>
    <row r="2424" spans="1:9" x14ac:dyDescent="0.3">
      <c r="A2424" s="5" t="s">
        <v>158</v>
      </c>
      <c r="B2424" t="s">
        <v>260</v>
      </c>
      <c r="C2424" t="s">
        <v>261</v>
      </c>
      <c r="D2424" t="s">
        <v>266</v>
      </c>
      <c r="E2424" t="s">
        <v>273</v>
      </c>
      <c r="F2424" t="s">
        <v>279</v>
      </c>
      <c r="G2424" s="7">
        <v>7</v>
      </c>
      <c r="H2424" s="3">
        <v>51195.59</v>
      </c>
      <c r="I2424" s="3">
        <v>358369.13</v>
      </c>
    </row>
    <row r="2425" spans="1:9" x14ac:dyDescent="0.3">
      <c r="A2425" s="5" t="s">
        <v>158</v>
      </c>
      <c r="B2425" t="s">
        <v>253</v>
      </c>
      <c r="C2425" t="s">
        <v>262</v>
      </c>
      <c r="D2425" t="s">
        <v>268</v>
      </c>
      <c r="E2425" t="s">
        <v>274</v>
      </c>
      <c r="F2425" t="s">
        <v>289</v>
      </c>
      <c r="G2425" s="7">
        <v>4</v>
      </c>
      <c r="H2425" s="3">
        <v>36739.089999999997</v>
      </c>
      <c r="I2425" s="3">
        <v>146956.35999999999</v>
      </c>
    </row>
    <row r="2426" spans="1:9" x14ac:dyDescent="0.3">
      <c r="A2426" s="5" t="s">
        <v>158</v>
      </c>
      <c r="B2426" t="s">
        <v>260</v>
      </c>
      <c r="C2426" t="s">
        <v>262</v>
      </c>
      <c r="D2426" t="s">
        <v>267</v>
      </c>
      <c r="E2426" t="s">
        <v>273</v>
      </c>
      <c r="F2426" t="s">
        <v>278</v>
      </c>
      <c r="G2426" s="7">
        <v>6</v>
      </c>
      <c r="H2426" s="3">
        <v>47510.14</v>
      </c>
      <c r="I2426" s="3">
        <v>285060.84000000003</v>
      </c>
    </row>
    <row r="2427" spans="1:9" x14ac:dyDescent="0.3">
      <c r="A2427" s="5" t="s">
        <v>158</v>
      </c>
      <c r="B2427" t="s">
        <v>256</v>
      </c>
      <c r="C2427" t="s">
        <v>264</v>
      </c>
      <c r="D2427" t="s">
        <v>269</v>
      </c>
      <c r="E2427" t="s">
        <v>273</v>
      </c>
      <c r="F2427" t="s">
        <v>288</v>
      </c>
      <c r="G2427" s="7">
        <v>7</v>
      </c>
      <c r="H2427" s="3">
        <v>44207.86</v>
      </c>
      <c r="I2427" s="3">
        <v>309455.02</v>
      </c>
    </row>
    <row r="2428" spans="1:9" x14ac:dyDescent="0.3">
      <c r="A2428" s="5" t="s">
        <v>159</v>
      </c>
      <c r="B2428" t="s">
        <v>255</v>
      </c>
      <c r="C2428" t="s">
        <v>265</v>
      </c>
      <c r="D2428" t="s">
        <v>269</v>
      </c>
      <c r="E2428" t="s">
        <v>271</v>
      </c>
      <c r="F2428" t="s">
        <v>282</v>
      </c>
      <c r="G2428" s="7">
        <v>4</v>
      </c>
      <c r="H2428" s="3">
        <v>10072.33</v>
      </c>
      <c r="I2428" s="3">
        <v>40289.32</v>
      </c>
    </row>
    <row r="2429" spans="1:9" x14ac:dyDescent="0.3">
      <c r="A2429" s="5" t="s">
        <v>159</v>
      </c>
      <c r="B2429" t="s">
        <v>254</v>
      </c>
      <c r="C2429" t="s">
        <v>261</v>
      </c>
      <c r="D2429" t="s">
        <v>269</v>
      </c>
      <c r="E2429" t="s">
        <v>274</v>
      </c>
      <c r="F2429" t="s">
        <v>280</v>
      </c>
      <c r="G2429" s="7">
        <v>8</v>
      </c>
      <c r="H2429" s="3">
        <v>31166.28</v>
      </c>
      <c r="I2429" s="3">
        <v>249330.24</v>
      </c>
    </row>
    <row r="2430" spans="1:9" x14ac:dyDescent="0.3">
      <c r="A2430" s="5" t="s">
        <v>159</v>
      </c>
      <c r="B2430" t="s">
        <v>259</v>
      </c>
      <c r="C2430" t="s">
        <v>264</v>
      </c>
      <c r="D2430" t="s">
        <v>270</v>
      </c>
      <c r="E2430" t="s">
        <v>272</v>
      </c>
      <c r="F2430" t="s">
        <v>277</v>
      </c>
      <c r="G2430" s="7">
        <v>9</v>
      </c>
      <c r="H2430" s="3">
        <v>29484.1</v>
      </c>
      <c r="I2430" s="3">
        <v>265356.90000000002</v>
      </c>
    </row>
    <row r="2431" spans="1:9" x14ac:dyDescent="0.3">
      <c r="A2431" s="5" t="s">
        <v>159</v>
      </c>
      <c r="B2431" t="s">
        <v>260</v>
      </c>
      <c r="C2431" t="s">
        <v>261</v>
      </c>
      <c r="D2431" t="s">
        <v>268</v>
      </c>
      <c r="E2431" t="s">
        <v>271</v>
      </c>
      <c r="F2431" t="s">
        <v>281</v>
      </c>
      <c r="G2431" s="7">
        <v>1</v>
      </c>
      <c r="H2431" s="3">
        <v>8589.26</v>
      </c>
      <c r="I2431" s="3">
        <v>8589.26</v>
      </c>
    </row>
    <row r="2432" spans="1:9" x14ac:dyDescent="0.3">
      <c r="A2432" s="5" t="s">
        <v>159</v>
      </c>
      <c r="B2432" t="s">
        <v>253</v>
      </c>
      <c r="C2432" t="s">
        <v>265</v>
      </c>
      <c r="D2432" t="s">
        <v>267</v>
      </c>
      <c r="E2432" t="s">
        <v>271</v>
      </c>
      <c r="F2432" t="s">
        <v>282</v>
      </c>
      <c r="G2432" s="7">
        <v>7</v>
      </c>
      <c r="H2432" s="3">
        <v>10132.27</v>
      </c>
      <c r="I2432" s="3">
        <v>70925.89</v>
      </c>
    </row>
    <row r="2433" spans="1:9" x14ac:dyDescent="0.3">
      <c r="A2433" s="5" t="s">
        <v>159</v>
      </c>
      <c r="B2433" t="s">
        <v>254</v>
      </c>
      <c r="C2433" t="s">
        <v>265</v>
      </c>
      <c r="D2433" t="s">
        <v>270</v>
      </c>
      <c r="E2433" t="s">
        <v>273</v>
      </c>
      <c r="F2433" t="s">
        <v>279</v>
      </c>
      <c r="G2433" s="7">
        <v>9</v>
      </c>
      <c r="H2433" s="3">
        <v>46024.53</v>
      </c>
      <c r="I2433" s="3">
        <v>414220.77</v>
      </c>
    </row>
    <row r="2434" spans="1:9" x14ac:dyDescent="0.3">
      <c r="A2434" s="5" t="s">
        <v>160</v>
      </c>
      <c r="B2434" t="s">
        <v>260</v>
      </c>
      <c r="C2434" t="s">
        <v>264</v>
      </c>
      <c r="D2434" t="s">
        <v>266</v>
      </c>
      <c r="E2434" t="s">
        <v>272</v>
      </c>
      <c r="F2434" t="s">
        <v>290</v>
      </c>
      <c r="G2434" s="7">
        <v>5</v>
      </c>
      <c r="H2434" s="3">
        <v>28124.31</v>
      </c>
      <c r="I2434" s="3">
        <v>140621.54999999999</v>
      </c>
    </row>
    <row r="2435" spans="1:9" x14ac:dyDescent="0.3">
      <c r="A2435" s="5" t="s">
        <v>160</v>
      </c>
      <c r="B2435" t="s">
        <v>260</v>
      </c>
      <c r="C2435" t="s">
        <v>265</v>
      </c>
      <c r="D2435" t="s">
        <v>267</v>
      </c>
      <c r="E2435" t="s">
        <v>274</v>
      </c>
      <c r="F2435" t="s">
        <v>289</v>
      </c>
      <c r="G2435" s="7">
        <v>2</v>
      </c>
      <c r="H2435" s="3">
        <v>36029.74</v>
      </c>
      <c r="I2435" s="3">
        <v>72059.48</v>
      </c>
    </row>
    <row r="2436" spans="1:9" x14ac:dyDescent="0.3">
      <c r="A2436" s="5" t="s">
        <v>160</v>
      </c>
      <c r="B2436" t="s">
        <v>257</v>
      </c>
      <c r="C2436" t="s">
        <v>263</v>
      </c>
      <c r="D2436" t="s">
        <v>267</v>
      </c>
      <c r="E2436" t="s">
        <v>272</v>
      </c>
      <c r="F2436" t="s">
        <v>276</v>
      </c>
      <c r="G2436" s="7">
        <v>6</v>
      </c>
      <c r="H2436" s="3">
        <v>30547.34</v>
      </c>
      <c r="I2436" s="3">
        <v>183284.04</v>
      </c>
    </row>
    <row r="2437" spans="1:9" x14ac:dyDescent="0.3">
      <c r="A2437" s="5" t="s">
        <v>160</v>
      </c>
      <c r="B2437" t="s">
        <v>260</v>
      </c>
      <c r="C2437" t="s">
        <v>262</v>
      </c>
      <c r="D2437" t="s">
        <v>267</v>
      </c>
      <c r="E2437" t="s">
        <v>272</v>
      </c>
      <c r="F2437" t="s">
        <v>286</v>
      </c>
      <c r="G2437" s="7">
        <v>7</v>
      </c>
      <c r="H2437" s="3">
        <v>25001.16</v>
      </c>
      <c r="I2437" s="3">
        <v>175008.12</v>
      </c>
    </row>
    <row r="2438" spans="1:9" x14ac:dyDescent="0.3">
      <c r="A2438" s="5" t="s">
        <v>160</v>
      </c>
      <c r="B2438" t="s">
        <v>259</v>
      </c>
      <c r="C2438" t="s">
        <v>264</v>
      </c>
      <c r="D2438" t="s">
        <v>269</v>
      </c>
      <c r="E2438" t="s">
        <v>272</v>
      </c>
      <c r="F2438" t="s">
        <v>290</v>
      </c>
      <c r="G2438" s="7">
        <v>2</v>
      </c>
      <c r="H2438" s="3">
        <v>29491.49</v>
      </c>
      <c r="I2438" s="3">
        <v>58982.98</v>
      </c>
    </row>
    <row r="2439" spans="1:9" x14ac:dyDescent="0.3">
      <c r="A2439" s="5" t="s">
        <v>160</v>
      </c>
      <c r="B2439" t="s">
        <v>255</v>
      </c>
      <c r="C2439" t="s">
        <v>261</v>
      </c>
      <c r="D2439" t="s">
        <v>267</v>
      </c>
      <c r="E2439" t="s">
        <v>272</v>
      </c>
      <c r="F2439" t="s">
        <v>286</v>
      </c>
      <c r="G2439" s="7">
        <v>2</v>
      </c>
      <c r="H2439" s="3">
        <v>32037.360000000001</v>
      </c>
      <c r="I2439" s="3">
        <v>64074.720000000001</v>
      </c>
    </row>
    <row r="2440" spans="1:9" x14ac:dyDescent="0.3">
      <c r="A2440" s="5" t="s">
        <v>161</v>
      </c>
      <c r="B2440" t="s">
        <v>259</v>
      </c>
      <c r="C2440" t="s">
        <v>263</v>
      </c>
      <c r="D2440" t="s">
        <v>268</v>
      </c>
      <c r="E2440" t="s">
        <v>272</v>
      </c>
      <c r="F2440" t="s">
        <v>290</v>
      </c>
      <c r="G2440" s="7">
        <v>1</v>
      </c>
      <c r="H2440" s="3">
        <v>34911.24</v>
      </c>
      <c r="I2440" s="3">
        <v>34911.24</v>
      </c>
    </row>
    <row r="2441" spans="1:9" x14ac:dyDescent="0.3">
      <c r="A2441" s="5" t="s">
        <v>161</v>
      </c>
      <c r="B2441" t="s">
        <v>258</v>
      </c>
      <c r="C2441" t="s">
        <v>264</v>
      </c>
      <c r="D2441" t="s">
        <v>267</v>
      </c>
      <c r="E2441" t="s">
        <v>273</v>
      </c>
      <c r="F2441" t="s">
        <v>288</v>
      </c>
      <c r="G2441" s="7">
        <v>4</v>
      </c>
      <c r="H2441" s="3">
        <v>49574.64</v>
      </c>
      <c r="I2441" s="3">
        <v>198298.56</v>
      </c>
    </row>
    <row r="2442" spans="1:9" x14ac:dyDescent="0.3">
      <c r="A2442" s="5" t="s">
        <v>161</v>
      </c>
      <c r="B2442" t="s">
        <v>254</v>
      </c>
      <c r="C2442" t="s">
        <v>265</v>
      </c>
      <c r="D2442" t="s">
        <v>269</v>
      </c>
      <c r="E2442" t="s">
        <v>273</v>
      </c>
      <c r="F2442" t="s">
        <v>278</v>
      </c>
      <c r="G2442" s="7">
        <v>7</v>
      </c>
      <c r="H2442" s="3">
        <v>44915.28</v>
      </c>
      <c r="I2442" s="3">
        <v>314406.96000000002</v>
      </c>
    </row>
    <row r="2443" spans="1:9" x14ac:dyDescent="0.3">
      <c r="A2443" s="5" t="s">
        <v>161</v>
      </c>
      <c r="B2443" t="s">
        <v>255</v>
      </c>
      <c r="C2443" t="s">
        <v>265</v>
      </c>
      <c r="D2443" t="s">
        <v>267</v>
      </c>
      <c r="E2443" t="s">
        <v>271</v>
      </c>
      <c r="F2443" t="s">
        <v>282</v>
      </c>
      <c r="G2443" s="7">
        <v>9</v>
      </c>
      <c r="H2443" s="3">
        <v>7993.92</v>
      </c>
      <c r="I2443" s="3">
        <v>71945.279999999999</v>
      </c>
    </row>
    <row r="2444" spans="1:9" x14ac:dyDescent="0.3">
      <c r="A2444" s="5" t="s">
        <v>161</v>
      </c>
      <c r="B2444" t="s">
        <v>257</v>
      </c>
      <c r="C2444" t="s">
        <v>265</v>
      </c>
      <c r="D2444" t="s">
        <v>266</v>
      </c>
      <c r="E2444" t="s">
        <v>273</v>
      </c>
      <c r="F2444" t="s">
        <v>278</v>
      </c>
      <c r="G2444" s="7">
        <v>3</v>
      </c>
      <c r="H2444" s="3">
        <v>53960.94</v>
      </c>
      <c r="I2444" s="3">
        <v>161882.82</v>
      </c>
    </row>
    <row r="2445" spans="1:9" x14ac:dyDescent="0.3">
      <c r="A2445" s="5" t="s">
        <v>161</v>
      </c>
      <c r="B2445" t="s">
        <v>255</v>
      </c>
      <c r="C2445" t="s">
        <v>265</v>
      </c>
      <c r="D2445" t="s">
        <v>266</v>
      </c>
      <c r="E2445" t="s">
        <v>271</v>
      </c>
      <c r="F2445" t="s">
        <v>281</v>
      </c>
      <c r="G2445" s="7">
        <v>7</v>
      </c>
      <c r="H2445" s="3">
        <v>9994.52</v>
      </c>
      <c r="I2445" s="3">
        <v>69961.64</v>
      </c>
    </row>
    <row r="2446" spans="1:9" x14ac:dyDescent="0.3">
      <c r="A2446" s="5" t="s">
        <v>162</v>
      </c>
      <c r="B2446" t="s">
        <v>255</v>
      </c>
      <c r="C2446" t="s">
        <v>261</v>
      </c>
      <c r="D2446" t="s">
        <v>269</v>
      </c>
      <c r="E2446" t="s">
        <v>271</v>
      </c>
      <c r="F2446" t="s">
        <v>282</v>
      </c>
      <c r="G2446" s="7">
        <v>7</v>
      </c>
      <c r="H2446" s="3">
        <v>8020.34</v>
      </c>
      <c r="I2446" s="3">
        <v>56142.38</v>
      </c>
    </row>
    <row r="2447" spans="1:9" x14ac:dyDescent="0.3">
      <c r="A2447" s="5" t="s">
        <v>162</v>
      </c>
      <c r="B2447" t="s">
        <v>253</v>
      </c>
      <c r="C2447" t="s">
        <v>263</v>
      </c>
      <c r="D2447" t="s">
        <v>268</v>
      </c>
      <c r="E2447" t="s">
        <v>274</v>
      </c>
      <c r="F2447" t="s">
        <v>289</v>
      </c>
      <c r="G2447" s="7">
        <v>7</v>
      </c>
      <c r="H2447" s="3">
        <v>29768.09</v>
      </c>
      <c r="I2447" s="3">
        <v>208376.63</v>
      </c>
    </row>
    <row r="2448" spans="1:9" x14ac:dyDescent="0.3">
      <c r="A2448" s="5" t="s">
        <v>162</v>
      </c>
      <c r="B2448" t="s">
        <v>255</v>
      </c>
      <c r="C2448" t="s">
        <v>262</v>
      </c>
      <c r="D2448" t="s">
        <v>268</v>
      </c>
      <c r="E2448" t="s">
        <v>272</v>
      </c>
      <c r="F2448" t="s">
        <v>276</v>
      </c>
      <c r="G2448" s="7">
        <v>2</v>
      </c>
      <c r="H2448" s="3">
        <v>31809.53</v>
      </c>
      <c r="I2448" s="3">
        <v>63619.06</v>
      </c>
    </row>
    <row r="2449" spans="1:9" x14ac:dyDescent="0.3">
      <c r="A2449" s="5" t="s">
        <v>162</v>
      </c>
      <c r="B2449" t="s">
        <v>257</v>
      </c>
      <c r="C2449" t="s">
        <v>261</v>
      </c>
      <c r="D2449" t="s">
        <v>270</v>
      </c>
      <c r="E2449" t="s">
        <v>273</v>
      </c>
      <c r="F2449" t="s">
        <v>279</v>
      </c>
      <c r="G2449" s="7">
        <v>6</v>
      </c>
      <c r="H2449" s="3">
        <v>43919.14</v>
      </c>
      <c r="I2449" s="3">
        <v>263514.84000000003</v>
      </c>
    </row>
    <row r="2450" spans="1:9" x14ac:dyDescent="0.3">
      <c r="A2450" s="5" t="s">
        <v>162</v>
      </c>
      <c r="B2450" t="s">
        <v>259</v>
      </c>
      <c r="C2450" t="s">
        <v>261</v>
      </c>
      <c r="D2450" t="s">
        <v>269</v>
      </c>
      <c r="E2450" t="s">
        <v>274</v>
      </c>
      <c r="F2450" t="s">
        <v>284</v>
      </c>
      <c r="G2450" s="7">
        <v>2</v>
      </c>
      <c r="H2450" s="3">
        <v>31121.9</v>
      </c>
      <c r="I2450" s="3">
        <v>62243.8</v>
      </c>
    </row>
    <row r="2451" spans="1:9" x14ac:dyDescent="0.3">
      <c r="A2451" s="5" t="s">
        <v>162</v>
      </c>
      <c r="B2451" t="s">
        <v>255</v>
      </c>
      <c r="C2451" t="s">
        <v>262</v>
      </c>
      <c r="D2451" t="s">
        <v>267</v>
      </c>
      <c r="E2451" t="s">
        <v>273</v>
      </c>
      <c r="F2451" t="s">
        <v>288</v>
      </c>
      <c r="G2451" s="7">
        <v>6</v>
      </c>
      <c r="H2451" s="3">
        <v>40991.22</v>
      </c>
      <c r="I2451" s="3">
        <v>245947.32</v>
      </c>
    </row>
    <row r="2452" spans="1:9" x14ac:dyDescent="0.3">
      <c r="A2452" s="5" t="s">
        <v>163</v>
      </c>
      <c r="B2452" t="s">
        <v>256</v>
      </c>
      <c r="C2452" t="s">
        <v>262</v>
      </c>
      <c r="D2452" t="s">
        <v>269</v>
      </c>
      <c r="E2452" t="s">
        <v>271</v>
      </c>
      <c r="F2452" t="s">
        <v>285</v>
      </c>
      <c r="G2452" s="7">
        <v>3</v>
      </c>
      <c r="H2452" s="3">
        <v>8122.52</v>
      </c>
      <c r="I2452" s="3">
        <v>24367.56</v>
      </c>
    </row>
    <row r="2453" spans="1:9" x14ac:dyDescent="0.3">
      <c r="A2453" s="5" t="s">
        <v>163</v>
      </c>
      <c r="B2453" t="s">
        <v>254</v>
      </c>
      <c r="C2453" t="s">
        <v>265</v>
      </c>
      <c r="D2453" t="s">
        <v>270</v>
      </c>
      <c r="E2453" t="s">
        <v>273</v>
      </c>
      <c r="F2453" t="s">
        <v>283</v>
      </c>
      <c r="G2453" s="7">
        <v>2</v>
      </c>
      <c r="H2453" s="3">
        <v>45945.14</v>
      </c>
      <c r="I2453" s="3">
        <v>91890.28</v>
      </c>
    </row>
    <row r="2454" spans="1:9" x14ac:dyDescent="0.3">
      <c r="A2454" s="5" t="s">
        <v>163</v>
      </c>
      <c r="B2454" t="s">
        <v>255</v>
      </c>
      <c r="C2454" t="s">
        <v>261</v>
      </c>
      <c r="D2454" t="s">
        <v>269</v>
      </c>
      <c r="E2454" t="s">
        <v>272</v>
      </c>
      <c r="F2454" t="s">
        <v>276</v>
      </c>
      <c r="G2454" s="7">
        <v>6</v>
      </c>
      <c r="H2454" s="3">
        <v>32007.79</v>
      </c>
      <c r="I2454" s="3">
        <v>192046.74</v>
      </c>
    </row>
    <row r="2455" spans="1:9" x14ac:dyDescent="0.3">
      <c r="A2455" s="5" t="s">
        <v>163</v>
      </c>
      <c r="B2455" t="s">
        <v>254</v>
      </c>
      <c r="C2455" t="s">
        <v>264</v>
      </c>
      <c r="D2455" t="s">
        <v>269</v>
      </c>
      <c r="E2455" t="s">
        <v>271</v>
      </c>
      <c r="F2455" t="s">
        <v>285</v>
      </c>
      <c r="G2455" s="7">
        <v>2</v>
      </c>
      <c r="H2455" s="3">
        <v>8368.4500000000007</v>
      </c>
      <c r="I2455" s="3">
        <v>16736.900000000001</v>
      </c>
    </row>
    <row r="2456" spans="1:9" x14ac:dyDescent="0.3">
      <c r="A2456" s="5" t="s">
        <v>163</v>
      </c>
      <c r="B2456" t="s">
        <v>256</v>
      </c>
      <c r="C2456" t="s">
        <v>262</v>
      </c>
      <c r="D2456" t="s">
        <v>270</v>
      </c>
      <c r="E2456" t="s">
        <v>271</v>
      </c>
      <c r="F2456" t="s">
        <v>285</v>
      </c>
      <c r="G2456" s="7">
        <v>5</v>
      </c>
      <c r="H2456" s="3">
        <v>8342.25</v>
      </c>
      <c r="I2456" s="3">
        <v>41711.25</v>
      </c>
    </row>
    <row r="2457" spans="1:9" x14ac:dyDescent="0.3">
      <c r="A2457" s="5" t="s">
        <v>163</v>
      </c>
      <c r="B2457" t="s">
        <v>256</v>
      </c>
      <c r="C2457" t="s">
        <v>262</v>
      </c>
      <c r="D2457" t="s">
        <v>268</v>
      </c>
      <c r="E2457" t="s">
        <v>274</v>
      </c>
      <c r="F2457" t="s">
        <v>287</v>
      </c>
      <c r="G2457" s="7">
        <v>2</v>
      </c>
      <c r="H2457" s="3">
        <v>30846.89</v>
      </c>
      <c r="I2457" s="3">
        <v>61693.78</v>
      </c>
    </row>
    <row r="2458" spans="1:9" x14ac:dyDescent="0.3">
      <c r="A2458" s="5" t="s">
        <v>163</v>
      </c>
      <c r="B2458" t="s">
        <v>254</v>
      </c>
      <c r="C2458" t="s">
        <v>263</v>
      </c>
      <c r="D2458" t="s">
        <v>267</v>
      </c>
      <c r="E2458" t="s">
        <v>272</v>
      </c>
      <c r="F2458" t="s">
        <v>286</v>
      </c>
      <c r="G2458" s="7">
        <v>3</v>
      </c>
      <c r="H2458" s="3">
        <v>29156.78</v>
      </c>
      <c r="I2458" s="3">
        <v>87470.34</v>
      </c>
    </row>
    <row r="2459" spans="1:9" x14ac:dyDescent="0.3">
      <c r="A2459" s="5" t="s">
        <v>164</v>
      </c>
      <c r="B2459" t="s">
        <v>260</v>
      </c>
      <c r="C2459" t="s">
        <v>264</v>
      </c>
      <c r="D2459" t="s">
        <v>270</v>
      </c>
      <c r="E2459" t="s">
        <v>271</v>
      </c>
      <c r="F2459" t="s">
        <v>285</v>
      </c>
      <c r="G2459" s="7">
        <v>3</v>
      </c>
      <c r="H2459" s="3">
        <v>7839.16</v>
      </c>
      <c r="I2459" s="3">
        <v>23517.48</v>
      </c>
    </row>
    <row r="2460" spans="1:9" x14ac:dyDescent="0.3">
      <c r="A2460" s="5" t="s">
        <v>164</v>
      </c>
      <c r="B2460" t="s">
        <v>258</v>
      </c>
      <c r="C2460" t="s">
        <v>264</v>
      </c>
      <c r="D2460" t="s">
        <v>266</v>
      </c>
      <c r="E2460" t="s">
        <v>272</v>
      </c>
      <c r="F2460" t="s">
        <v>276</v>
      </c>
      <c r="G2460" s="7">
        <v>6</v>
      </c>
      <c r="H2460" s="3">
        <v>29239.06</v>
      </c>
      <c r="I2460" s="3">
        <v>175434.36</v>
      </c>
    </row>
    <row r="2461" spans="1:9" x14ac:dyDescent="0.3">
      <c r="A2461" s="5" t="s">
        <v>164</v>
      </c>
      <c r="B2461" t="s">
        <v>253</v>
      </c>
      <c r="C2461" t="s">
        <v>262</v>
      </c>
      <c r="D2461" t="s">
        <v>268</v>
      </c>
      <c r="E2461" t="s">
        <v>273</v>
      </c>
      <c r="F2461" t="s">
        <v>288</v>
      </c>
      <c r="G2461" s="7">
        <v>6</v>
      </c>
      <c r="H2461" s="3">
        <v>50925.16</v>
      </c>
      <c r="I2461" s="3">
        <v>305550.96000000002</v>
      </c>
    </row>
    <row r="2462" spans="1:9" x14ac:dyDescent="0.3">
      <c r="A2462" s="5" t="s">
        <v>164</v>
      </c>
      <c r="B2462" t="s">
        <v>260</v>
      </c>
      <c r="C2462" t="s">
        <v>265</v>
      </c>
      <c r="D2462" t="s">
        <v>266</v>
      </c>
      <c r="E2462" t="s">
        <v>272</v>
      </c>
      <c r="F2462" t="s">
        <v>277</v>
      </c>
      <c r="G2462" s="7">
        <v>3</v>
      </c>
      <c r="H2462" s="3">
        <v>24133.65</v>
      </c>
      <c r="I2462" s="3">
        <v>72400.95</v>
      </c>
    </row>
    <row r="2463" spans="1:9" x14ac:dyDescent="0.3">
      <c r="A2463" s="5" t="s">
        <v>164</v>
      </c>
      <c r="B2463" t="s">
        <v>260</v>
      </c>
      <c r="C2463" t="s">
        <v>263</v>
      </c>
      <c r="D2463" t="s">
        <v>268</v>
      </c>
      <c r="E2463" t="s">
        <v>271</v>
      </c>
      <c r="F2463" t="s">
        <v>275</v>
      </c>
      <c r="G2463" s="7">
        <v>3</v>
      </c>
      <c r="H2463" s="3">
        <v>7258.25</v>
      </c>
      <c r="I2463" s="3">
        <v>21774.75</v>
      </c>
    </row>
    <row r="2464" spans="1:9" x14ac:dyDescent="0.3">
      <c r="A2464" s="5" t="s">
        <v>164</v>
      </c>
      <c r="B2464" t="s">
        <v>259</v>
      </c>
      <c r="C2464" t="s">
        <v>264</v>
      </c>
      <c r="D2464" t="s">
        <v>267</v>
      </c>
      <c r="E2464" t="s">
        <v>274</v>
      </c>
      <c r="F2464" t="s">
        <v>284</v>
      </c>
      <c r="G2464" s="7">
        <v>1</v>
      </c>
      <c r="H2464" s="3">
        <v>28161.57</v>
      </c>
      <c r="I2464" s="3">
        <v>28161.57</v>
      </c>
    </row>
    <row r="2465" spans="1:9" x14ac:dyDescent="0.3">
      <c r="A2465" s="5" t="s">
        <v>165</v>
      </c>
      <c r="B2465" t="s">
        <v>253</v>
      </c>
      <c r="C2465" t="s">
        <v>262</v>
      </c>
      <c r="D2465" t="s">
        <v>267</v>
      </c>
      <c r="E2465" t="s">
        <v>271</v>
      </c>
      <c r="F2465" t="s">
        <v>281</v>
      </c>
      <c r="G2465" s="7">
        <v>7</v>
      </c>
      <c r="H2465" s="3">
        <v>9046.24</v>
      </c>
      <c r="I2465" s="3">
        <v>63323.68</v>
      </c>
    </row>
    <row r="2466" spans="1:9" x14ac:dyDescent="0.3">
      <c r="A2466" s="5" t="s">
        <v>165</v>
      </c>
      <c r="B2466" t="s">
        <v>253</v>
      </c>
      <c r="C2466" t="s">
        <v>264</v>
      </c>
      <c r="D2466" t="s">
        <v>269</v>
      </c>
      <c r="E2466" t="s">
        <v>272</v>
      </c>
      <c r="F2466" t="s">
        <v>286</v>
      </c>
      <c r="G2466" s="7">
        <v>8</v>
      </c>
      <c r="H2466" s="3">
        <v>33369.9</v>
      </c>
      <c r="I2466" s="3">
        <v>266959.2</v>
      </c>
    </row>
    <row r="2467" spans="1:9" x14ac:dyDescent="0.3">
      <c r="A2467" s="5" t="s">
        <v>165</v>
      </c>
      <c r="B2467" t="s">
        <v>260</v>
      </c>
      <c r="C2467" t="s">
        <v>263</v>
      </c>
      <c r="D2467" t="s">
        <v>266</v>
      </c>
      <c r="E2467" t="s">
        <v>272</v>
      </c>
      <c r="F2467" t="s">
        <v>286</v>
      </c>
      <c r="G2467" s="7">
        <v>2</v>
      </c>
      <c r="H2467" s="3">
        <v>23854.71</v>
      </c>
      <c r="I2467" s="3">
        <v>47709.42</v>
      </c>
    </row>
    <row r="2468" spans="1:9" x14ac:dyDescent="0.3">
      <c r="A2468" s="5" t="s">
        <v>165</v>
      </c>
      <c r="B2468" t="s">
        <v>255</v>
      </c>
      <c r="C2468" t="s">
        <v>263</v>
      </c>
      <c r="D2468" t="s">
        <v>268</v>
      </c>
      <c r="E2468" t="s">
        <v>271</v>
      </c>
      <c r="F2468" t="s">
        <v>275</v>
      </c>
      <c r="G2468" s="7">
        <v>4</v>
      </c>
      <c r="H2468" s="3">
        <v>10409.65</v>
      </c>
      <c r="I2468" s="3">
        <v>41638.6</v>
      </c>
    </row>
    <row r="2469" spans="1:9" x14ac:dyDescent="0.3">
      <c r="A2469" s="5" t="s">
        <v>165</v>
      </c>
      <c r="B2469" t="s">
        <v>259</v>
      </c>
      <c r="C2469" t="s">
        <v>261</v>
      </c>
      <c r="D2469" t="s">
        <v>267</v>
      </c>
      <c r="E2469" t="s">
        <v>272</v>
      </c>
      <c r="F2469" t="s">
        <v>276</v>
      </c>
      <c r="G2469" s="7">
        <v>7</v>
      </c>
      <c r="H2469" s="3">
        <v>24990.32</v>
      </c>
      <c r="I2469" s="3">
        <v>174932.24</v>
      </c>
    </row>
    <row r="2470" spans="1:9" x14ac:dyDescent="0.3">
      <c r="A2470" s="5" t="s">
        <v>165</v>
      </c>
      <c r="B2470" t="s">
        <v>259</v>
      </c>
      <c r="C2470" t="s">
        <v>262</v>
      </c>
      <c r="D2470" t="s">
        <v>270</v>
      </c>
      <c r="E2470" t="s">
        <v>273</v>
      </c>
      <c r="F2470" t="s">
        <v>279</v>
      </c>
      <c r="G2470" s="7">
        <v>8</v>
      </c>
      <c r="H2470" s="3">
        <v>53405.7</v>
      </c>
      <c r="I2470" s="3">
        <v>427245.6</v>
      </c>
    </row>
    <row r="2471" spans="1:9" x14ac:dyDescent="0.3">
      <c r="A2471" s="5" t="s">
        <v>166</v>
      </c>
      <c r="B2471" t="s">
        <v>256</v>
      </c>
      <c r="C2471" t="s">
        <v>263</v>
      </c>
      <c r="D2471" t="s">
        <v>267</v>
      </c>
      <c r="E2471" t="s">
        <v>271</v>
      </c>
      <c r="F2471" t="s">
        <v>282</v>
      </c>
      <c r="G2471" s="7">
        <v>1</v>
      </c>
      <c r="H2471" s="3">
        <v>8866.7099999999991</v>
      </c>
      <c r="I2471" s="3">
        <v>8866.7099999999991</v>
      </c>
    </row>
    <row r="2472" spans="1:9" x14ac:dyDescent="0.3">
      <c r="A2472" s="5" t="s">
        <v>166</v>
      </c>
      <c r="B2472" t="s">
        <v>257</v>
      </c>
      <c r="C2472" t="s">
        <v>261</v>
      </c>
      <c r="D2472" t="s">
        <v>270</v>
      </c>
      <c r="E2472" t="s">
        <v>274</v>
      </c>
      <c r="F2472" t="s">
        <v>280</v>
      </c>
      <c r="G2472" s="7">
        <v>4</v>
      </c>
      <c r="H2472" s="3">
        <v>35639.769999999997</v>
      </c>
      <c r="I2472" s="3">
        <v>142559.07999999999</v>
      </c>
    </row>
    <row r="2473" spans="1:9" x14ac:dyDescent="0.3">
      <c r="A2473" s="5" t="s">
        <v>166</v>
      </c>
      <c r="B2473" t="s">
        <v>253</v>
      </c>
      <c r="C2473" t="s">
        <v>261</v>
      </c>
      <c r="D2473" t="s">
        <v>268</v>
      </c>
      <c r="E2473" t="s">
        <v>271</v>
      </c>
      <c r="F2473" t="s">
        <v>282</v>
      </c>
      <c r="G2473" s="7">
        <v>6</v>
      </c>
      <c r="H2473" s="3">
        <v>8961.32</v>
      </c>
      <c r="I2473" s="3">
        <v>53767.92</v>
      </c>
    </row>
    <row r="2474" spans="1:9" x14ac:dyDescent="0.3">
      <c r="A2474" s="5" t="s">
        <v>166</v>
      </c>
      <c r="B2474" t="s">
        <v>260</v>
      </c>
      <c r="C2474" t="s">
        <v>264</v>
      </c>
      <c r="D2474" t="s">
        <v>267</v>
      </c>
      <c r="E2474" t="s">
        <v>273</v>
      </c>
      <c r="F2474" t="s">
        <v>278</v>
      </c>
      <c r="G2474" s="7">
        <v>3</v>
      </c>
      <c r="H2474" s="3">
        <v>46836.87</v>
      </c>
      <c r="I2474" s="3">
        <v>140510.60999999999</v>
      </c>
    </row>
    <row r="2475" spans="1:9" x14ac:dyDescent="0.3">
      <c r="A2475" s="5" t="s">
        <v>166</v>
      </c>
      <c r="B2475" t="s">
        <v>256</v>
      </c>
      <c r="C2475" t="s">
        <v>264</v>
      </c>
      <c r="D2475" t="s">
        <v>267</v>
      </c>
      <c r="E2475" t="s">
        <v>273</v>
      </c>
      <c r="F2475" t="s">
        <v>288</v>
      </c>
      <c r="G2475" s="7">
        <v>5</v>
      </c>
      <c r="H2475" s="3">
        <v>53278.19</v>
      </c>
      <c r="I2475" s="3">
        <v>266390.95</v>
      </c>
    </row>
    <row r="2476" spans="1:9" x14ac:dyDescent="0.3">
      <c r="A2476" s="5" t="s">
        <v>166</v>
      </c>
      <c r="B2476" t="s">
        <v>254</v>
      </c>
      <c r="C2476" t="s">
        <v>261</v>
      </c>
      <c r="D2476" t="s">
        <v>268</v>
      </c>
      <c r="E2476" t="s">
        <v>273</v>
      </c>
      <c r="F2476" t="s">
        <v>278</v>
      </c>
      <c r="G2476" s="7">
        <v>9</v>
      </c>
      <c r="H2476" s="3">
        <v>51855.95</v>
      </c>
      <c r="I2476" s="3">
        <v>466703.55</v>
      </c>
    </row>
    <row r="2477" spans="1:9" x14ac:dyDescent="0.3">
      <c r="A2477" s="5" t="s">
        <v>167</v>
      </c>
      <c r="B2477" t="s">
        <v>258</v>
      </c>
      <c r="C2477" t="s">
        <v>264</v>
      </c>
      <c r="D2477" t="s">
        <v>267</v>
      </c>
      <c r="E2477" t="s">
        <v>273</v>
      </c>
      <c r="F2477" t="s">
        <v>283</v>
      </c>
      <c r="G2477" s="7">
        <v>3</v>
      </c>
      <c r="H2477" s="3">
        <v>46951.24</v>
      </c>
      <c r="I2477" s="3">
        <v>140853.72</v>
      </c>
    </row>
    <row r="2478" spans="1:9" x14ac:dyDescent="0.3">
      <c r="A2478" s="5" t="s">
        <v>167</v>
      </c>
      <c r="B2478" t="s">
        <v>257</v>
      </c>
      <c r="C2478" t="s">
        <v>263</v>
      </c>
      <c r="D2478" t="s">
        <v>270</v>
      </c>
      <c r="E2478" t="s">
        <v>273</v>
      </c>
      <c r="F2478" t="s">
        <v>279</v>
      </c>
      <c r="G2478" s="7">
        <v>5</v>
      </c>
      <c r="H2478" s="3">
        <v>40259.449999999997</v>
      </c>
      <c r="I2478" s="3">
        <v>201297.25</v>
      </c>
    </row>
    <row r="2479" spans="1:9" x14ac:dyDescent="0.3">
      <c r="A2479" s="5" t="s">
        <v>167</v>
      </c>
      <c r="B2479" t="s">
        <v>257</v>
      </c>
      <c r="C2479" t="s">
        <v>265</v>
      </c>
      <c r="D2479" t="s">
        <v>267</v>
      </c>
      <c r="E2479" t="s">
        <v>274</v>
      </c>
      <c r="F2479" t="s">
        <v>287</v>
      </c>
      <c r="G2479" s="7">
        <v>8</v>
      </c>
      <c r="H2479" s="3">
        <v>28677.16</v>
      </c>
      <c r="I2479" s="3">
        <v>229417.28</v>
      </c>
    </row>
    <row r="2480" spans="1:9" x14ac:dyDescent="0.3">
      <c r="A2480" s="5" t="s">
        <v>167</v>
      </c>
      <c r="B2480" t="s">
        <v>257</v>
      </c>
      <c r="C2480" t="s">
        <v>263</v>
      </c>
      <c r="D2480" t="s">
        <v>266</v>
      </c>
      <c r="E2480" t="s">
        <v>272</v>
      </c>
      <c r="F2480" t="s">
        <v>286</v>
      </c>
      <c r="G2480" s="7">
        <v>6</v>
      </c>
      <c r="H2480" s="3">
        <v>32777.24</v>
      </c>
      <c r="I2480" s="3">
        <v>196663.44</v>
      </c>
    </row>
    <row r="2481" spans="1:9" x14ac:dyDescent="0.3">
      <c r="A2481" s="5" t="s">
        <v>167</v>
      </c>
      <c r="B2481" t="s">
        <v>259</v>
      </c>
      <c r="C2481" t="s">
        <v>261</v>
      </c>
      <c r="D2481" t="s">
        <v>269</v>
      </c>
      <c r="E2481" t="s">
        <v>273</v>
      </c>
      <c r="F2481" t="s">
        <v>279</v>
      </c>
      <c r="G2481" s="7">
        <v>4</v>
      </c>
      <c r="H2481" s="3">
        <v>47779.03</v>
      </c>
      <c r="I2481" s="3">
        <v>191116.12</v>
      </c>
    </row>
    <row r="2482" spans="1:9" x14ac:dyDescent="0.3">
      <c r="A2482" s="5" t="s">
        <v>167</v>
      </c>
      <c r="B2482" t="s">
        <v>254</v>
      </c>
      <c r="C2482" t="s">
        <v>261</v>
      </c>
      <c r="D2482" t="s">
        <v>270</v>
      </c>
      <c r="E2482" t="s">
        <v>273</v>
      </c>
      <c r="F2482" t="s">
        <v>283</v>
      </c>
      <c r="G2482" s="7">
        <v>8</v>
      </c>
      <c r="H2482" s="3">
        <v>46918.6</v>
      </c>
      <c r="I2482" s="3">
        <v>375348.8</v>
      </c>
    </row>
    <row r="2483" spans="1:9" x14ac:dyDescent="0.3">
      <c r="A2483" s="5" t="s">
        <v>168</v>
      </c>
      <c r="B2483" t="s">
        <v>257</v>
      </c>
      <c r="C2483" t="s">
        <v>263</v>
      </c>
      <c r="D2483" t="s">
        <v>266</v>
      </c>
      <c r="E2483" t="s">
        <v>271</v>
      </c>
      <c r="F2483" t="s">
        <v>275</v>
      </c>
      <c r="G2483" s="7">
        <v>3</v>
      </c>
      <c r="H2483" s="3">
        <v>9538.93</v>
      </c>
      <c r="I2483" s="3">
        <v>28616.79</v>
      </c>
    </row>
    <row r="2484" spans="1:9" x14ac:dyDescent="0.3">
      <c r="A2484" s="5" t="s">
        <v>168</v>
      </c>
      <c r="B2484" t="s">
        <v>254</v>
      </c>
      <c r="C2484" t="s">
        <v>264</v>
      </c>
      <c r="D2484" t="s">
        <v>268</v>
      </c>
      <c r="E2484" t="s">
        <v>274</v>
      </c>
      <c r="F2484" t="s">
        <v>289</v>
      </c>
      <c r="G2484" s="7">
        <v>3</v>
      </c>
      <c r="H2484" s="3">
        <v>38193.17</v>
      </c>
      <c r="I2484" s="3">
        <v>114579.51</v>
      </c>
    </row>
    <row r="2485" spans="1:9" x14ac:dyDescent="0.3">
      <c r="A2485" s="5" t="s">
        <v>168</v>
      </c>
      <c r="B2485" t="s">
        <v>255</v>
      </c>
      <c r="C2485" t="s">
        <v>264</v>
      </c>
      <c r="D2485" t="s">
        <v>270</v>
      </c>
      <c r="E2485" t="s">
        <v>274</v>
      </c>
      <c r="F2485" t="s">
        <v>280</v>
      </c>
      <c r="G2485" s="7">
        <v>4</v>
      </c>
      <c r="H2485" s="3">
        <v>35249.58</v>
      </c>
      <c r="I2485" s="3">
        <v>140998.32</v>
      </c>
    </row>
    <row r="2486" spans="1:9" x14ac:dyDescent="0.3">
      <c r="A2486" s="5" t="s">
        <v>168</v>
      </c>
      <c r="B2486" t="s">
        <v>257</v>
      </c>
      <c r="C2486" t="s">
        <v>261</v>
      </c>
      <c r="D2486" t="s">
        <v>269</v>
      </c>
      <c r="E2486" t="s">
        <v>272</v>
      </c>
      <c r="F2486" t="s">
        <v>290</v>
      </c>
      <c r="G2486" s="7">
        <v>9</v>
      </c>
      <c r="H2486" s="3">
        <v>32343.9</v>
      </c>
      <c r="I2486" s="3">
        <v>291095.09999999998</v>
      </c>
    </row>
    <row r="2487" spans="1:9" x14ac:dyDescent="0.3">
      <c r="A2487" s="5" t="s">
        <v>168</v>
      </c>
      <c r="B2487" t="s">
        <v>258</v>
      </c>
      <c r="C2487" t="s">
        <v>262</v>
      </c>
      <c r="D2487" t="s">
        <v>269</v>
      </c>
      <c r="E2487" t="s">
        <v>274</v>
      </c>
      <c r="F2487" t="s">
        <v>289</v>
      </c>
      <c r="G2487" s="7">
        <v>5</v>
      </c>
      <c r="H2487" s="3">
        <v>36995.46</v>
      </c>
      <c r="I2487" s="3">
        <v>184977.3</v>
      </c>
    </row>
    <row r="2488" spans="1:9" x14ac:dyDescent="0.3">
      <c r="A2488" s="5" t="s">
        <v>168</v>
      </c>
      <c r="B2488" t="s">
        <v>254</v>
      </c>
      <c r="C2488" t="s">
        <v>264</v>
      </c>
      <c r="D2488" t="s">
        <v>268</v>
      </c>
      <c r="E2488" t="s">
        <v>271</v>
      </c>
      <c r="F2488" t="s">
        <v>285</v>
      </c>
      <c r="G2488" s="7">
        <v>8</v>
      </c>
      <c r="H2488" s="3">
        <v>8436.2900000000009</v>
      </c>
      <c r="I2488" s="3">
        <v>67490.320000000007</v>
      </c>
    </row>
    <row r="2489" spans="1:9" x14ac:dyDescent="0.3">
      <c r="A2489" s="5" t="s">
        <v>169</v>
      </c>
      <c r="B2489" t="s">
        <v>254</v>
      </c>
      <c r="C2489" t="s">
        <v>263</v>
      </c>
      <c r="D2489" t="s">
        <v>268</v>
      </c>
      <c r="E2489" t="s">
        <v>271</v>
      </c>
      <c r="F2489" t="s">
        <v>281</v>
      </c>
      <c r="G2489" s="7">
        <v>6</v>
      </c>
      <c r="H2489" s="3">
        <v>8156.88</v>
      </c>
      <c r="I2489" s="3">
        <v>48941.279999999999</v>
      </c>
    </row>
    <row r="2490" spans="1:9" x14ac:dyDescent="0.3">
      <c r="A2490" s="5" t="s">
        <v>169</v>
      </c>
      <c r="B2490" t="s">
        <v>258</v>
      </c>
      <c r="C2490" t="s">
        <v>264</v>
      </c>
      <c r="D2490" t="s">
        <v>270</v>
      </c>
      <c r="E2490" t="s">
        <v>272</v>
      </c>
      <c r="F2490" t="s">
        <v>286</v>
      </c>
      <c r="G2490" s="7">
        <v>3</v>
      </c>
      <c r="H2490" s="3">
        <v>32773.040000000001</v>
      </c>
      <c r="I2490" s="3">
        <v>98319.12</v>
      </c>
    </row>
    <row r="2491" spans="1:9" x14ac:dyDescent="0.3">
      <c r="A2491" s="5" t="s">
        <v>169</v>
      </c>
      <c r="B2491" t="s">
        <v>257</v>
      </c>
      <c r="C2491" t="s">
        <v>263</v>
      </c>
      <c r="D2491" t="s">
        <v>267</v>
      </c>
      <c r="E2491" t="s">
        <v>271</v>
      </c>
      <c r="F2491" t="s">
        <v>282</v>
      </c>
      <c r="G2491" s="7">
        <v>8</v>
      </c>
      <c r="H2491" s="3">
        <v>8507.41</v>
      </c>
      <c r="I2491" s="3">
        <v>68059.28</v>
      </c>
    </row>
    <row r="2492" spans="1:9" x14ac:dyDescent="0.3">
      <c r="A2492" s="5" t="s">
        <v>169</v>
      </c>
      <c r="B2492" t="s">
        <v>258</v>
      </c>
      <c r="C2492" t="s">
        <v>261</v>
      </c>
      <c r="D2492" t="s">
        <v>268</v>
      </c>
      <c r="E2492" t="s">
        <v>273</v>
      </c>
      <c r="F2492" t="s">
        <v>283</v>
      </c>
      <c r="G2492" s="7">
        <v>9</v>
      </c>
      <c r="H2492" s="3">
        <v>54510.05</v>
      </c>
      <c r="I2492" s="3">
        <v>490590.45</v>
      </c>
    </row>
    <row r="2493" spans="1:9" x14ac:dyDescent="0.3">
      <c r="A2493" s="5" t="s">
        <v>169</v>
      </c>
      <c r="B2493" t="s">
        <v>254</v>
      </c>
      <c r="C2493" t="s">
        <v>264</v>
      </c>
      <c r="D2493" t="s">
        <v>267</v>
      </c>
      <c r="E2493" t="s">
        <v>273</v>
      </c>
      <c r="F2493" t="s">
        <v>279</v>
      </c>
      <c r="G2493" s="7">
        <v>8</v>
      </c>
      <c r="H2493" s="3">
        <v>39504.43</v>
      </c>
      <c r="I2493" s="3">
        <v>316035.44</v>
      </c>
    </row>
    <row r="2494" spans="1:9" x14ac:dyDescent="0.3">
      <c r="A2494" s="5" t="s">
        <v>169</v>
      </c>
      <c r="B2494" t="s">
        <v>258</v>
      </c>
      <c r="C2494" t="s">
        <v>263</v>
      </c>
      <c r="D2494" t="s">
        <v>266</v>
      </c>
      <c r="E2494" t="s">
        <v>271</v>
      </c>
      <c r="F2494" t="s">
        <v>282</v>
      </c>
      <c r="G2494" s="7">
        <v>4</v>
      </c>
      <c r="H2494" s="3">
        <v>7422.94</v>
      </c>
      <c r="I2494" s="3">
        <v>29691.759999999998</v>
      </c>
    </row>
    <row r="2495" spans="1:9" x14ac:dyDescent="0.3">
      <c r="A2495" s="5" t="s">
        <v>169</v>
      </c>
      <c r="B2495" t="s">
        <v>254</v>
      </c>
      <c r="C2495" t="s">
        <v>261</v>
      </c>
      <c r="D2495" t="s">
        <v>269</v>
      </c>
      <c r="E2495" t="s">
        <v>272</v>
      </c>
      <c r="F2495" t="s">
        <v>286</v>
      </c>
      <c r="G2495" s="7">
        <v>6</v>
      </c>
      <c r="H2495" s="3">
        <v>34182.449999999997</v>
      </c>
      <c r="I2495" s="3">
        <v>205094.7</v>
      </c>
    </row>
    <row r="2496" spans="1:9" x14ac:dyDescent="0.3">
      <c r="A2496" s="5" t="s">
        <v>170</v>
      </c>
      <c r="B2496" t="s">
        <v>254</v>
      </c>
      <c r="C2496" t="s">
        <v>262</v>
      </c>
      <c r="D2496" t="s">
        <v>267</v>
      </c>
      <c r="E2496" t="s">
        <v>274</v>
      </c>
      <c r="F2496" t="s">
        <v>284</v>
      </c>
      <c r="G2496" s="7">
        <v>1</v>
      </c>
      <c r="H2496" s="3">
        <v>35500.22</v>
      </c>
      <c r="I2496" s="3">
        <v>35500.22</v>
      </c>
    </row>
    <row r="2497" spans="1:9" x14ac:dyDescent="0.3">
      <c r="A2497" s="5" t="s">
        <v>170</v>
      </c>
      <c r="B2497" t="s">
        <v>255</v>
      </c>
      <c r="C2497" t="s">
        <v>263</v>
      </c>
      <c r="D2497" t="s">
        <v>269</v>
      </c>
      <c r="E2497" t="s">
        <v>272</v>
      </c>
      <c r="F2497" t="s">
        <v>276</v>
      </c>
      <c r="G2497" s="7">
        <v>4</v>
      </c>
      <c r="H2497" s="3">
        <v>28051.51</v>
      </c>
      <c r="I2497" s="3">
        <v>112206.04</v>
      </c>
    </row>
    <row r="2498" spans="1:9" x14ac:dyDescent="0.3">
      <c r="A2498" s="5" t="s">
        <v>170</v>
      </c>
      <c r="B2498" t="s">
        <v>260</v>
      </c>
      <c r="C2498" t="s">
        <v>262</v>
      </c>
      <c r="D2498" t="s">
        <v>267</v>
      </c>
      <c r="E2498" t="s">
        <v>274</v>
      </c>
      <c r="F2498" t="s">
        <v>284</v>
      </c>
      <c r="G2498" s="7">
        <v>8</v>
      </c>
      <c r="H2498" s="3">
        <v>36864.769999999997</v>
      </c>
      <c r="I2498" s="3">
        <v>294918.15999999997</v>
      </c>
    </row>
    <row r="2499" spans="1:9" x14ac:dyDescent="0.3">
      <c r="A2499" s="5" t="s">
        <v>170</v>
      </c>
      <c r="B2499" t="s">
        <v>254</v>
      </c>
      <c r="C2499" t="s">
        <v>262</v>
      </c>
      <c r="D2499" t="s">
        <v>266</v>
      </c>
      <c r="E2499" t="s">
        <v>271</v>
      </c>
      <c r="F2499" t="s">
        <v>285</v>
      </c>
      <c r="G2499" s="7">
        <v>1</v>
      </c>
      <c r="H2499" s="3">
        <v>9510.91</v>
      </c>
      <c r="I2499" s="3">
        <v>9510.91</v>
      </c>
    </row>
    <row r="2500" spans="1:9" x14ac:dyDescent="0.3">
      <c r="A2500" s="5" t="s">
        <v>170</v>
      </c>
      <c r="B2500" t="s">
        <v>257</v>
      </c>
      <c r="C2500" t="s">
        <v>265</v>
      </c>
      <c r="D2500" t="s">
        <v>268</v>
      </c>
      <c r="E2500" t="s">
        <v>271</v>
      </c>
      <c r="F2500" t="s">
        <v>275</v>
      </c>
      <c r="G2500" s="7">
        <v>3</v>
      </c>
      <c r="H2500" s="3">
        <v>9031.08</v>
      </c>
      <c r="I2500" s="3">
        <v>27093.24</v>
      </c>
    </row>
    <row r="2501" spans="1:9" x14ac:dyDescent="0.3">
      <c r="A2501" s="5" t="s">
        <v>170</v>
      </c>
      <c r="B2501" t="s">
        <v>256</v>
      </c>
      <c r="C2501" t="s">
        <v>264</v>
      </c>
      <c r="D2501" t="s">
        <v>266</v>
      </c>
      <c r="E2501" t="s">
        <v>273</v>
      </c>
      <c r="F2501" t="s">
        <v>279</v>
      </c>
      <c r="G2501" s="7">
        <v>1</v>
      </c>
      <c r="H2501" s="3">
        <v>40029.72</v>
      </c>
      <c r="I2501" s="3">
        <v>40029.72</v>
      </c>
    </row>
    <row r="2502" spans="1:9" x14ac:dyDescent="0.3">
      <c r="A2502" s="5" t="s">
        <v>171</v>
      </c>
      <c r="B2502" t="s">
        <v>259</v>
      </c>
      <c r="C2502" t="s">
        <v>263</v>
      </c>
      <c r="D2502" t="s">
        <v>268</v>
      </c>
      <c r="E2502" t="s">
        <v>274</v>
      </c>
      <c r="F2502" t="s">
        <v>280</v>
      </c>
      <c r="G2502" s="7">
        <v>9</v>
      </c>
      <c r="H2502" s="3">
        <v>37595.9</v>
      </c>
      <c r="I2502" s="3">
        <v>338363.1</v>
      </c>
    </row>
    <row r="2503" spans="1:9" x14ac:dyDescent="0.3">
      <c r="A2503" s="5" t="s">
        <v>171</v>
      </c>
      <c r="B2503" t="s">
        <v>253</v>
      </c>
      <c r="C2503" t="s">
        <v>262</v>
      </c>
      <c r="D2503" t="s">
        <v>268</v>
      </c>
      <c r="E2503" t="s">
        <v>272</v>
      </c>
      <c r="F2503" t="s">
        <v>276</v>
      </c>
      <c r="G2503" s="7">
        <v>2</v>
      </c>
      <c r="H2503" s="3">
        <v>33499.46</v>
      </c>
      <c r="I2503" s="3">
        <v>66998.92</v>
      </c>
    </row>
    <row r="2504" spans="1:9" x14ac:dyDescent="0.3">
      <c r="A2504" s="5" t="s">
        <v>171</v>
      </c>
      <c r="B2504" t="s">
        <v>260</v>
      </c>
      <c r="C2504" t="s">
        <v>265</v>
      </c>
      <c r="D2504" t="s">
        <v>269</v>
      </c>
      <c r="E2504" t="s">
        <v>271</v>
      </c>
      <c r="F2504" t="s">
        <v>282</v>
      </c>
      <c r="G2504" s="7">
        <v>9</v>
      </c>
      <c r="H2504" s="3">
        <v>7810.37</v>
      </c>
      <c r="I2504" s="3">
        <v>70293.33</v>
      </c>
    </row>
    <row r="2505" spans="1:9" x14ac:dyDescent="0.3">
      <c r="A2505" s="5" t="s">
        <v>171</v>
      </c>
      <c r="B2505" t="s">
        <v>260</v>
      </c>
      <c r="C2505" t="s">
        <v>261</v>
      </c>
      <c r="D2505" t="s">
        <v>266</v>
      </c>
      <c r="E2505" t="s">
        <v>272</v>
      </c>
      <c r="F2505" t="s">
        <v>276</v>
      </c>
      <c r="G2505" s="7">
        <v>4</v>
      </c>
      <c r="H2505" s="3">
        <v>33325.730000000003</v>
      </c>
      <c r="I2505" s="3">
        <v>133302.92000000001</v>
      </c>
    </row>
    <row r="2506" spans="1:9" x14ac:dyDescent="0.3">
      <c r="A2506" s="5" t="s">
        <v>171</v>
      </c>
      <c r="B2506" t="s">
        <v>260</v>
      </c>
      <c r="C2506" t="s">
        <v>263</v>
      </c>
      <c r="D2506" t="s">
        <v>267</v>
      </c>
      <c r="E2506" t="s">
        <v>273</v>
      </c>
      <c r="F2506" t="s">
        <v>283</v>
      </c>
      <c r="G2506" s="7">
        <v>2</v>
      </c>
      <c r="H2506" s="3">
        <v>54051.25</v>
      </c>
      <c r="I2506" s="3">
        <v>108102.5</v>
      </c>
    </row>
    <row r="2507" spans="1:9" x14ac:dyDescent="0.3">
      <c r="A2507" s="5" t="s">
        <v>171</v>
      </c>
      <c r="B2507" t="s">
        <v>255</v>
      </c>
      <c r="C2507" t="s">
        <v>262</v>
      </c>
      <c r="D2507" t="s">
        <v>266</v>
      </c>
      <c r="E2507" t="s">
        <v>274</v>
      </c>
      <c r="F2507" t="s">
        <v>280</v>
      </c>
      <c r="G2507" s="7">
        <v>4</v>
      </c>
      <c r="H2507" s="3">
        <v>34232.69</v>
      </c>
      <c r="I2507" s="3">
        <v>136930.76</v>
      </c>
    </row>
    <row r="2508" spans="1:9" x14ac:dyDescent="0.3">
      <c r="A2508" s="5" t="s">
        <v>172</v>
      </c>
      <c r="B2508" t="s">
        <v>254</v>
      </c>
      <c r="C2508" t="s">
        <v>264</v>
      </c>
      <c r="D2508" t="s">
        <v>269</v>
      </c>
      <c r="E2508" t="s">
        <v>274</v>
      </c>
      <c r="F2508" t="s">
        <v>280</v>
      </c>
      <c r="G2508" s="7">
        <v>6</v>
      </c>
      <c r="H2508" s="3">
        <v>35599.089999999997</v>
      </c>
      <c r="I2508" s="3">
        <v>213594.54</v>
      </c>
    </row>
    <row r="2509" spans="1:9" x14ac:dyDescent="0.3">
      <c r="A2509" s="5" t="s">
        <v>172</v>
      </c>
      <c r="B2509" t="s">
        <v>255</v>
      </c>
      <c r="C2509" t="s">
        <v>265</v>
      </c>
      <c r="D2509" t="s">
        <v>268</v>
      </c>
      <c r="E2509" t="s">
        <v>271</v>
      </c>
      <c r="F2509" t="s">
        <v>275</v>
      </c>
      <c r="G2509" s="7">
        <v>7</v>
      </c>
      <c r="H2509" s="3">
        <v>8524.61</v>
      </c>
      <c r="I2509" s="3">
        <v>59672.27</v>
      </c>
    </row>
    <row r="2510" spans="1:9" x14ac:dyDescent="0.3">
      <c r="A2510" s="5" t="s">
        <v>172</v>
      </c>
      <c r="B2510" t="s">
        <v>254</v>
      </c>
      <c r="C2510" t="s">
        <v>262</v>
      </c>
      <c r="D2510" t="s">
        <v>269</v>
      </c>
      <c r="E2510" t="s">
        <v>274</v>
      </c>
      <c r="F2510" t="s">
        <v>287</v>
      </c>
      <c r="G2510" s="7">
        <v>3</v>
      </c>
      <c r="H2510" s="3">
        <v>30806.93</v>
      </c>
      <c r="I2510" s="3">
        <v>92420.79</v>
      </c>
    </row>
    <row r="2511" spans="1:9" x14ac:dyDescent="0.3">
      <c r="A2511" s="5" t="s">
        <v>172</v>
      </c>
      <c r="B2511" t="s">
        <v>257</v>
      </c>
      <c r="C2511" t="s">
        <v>264</v>
      </c>
      <c r="D2511" t="s">
        <v>270</v>
      </c>
      <c r="E2511" t="s">
        <v>271</v>
      </c>
      <c r="F2511" t="s">
        <v>285</v>
      </c>
      <c r="G2511" s="7">
        <v>3</v>
      </c>
      <c r="H2511" s="3">
        <v>9679.74</v>
      </c>
      <c r="I2511" s="3">
        <v>29039.22</v>
      </c>
    </row>
    <row r="2512" spans="1:9" x14ac:dyDescent="0.3">
      <c r="A2512" s="5" t="s">
        <v>172</v>
      </c>
      <c r="B2512" t="s">
        <v>255</v>
      </c>
      <c r="C2512" t="s">
        <v>262</v>
      </c>
      <c r="D2512" t="s">
        <v>270</v>
      </c>
      <c r="E2512" t="s">
        <v>273</v>
      </c>
      <c r="F2512" t="s">
        <v>278</v>
      </c>
      <c r="G2512" s="7">
        <v>8</v>
      </c>
      <c r="H2512" s="3">
        <v>53763.75</v>
      </c>
      <c r="I2512" s="3">
        <v>430110</v>
      </c>
    </row>
    <row r="2513" spans="1:9" x14ac:dyDescent="0.3">
      <c r="A2513" s="5" t="s">
        <v>172</v>
      </c>
      <c r="B2513" t="s">
        <v>255</v>
      </c>
      <c r="C2513" t="s">
        <v>263</v>
      </c>
      <c r="D2513" t="s">
        <v>267</v>
      </c>
      <c r="E2513" t="s">
        <v>274</v>
      </c>
      <c r="F2513" t="s">
        <v>289</v>
      </c>
      <c r="G2513" s="7">
        <v>5</v>
      </c>
      <c r="H2513" s="3">
        <v>35572.19</v>
      </c>
      <c r="I2513" s="3">
        <v>177860.95</v>
      </c>
    </row>
    <row r="2514" spans="1:9" x14ac:dyDescent="0.3">
      <c r="A2514" s="5" t="s">
        <v>173</v>
      </c>
      <c r="B2514" t="s">
        <v>259</v>
      </c>
      <c r="C2514" t="s">
        <v>263</v>
      </c>
      <c r="D2514" t="s">
        <v>269</v>
      </c>
      <c r="E2514" t="s">
        <v>271</v>
      </c>
      <c r="F2514" t="s">
        <v>285</v>
      </c>
      <c r="G2514" s="7">
        <v>4</v>
      </c>
      <c r="H2514" s="3">
        <v>8964.41</v>
      </c>
      <c r="I2514" s="3">
        <v>35857.64</v>
      </c>
    </row>
    <row r="2515" spans="1:9" x14ac:dyDescent="0.3">
      <c r="A2515" s="5" t="s">
        <v>173</v>
      </c>
      <c r="B2515" t="s">
        <v>256</v>
      </c>
      <c r="C2515" t="s">
        <v>263</v>
      </c>
      <c r="D2515" t="s">
        <v>267</v>
      </c>
      <c r="E2515" t="s">
        <v>272</v>
      </c>
      <c r="F2515" t="s">
        <v>286</v>
      </c>
      <c r="G2515" s="7">
        <v>7</v>
      </c>
      <c r="H2515" s="3">
        <v>25579.96</v>
      </c>
      <c r="I2515" s="3">
        <v>179059.72</v>
      </c>
    </row>
    <row r="2516" spans="1:9" x14ac:dyDescent="0.3">
      <c r="A2516" s="5" t="s">
        <v>173</v>
      </c>
      <c r="B2516" t="s">
        <v>255</v>
      </c>
      <c r="C2516" t="s">
        <v>265</v>
      </c>
      <c r="D2516" t="s">
        <v>267</v>
      </c>
      <c r="E2516" t="s">
        <v>271</v>
      </c>
      <c r="F2516" t="s">
        <v>281</v>
      </c>
      <c r="G2516" s="7">
        <v>7</v>
      </c>
      <c r="H2516" s="3">
        <v>7406.76</v>
      </c>
      <c r="I2516" s="3">
        <v>51847.32</v>
      </c>
    </row>
    <row r="2517" spans="1:9" x14ac:dyDescent="0.3">
      <c r="A2517" s="5" t="s">
        <v>173</v>
      </c>
      <c r="B2517" t="s">
        <v>259</v>
      </c>
      <c r="C2517" t="s">
        <v>263</v>
      </c>
      <c r="D2517" t="s">
        <v>270</v>
      </c>
      <c r="E2517" t="s">
        <v>274</v>
      </c>
      <c r="F2517" t="s">
        <v>284</v>
      </c>
      <c r="G2517" s="7">
        <v>9</v>
      </c>
      <c r="H2517" s="3">
        <v>32904.85</v>
      </c>
      <c r="I2517" s="3">
        <v>296143.65000000002</v>
      </c>
    </row>
    <row r="2518" spans="1:9" x14ac:dyDescent="0.3">
      <c r="A2518" s="5" t="s">
        <v>173</v>
      </c>
      <c r="B2518" t="s">
        <v>258</v>
      </c>
      <c r="C2518" t="s">
        <v>264</v>
      </c>
      <c r="D2518" t="s">
        <v>267</v>
      </c>
      <c r="E2518" t="s">
        <v>273</v>
      </c>
      <c r="F2518" t="s">
        <v>279</v>
      </c>
      <c r="G2518" s="7">
        <v>9</v>
      </c>
      <c r="H2518" s="3">
        <v>39138.29</v>
      </c>
      <c r="I2518" s="3">
        <v>352244.61</v>
      </c>
    </row>
    <row r="2519" spans="1:9" x14ac:dyDescent="0.3">
      <c r="A2519" s="5" t="s">
        <v>173</v>
      </c>
      <c r="B2519" t="s">
        <v>256</v>
      </c>
      <c r="C2519" t="s">
        <v>262</v>
      </c>
      <c r="D2519" t="s">
        <v>270</v>
      </c>
      <c r="E2519" t="s">
        <v>274</v>
      </c>
      <c r="F2519" t="s">
        <v>284</v>
      </c>
      <c r="G2519" s="7">
        <v>5</v>
      </c>
      <c r="H2519" s="3">
        <v>34487.480000000003</v>
      </c>
      <c r="I2519" s="3">
        <v>172437.4</v>
      </c>
    </row>
    <row r="2520" spans="1:9" x14ac:dyDescent="0.3">
      <c r="A2520" s="5" t="s">
        <v>174</v>
      </c>
      <c r="B2520" t="s">
        <v>257</v>
      </c>
      <c r="C2520" t="s">
        <v>261</v>
      </c>
      <c r="D2520" t="s">
        <v>268</v>
      </c>
      <c r="E2520" t="s">
        <v>274</v>
      </c>
      <c r="F2520" t="s">
        <v>289</v>
      </c>
      <c r="G2520" s="7">
        <v>8</v>
      </c>
      <c r="H2520" s="3">
        <v>32098.93</v>
      </c>
      <c r="I2520" s="3">
        <v>256791.44</v>
      </c>
    </row>
    <row r="2521" spans="1:9" x14ac:dyDescent="0.3">
      <c r="A2521" s="5" t="s">
        <v>174</v>
      </c>
      <c r="B2521" t="s">
        <v>255</v>
      </c>
      <c r="C2521" t="s">
        <v>264</v>
      </c>
      <c r="D2521" t="s">
        <v>269</v>
      </c>
      <c r="E2521" t="s">
        <v>271</v>
      </c>
      <c r="F2521" t="s">
        <v>285</v>
      </c>
      <c r="G2521" s="7">
        <v>1</v>
      </c>
      <c r="H2521" s="3">
        <v>9799.44</v>
      </c>
      <c r="I2521" s="3">
        <v>9799.44</v>
      </c>
    </row>
    <row r="2522" spans="1:9" x14ac:dyDescent="0.3">
      <c r="A2522" s="5" t="s">
        <v>174</v>
      </c>
      <c r="B2522" t="s">
        <v>253</v>
      </c>
      <c r="C2522" t="s">
        <v>264</v>
      </c>
      <c r="D2522" t="s">
        <v>267</v>
      </c>
      <c r="E2522" t="s">
        <v>272</v>
      </c>
      <c r="F2522" t="s">
        <v>277</v>
      </c>
      <c r="G2522" s="7">
        <v>9</v>
      </c>
      <c r="H2522" s="3">
        <v>27223.26</v>
      </c>
      <c r="I2522" s="3">
        <v>245009.34</v>
      </c>
    </row>
    <row r="2523" spans="1:9" x14ac:dyDescent="0.3">
      <c r="A2523" s="5" t="s">
        <v>174</v>
      </c>
      <c r="B2523" t="s">
        <v>260</v>
      </c>
      <c r="C2523" t="s">
        <v>263</v>
      </c>
      <c r="D2523" t="s">
        <v>270</v>
      </c>
      <c r="E2523" t="s">
        <v>274</v>
      </c>
      <c r="F2523" t="s">
        <v>287</v>
      </c>
      <c r="G2523" s="7">
        <v>8</v>
      </c>
      <c r="H2523" s="3">
        <v>34790.18</v>
      </c>
      <c r="I2523" s="3">
        <v>278321.44</v>
      </c>
    </row>
    <row r="2524" spans="1:9" x14ac:dyDescent="0.3">
      <c r="A2524" s="5" t="s">
        <v>174</v>
      </c>
      <c r="B2524" t="s">
        <v>258</v>
      </c>
      <c r="C2524" t="s">
        <v>265</v>
      </c>
      <c r="D2524" t="s">
        <v>266</v>
      </c>
      <c r="E2524" t="s">
        <v>272</v>
      </c>
      <c r="F2524" t="s">
        <v>286</v>
      </c>
      <c r="G2524" s="7">
        <v>6</v>
      </c>
      <c r="H2524" s="3">
        <v>29822.06</v>
      </c>
      <c r="I2524" s="3">
        <v>178932.36</v>
      </c>
    </row>
    <row r="2525" spans="1:9" x14ac:dyDescent="0.3">
      <c r="A2525" s="5" t="s">
        <v>174</v>
      </c>
      <c r="B2525" t="s">
        <v>258</v>
      </c>
      <c r="C2525" t="s">
        <v>262</v>
      </c>
      <c r="D2525" t="s">
        <v>267</v>
      </c>
      <c r="E2525" t="s">
        <v>271</v>
      </c>
      <c r="F2525" t="s">
        <v>275</v>
      </c>
      <c r="G2525" s="7">
        <v>3</v>
      </c>
      <c r="H2525" s="3">
        <v>7241.02</v>
      </c>
      <c r="I2525" s="3">
        <v>21723.06</v>
      </c>
    </row>
    <row r="2526" spans="1:9" x14ac:dyDescent="0.3">
      <c r="A2526" s="5" t="s">
        <v>174</v>
      </c>
      <c r="B2526" t="s">
        <v>257</v>
      </c>
      <c r="C2526" t="s">
        <v>265</v>
      </c>
      <c r="D2526" t="s">
        <v>268</v>
      </c>
      <c r="E2526" t="s">
        <v>272</v>
      </c>
      <c r="F2526" t="s">
        <v>276</v>
      </c>
      <c r="G2526" s="7">
        <v>3</v>
      </c>
      <c r="H2526" s="3">
        <v>24610.76</v>
      </c>
      <c r="I2526" s="3">
        <v>73832.28</v>
      </c>
    </row>
    <row r="2527" spans="1:9" x14ac:dyDescent="0.3">
      <c r="A2527" s="5" t="s">
        <v>175</v>
      </c>
      <c r="B2527" t="s">
        <v>259</v>
      </c>
      <c r="C2527" t="s">
        <v>262</v>
      </c>
      <c r="D2527" t="s">
        <v>268</v>
      </c>
      <c r="E2527" t="s">
        <v>271</v>
      </c>
      <c r="F2527" t="s">
        <v>282</v>
      </c>
      <c r="G2527" s="7">
        <v>8</v>
      </c>
      <c r="H2527" s="3">
        <v>8212.25</v>
      </c>
      <c r="I2527" s="3">
        <v>65698</v>
      </c>
    </row>
    <row r="2528" spans="1:9" x14ac:dyDescent="0.3">
      <c r="A2528" s="5" t="s">
        <v>175</v>
      </c>
      <c r="B2528" t="s">
        <v>258</v>
      </c>
      <c r="C2528" t="s">
        <v>262</v>
      </c>
      <c r="D2528" t="s">
        <v>266</v>
      </c>
      <c r="E2528" t="s">
        <v>273</v>
      </c>
      <c r="F2528" t="s">
        <v>279</v>
      </c>
      <c r="G2528" s="7">
        <v>5</v>
      </c>
      <c r="H2528" s="3">
        <v>54130.23</v>
      </c>
      <c r="I2528" s="3">
        <v>270651.15000000002</v>
      </c>
    </row>
    <row r="2529" spans="1:9" x14ac:dyDescent="0.3">
      <c r="A2529" s="5" t="s">
        <v>175</v>
      </c>
      <c r="B2529" t="s">
        <v>256</v>
      </c>
      <c r="C2529" t="s">
        <v>265</v>
      </c>
      <c r="D2529" t="s">
        <v>270</v>
      </c>
      <c r="E2529" t="s">
        <v>272</v>
      </c>
      <c r="F2529" t="s">
        <v>276</v>
      </c>
      <c r="G2529" s="7">
        <v>7</v>
      </c>
      <c r="H2529" s="3">
        <v>25446.57</v>
      </c>
      <c r="I2529" s="3">
        <v>178125.99</v>
      </c>
    </row>
    <row r="2530" spans="1:9" x14ac:dyDescent="0.3">
      <c r="A2530" s="5" t="s">
        <v>175</v>
      </c>
      <c r="B2530" t="s">
        <v>255</v>
      </c>
      <c r="C2530" t="s">
        <v>264</v>
      </c>
      <c r="D2530" t="s">
        <v>267</v>
      </c>
      <c r="E2530" t="s">
        <v>272</v>
      </c>
      <c r="F2530" t="s">
        <v>290</v>
      </c>
      <c r="G2530" s="7">
        <v>5</v>
      </c>
      <c r="H2530" s="3">
        <v>31762.02</v>
      </c>
      <c r="I2530" s="3">
        <v>158810.1</v>
      </c>
    </row>
    <row r="2531" spans="1:9" x14ac:dyDescent="0.3">
      <c r="A2531" s="5" t="s">
        <v>175</v>
      </c>
      <c r="B2531" t="s">
        <v>255</v>
      </c>
      <c r="C2531" t="s">
        <v>262</v>
      </c>
      <c r="D2531" t="s">
        <v>270</v>
      </c>
      <c r="E2531" t="s">
        <v>273</v>
      </c>
      <c r="F2531" t="s">
        <v>279</v>
      </c>
      <c r="G2531" s="7">
        <v>8</v>
      </c>
      <c r="H2531" s="3">
        <v>55770.6</v>
      </c>
      <c r="I2531" s="3">
        <v>446164.8</v>
      </c>
    </row>
    <row r="2532" spans="1:9" x14ac:dyDescent="0.3">
      <c r="A2532" s="5" t="s">
        <v>175</v>
      </c>
      <c r="B2532" t="s">
        <v>253</v>
      </c>
      <c r="C2532" t="s">
        <v>265</v>
      </c>
      <c r="D2532" t="s">
        <v>268</v>
      </c>
      <c r="E2532" t="s">
        <v>272</v>
      </c>
      <c r="F2532" t="s">
        <v>276</v>
      </c>
      <c r="G2532" s="7">
        <v>4</v>
      </c>
      <c r="H2532" s="3">
        <v>32654.36</v>
      </c>
      <c r="I2532" s="3">
        <v>130617.44</v>
      </c>
    </row>
    <row r="2533" spans="1:9" x14ac:dyDescent="0.3">
      <c r="A2533" s="5" t="s">
        <v>176</v>
      </c>
      <c r="B2533" t="s">
        <v>257</v>
      </c>
      <c r="C2533" t="s">
        <v>262</v>
      </c>
      <c r="D2533" t="s">
        <v>270</v>
      </c>
      <c r="E2533" t="s">
        <v>273</v>
      </c>
      <c r="F2533" t="s">
        <v>279</v>
      </c>
      <c r="G2533" s="7">
        <v>2</v>
      </c>
      <c r="H2533" s="3">
        <v>42623.02</v>
      </c>
      <c r="I2533" s="3">
        <v>85246.04</v>
      </c>
    </row>
    <row r="2534" spans="1:9" x14ac:dyDescent="0.3">
      <c r="A2534" s="5" t="s">
        <v>176</v>
      </c>
      <c r="B2534" t="s">
        <v>260</v>
      </c>
      <c r="C2534" t="s">
        <v>261</v>
      </c>
      <c r="D2534" t="s">
        <v>268</v>
      </c>
      <c r="E2534" t="s">
        <v>274</v>
      </c>
      <c r="F2534" t="s">
        <v>287</v>
      </c>
      <c r="G2534" s="7">
        <v>3</v>
      </c>
      <c r="H2534" s="3">
        <v>38827.08</v>
      </c>
      <c r="I2534" s="3">
        <v>116481.24</v>
      </c>
    </row>
    <row r="2535" spans="1:9" x14ac:dyDescent="0.3">
      <c r="A2535" s="5" t="s">
        <v>176</v>
      </c>
      <c r="B2535" t="s">
        <v>259</v>
      </c>
      <c r="C2535" t="s">
        <v>264</v>
      </c>
      <c r="D2535" t="s">
        <v>270</v>
      </c>
      <c r="E2535" t="s">
        <v>271</v>
      </c>
      <c r="F2535" t="s">
        <v>282</v>
      </c>
      <c r="G2535" s="7">
        <v>8</v>
      </c>
      <c r="H2535" s="3">
        <v>7541.56</v>
      </c>
      <c r="I2535" s="3">
        <v>60332.480000000003</v>
      </c>
    </row>
    <row r="2536" spans="1:9" x14ac:dyDescent="0.3">
      <c r="A2536" s="5" t="s">
        <v>176</v>
      </c>
      <c r="B2536" t="s">
        <v>260</v>
      </c>
      <c r="C2536" t="s">
        <v>263</v>
      </c>
      <c r="D2536" t="s">
        <v>266</v>
      </c>
      <c r="E2536" t="s">
        <v>273</v>
      </c>
      <c r="F2536" t="s">
        <v>283</v>
      </c>
      <c r="G2536" s="7">
        <v>7</v>
      </c>
      <c r="H2536" s="3">
        <v>46676.55</v>
      </c>
      <c r="I2536" s="3">
        <v>326735.84999999998</v>
      </c>
    </row>
    <row r="2537" spans="1:9" x14ac:dyDescent="0.3">
      <c r="A2537" s="5" t="s">
        <v>176</v>
      </c>
      <c r="B2537" t="s">
        <v>258</v>
      </c>
      <c r="C2537" t="s">
        <v>262</v>
      </c>
      <c r="D2537" t="s">
        <v>269</v>
      </c>
      <c r="E2537" t="s">
        <v>272</v>
      </c>
      <c r="F2537" t="s">
        <v>290</v>
      </c>
      <c r="G2537" s="7">
        <v>2</v>
      </c>
      <c r="H2537" s="3">
        <v>33740.47</v>
      </c>
      <c r="I2537" s="3">
        <v>67480.94</v>
      </c>
    </row>
    <row r="2538" spans="1:9" x14ac:dyDescent="0.3">
      <c r="A2538" s="5" t="s">
        <v>176</v>
      </c>
      <c r="B2538" t="s">
        <v>257</v>
      </c>
      <c r="C2538" t="s">
        <v>261</v>
      </c>
      <c r="D2538" t="s">
        <v>266</v>
      </c>
      <c r="E2538" t="s">
        <v>273</v>
      </c>
      <c r="F2538" t="s">
        <v>279</v>
      </c>
      <c r="G2538" s="7">
        <v>6</v>
      </c>
      <c r="H2538" s="3">
        <v>49792.78</v>
      </c>
      <c r="I2538" s="3">
        <v>298756.68</v>
      </c>
    </row>
    <row r="2539" spans="1:9" x14ac:dyDescent="0.3">
      <c r="A2539" s="5" t="s">
        <v>177</v>
      </c>
      <c r="B2539" t="s">
        <v>253</v>
      </c>
      <c r="C2539" t="s">
        <v>263</v>
      </c>
      <c r="D2539" t="s">
        <v>266</v>
      </c>
      <c r="E2539" t="s">
        <v>272</v>
      </c>
      <c r="F2539" t="s">
        <v>276</v>
      </c>
      <c r="G2539" s="7">
        <v>9</v>
      </c>
      <c r="H2539" s="3">
        <v>28432.82</v>
      </c>
      <c r="I2539" s="3">
        <v>255895.38</v>
      </c>
    </row>
    <row r="2540" spans="1:9" x14ac:dyDescent="0.3">
      <c r="A2540" s="5" t="s">
        <v>177</v>
      </c>
      <c r="B2540" t="s">
        <v>260</v>
      </c>
      <c r="C2540" t="s">
        <v>263</v>
      </c>
      <c r="D2540" t="s">
        <v>269</v>
      </c>
      <c r="E2540" t="s">
        <v>274</v>
      </c>
      <c r="F2540" t="s">
        <v>289</v>
      </c>
      <c r="G2540" s="7">
        <v>4</v>
      </c>
      <c r="H2540" s="3">
        <v>30948</v>
      </c>
      <c r="I2540" s="3">
        <v>123792</v>
      </c>
    </row>
    <row r="2541" spans="1:9" x14ac:dyDescent="0.3">
      <c r="A2541" s="5" t="s">
        <v>177</v>
      </c>
      <c r="B2541" t="s">
        <v>256</v>
      </c>
      <c r="C2541" t="s">
        <v>262</v>
      </c>
      <c r="D2541" t="s">
        <v>269</v>
      </c>
      <c r="E2541" t="s">
        <v>273</v>
      </c>
      <c r="F2541" t="s">
        <v>283</v>
      </c>
      <c r="G2541" s="7">
        <v>9</v>
      </c>
      <c r="H2541" s="3">
        <v>45001.79</v>
      </c>
      <c r="I2541" s="3">
        <v>405016.11</v>
      </c>
    </row>
    <row r="2542" spans="1:9" x14ac:dyDescent="0.3">
      <c r="A2542" s="5" t="s">
        <v>177</v>
      </c>
      <c r="B2542" t="s">
        <v>255</v>
      </c>
      <c r="C2542" t="s">
        <v>265</v>
      </c>
      <c r="D2542" t="s">
        <v>267</v>
      </c>
      <c r="E2542" t="s">
        <v>274</v>
      </c>
      <c r="F2542" t="s">
        <v>287</v>
      </c>
      <c r="G2542" s="7">
        <v>2</v>
      </c>
      <c r="H2542" s="3">
        <v>33714.449999999997</v>
      </c>
      <c r="I2542" s="3">
        <v>67428.899999999994</v>
      </c>
    </row>
    <row r="2543" spans="1:9" x14ac:dyDescent="0.3">
      <c r="A2543" s="5" t="s">
        <v>177</v>
      </c>
      <c r="B2543" t="s">
        <v>258</v>
      </c>
      <c r="C2543" t="s">
        <v>262</v>
      </c>
      <c r="D2543" t="s">
        <v>267</v>
      </c>
      <c r="E2543" t="s">
        <v>271</v>
      </c>
      <c r="F2543" t="s">
        <v>282</v>
      </c>
      <c r="G2543" s="7">
        <v>2</v>
      </c>
      <c r="H2543" s="3">
        <v>8309.75</v>
      </c>
      <c r="I2543" s="3">
        <v>16619.5</v>
      </c>
    </row>
    <row r="2544" spans="1:9" x14ac:dyDescent="0.3">
      <c r="A2544" s="5" t="s">
        <v>177</v>
      </c>
      <c r="B2544" t="s">
        <v>253</v>
      </c>
      <c r="C2544" t="s">
        <v>261</v>
      </c>
      <c r="D2544" t="s">
        <v>266</v>
      </c>
      <c r="E2544" t="s">
        <v>272</v>
      </c>
      <c r="F2544" t="s">
        <v>290</v>
      </c>
      <c r="G2544" s="7">
        <v>9</v>
      </c>
      <c r="H2544" s="3">
        <v>34652.44</v>
      </c>
      <c r="I2544" s="3">
        <v>311871.96000000002</v>
      </c>
    </row>
    <row r="2545" spans="1:9" x14ac:dyDescent="0.3">
      <c r="A2545" s="5" t="s">
        <v>178</v>
      </c>
      <c r="B2545" t="s">
        <v>260</v>
      </c>
      <c r="C2545" t="s">
        <v>263</v>
      </c>
      <c r="D2545" t="s">
        <v>266</v>
      </c>
      <c r="E2545" t="s">
        <v>272</v>
      </c>
      <c r="F2545" t="s">
        <v>290</v>
      </c>
      <c r="G2545" s="7">
        <v>7</v>
      </c>
      <c r="H2545" s="3">
        <v>34250.47</v>
      </c>
      <c r="I2545" s="3">
        <v>239753.29</v>
      </c>
    </row>
    <row r="2546" spans="1:9" x14ac:dyDescent="0.3">
      <c r="A2546" s="5" t="s">
        <v>178</v>
      </c>
      <c r="B2546" t="s">
        <v>259</v>
      </c>
      <c r="C2546" t="s">
        <v>262</v>
      </c>
      <c r="D2546" t="s">
        <v>268</v>
      </c>
      <c r="E2546" t="s">
        <v>274</v>
      </c>
      <c r="F2546" t="s">
        <v>287</v>
      </c>
      <c r="G2546" s="7">
        <v>7</v>
      </c>
      <c r="H2546" s="3">
        <v>38344.589999999997</v>
      </c>
      <c r="I2546" s="3">
        <v>268412.13</v>
      </c>
    </row>
    <row r="2547" spans="1:9" x14ac:dyDescent="0.3">
      <c r="A2547" s="5" t="s">
        <v>178</v>
      </c>
      <c r="B2547" t="s">
        <v>256</v>
      </c>
      <c r="C2547" t="s">
        <v>265</v>
      </c>
      <c r="D2547" t="s">
        <v>268</v>
      </c>
      <c r="E2547" t="s">
        <v>271</v>
      </c>
      <c r="F2547" t="s">
        <v>275</v>
      </c>
      <c r="G2547" s="7">
        <v>1</v>
      </c>
      <c r="H2547" s="3">
        <v>8659.2199999999993</v>
      </c>
      <c r="I2547" s="3">
        <v>8659.2199999999993</v>
      </c>
    </row>
    <row r="2548" spans="1:9" x14ac:dyDescent="0.3">
      <c r="A2548" s="5" t="s">
        <v>178</v>
      </c>
      <c r="B2548" t="s">
        <v>256</v>
      </c>
      <c r="C2548" t="s">
        <v>262</v>
      </c>
      <c r="D2548" t="s">
        <v>267</v>
      </c>
      <c r="E2548" t="s">
        <v>273</v>
      </c>
      <c r="F2548" t="s">
        <v>283</v>
      </c>
      <c r="G2548" s="7">
        <v>6</v>
      </c>
      <c r="H2548" s="3">
        <v>50693.43</v>
      </c>
      <c r="I2548" s="3">
        <v>304160.58</v>
      </c>
    </row>
    <row r="2549" spans="1:9" x14ac:dyDescent="0.3">
      <c r="A2549" s="5" t="s">
        <v>178</v>
      </c>
      <c r="B2549" t="s">
        <v>260</v>
      </c>
      <c r="C2549" t="s">
        <v>264</v>
      </c>
      <c r="D2549" t="s">
        <v>267</v>
      </c>
      <c r="E2549" t="s">
        <v>273</v>
      </c>
      <c r="F2549" t="s">
        <v>283</v>
      </c>
      <c r="G2549" s="7">
        <v>7</v>
      </c>
      <c r="H2549" s="3">
        <v>54500.93</v>
      </c>
      <c r="I2549" s="3">
        <v>381506.51</v>
      </c>
    </row>
    <row r="2550" spans="1:9" x14ac:dyDescent="0.3">
      <c r="A2550" s="5" t="s">
        <v>178</v>
      </c>
      <c r="B2550" t="s">
        <v>255</v>
      </c>
      <c r="C2550" t="s">
        <v>265</v>
      </c>
      <c r="D2550" t="s">
        <v>268</v>
      </c>
      <c r="E2550" t="s">
        <v>272</v>
      </c>
      <c r="F2550" t="s">
        <v>276</v>
      </c>
      <c r="G2550" s="7">
        <v>6</v>
      </c>
      <c r="H2550" s="3">
        <v>33324.81</v>
      </c>
      <c r="I2550" s="3">
        <v>199948.86</v>
      </c>
    </row>
    <row r="2551" spans="1:9" x14ac:dyDescent="0.3">
      <c r="A2551" s="5" t="s">
        <v>179</v>
      </c>
      <c r="B2551" t="s">
        <v>260</v>
      </c>
      <c r="C2551" t="s">
        <v>261</v>
      </c>
      <c r="D2551" t="s">
        <v>268</v>
      </c>
      <c r="E2551" t="s">
        <v>274</v>
      </c>
      <c r="F2551" t="s">
        <v>289</v>
      </c>
      <c r="G2551" s="7">
        <v>6</v>
      </c>
      <c r="H2551" s="3">
        <v>32503.39</v>
      </c>
      <c r="I2551" s="3">
        <v>195020.34</v>
      </c>
    </row>
    <row r="2552" spans="1:9" x14ac:dyDescent="0.3">
      <c r="A2552" s="5" t="s">
        <v>179</v>
      </c>
      <c r="B2552" t="s">
        <v>258</v>
      </c>
      <c r="C2552" t="s">
        <v>263</v>
      </c>
      <c r="D2552" t="s">
        <v>270</v>
      </c>
      <c r="E2552" t="s">
        <v>274</v>
      </c>
      <c r="F2552" t="s">
        <v>280</v>
      </c>
      <c r="G2552" s="7">
        <v>2</v>
      </c>
      <c r="H2552" s="3">
        <v>28638.54</v>
      </c>
      <c r="I2552" s="3">
        <v>57277.08</v>
      </c>
    </row>
    <row r="2553" spans="1:9" x14ac:dyDescent="0.3">
      <c r="A2553" s="5" t="s">
        <v>179</v>
      </c>
      <c r="B2553" t="s">
        <v>260</v>
      </c>
      <c r="C2553" t="s">
        <v>262</v>
      </c>
      <c r="D2553" t="s">
        <v>270</v>
      </c>
      <c r="E2553" t="s">
        <v>273</v>
      </c>
      <c r="F2553" t="s">
        <v>279</v>
      </c>
      <c r="G2553" s="7">
        <v>6</v>
      </c>
      <c r="H2553" s="3">
        <v>39611.35</v>
      </c>
      <c r="I2553" s="3">
        <v>237668.1</v>
      </c>
    </row>
    <row r="2554" spans="1:9" x14ac:dyDescent="0.3">
      <c r="A2554" s="5" t="s">
        <v>179</v>
      </c>
      <c r="B2554" t="s">
        <v>256</v>
      </c>
      <c r="C2554" t="s">
        <v>265</v>
      </c>
      <c r="D2554" t="s">
        <v>268</v>
      </c>
      <c r="E2554" t="s">
        <v>271</v>
      </c>
      <c r="F2554" t="s">
        <v>281</v>
      </c>
      <c r="G2554" s="7">
        <v>4</v>
      </c>
      <c r="H2554" s="3">
        <v>9187.02</v>
      </c>
      <c r="I2554" s="3">
        <v>36748.080000000002</v>
      </c>
    </row>
    <row r="2555" spans="1:9" x14ac:dyDescent="0.3">
      <c r="A2555" s="5" t="s">
        <v>179</v>
      </c>
      <c r="B2555" t="s">
        <v>253</v>
      </c>
      <c r="C2555" t="s">
        <v>264</v>
      </c>
      <c r="D2555" t="s">
        <v>270</v>
      </c>
      <c r="E2555" t="s">
        <v>271</v>
      </c>
      <c r="F2555" t="s">
        <v>275</v>
      </c>
      <c r="G2555" s="7">
        <v>9</v>
      </c>
      <c r="H2555" s="3">
        <v>9409.93</v>
      </c>
      <c r="I2555" s="3">
        <v>84689.37</v>
      </c>
    </row>
    <row r="2556" spans="1:9" x14ac:dyDescent="0.3">
      <c r="A2556" s="5" t="s">
        <v>179</v>
      </c>
      <c r="B2556" t="s">
        <v>260</v>
      </c>
      <c r="C2556" t="s">
        <v>265</v>
      </c>
      <c r="D2556" t="s">
        <v>269</v>
      </c>
      <c r="E2556" t="s">
        <v>273</v>
      </c>
      <c r="F2556" t="s">
        <v>278</v>
      </c>
      <c r="G2556" s="7">
        <v>1</v>
      </c>
      <c r="H2556" s="3">
        <v>53547.17</v>
      </c>
      <c r="I2556" s="3">
        <v>53547.17</v>
      </c>
    </row>
    <row r="2557" spans="1:9" x14ac:dyDescent="0.3">
      <c r="A2557" s="5" t="s">
        <v>180</v>
      </c>
      <c r="B2557" t="s">
        <v>255</v>
      </c>
      <c r="C2557" t="s">
        <v>264</v>
      </c>
      <c r="D2557" t="s">
        <v>267</v>
      </c>
      <c r="E2557" t="s">
        <v>273</v>
      </c>
      <c r="F2557" t="s">
        <v>279</v>
      </c>
      <c r="G2557" s="7">
        <v>8</v>
      </c>
      <c r="H2557" s="3">
        <v>43515.27</v>
      </c>
      <c r="I2557" s="3">
        <v>348122.16</v>
      </c>
    </row>
    <row r="2558" spans="1:9" x14ac:dyDescent="0.3">
      <c r="A2558" s="5" t="s">
        <v>180</v>
      </c>
      <c r="B2558" t="s">
        <v>257</v>
      </c>
      <c r="C2558" t="s">
        <v>261</v>
      </c>
      <c r="D2558" t="s">
        <v>267</v>
      </c>
      <c r="E2558" t="s">
        <v>274</v>
      </c>
      <c r="F2558" t="s">
        <v>284</v>
      </c>
      <c r="G2558" s="7">
        <v>5</v>
      </c>
      <c r="H2558" s="3">
        <v>29343.62</v>
      </c>
      <c r="I2558" s="3">
        <v>146718.1</v>
      </c>
    </row>
    <row r="2559" spans="1:9" x14ac:dyDescent="0.3">
      <c r="A2559" s="5" t="s">
        <v>180</v>
      </c>
      <c r="B2559" t="s">
        <v>253</v>
      </c>
      <c r="C2559" t="s">
        <v>263</v>
      </c>
      <c r="D2559" t="s">
        <v>268</v>
      </c>
      <c r="E2559" t="s">
        <v>271</v>
      </c>
      <c r="F2559" t="s">
        <v>281</v>
      </c>
      <c r="G2559" s="7">
        <v>1</v>
      </c>
      <c r="H2559" s="3">
        <v>8513.6200000000008</v>
      </c>
      <c r="I2559" s="3">
        <v>8513.6200000000008</v>
      </c>
    </row>
    <row r="2560" spans="1:9" x14ac:dyDescent="0.3">
      <c r="A2560" s="5" t="s">
        <v>180</v>
      </c>
      <c r="B2560" t="s">
        <v>259</v>
      </c>
      <c r="C2560" t="s">
        <v>261</v>
      </c>
      <c r="D2560" t="s">
        <v>266</v>
      </c>
      <c r="E2560" t="s">
        <v>273</v>
      </c>
      <c r="F2560" t="s">
        <v>279</v>
      </c>
      <c r="G2560" s="7">
        <v>4</v>
      </c>
      <c r="H2560" s="3">
        <v>44614.35</v>
      </c>
      <c r="I2560" s="3">
        <v>178457.4</v>
      </c>
    </row>
    <row r="2561" spans="1:9" x14ac:dyDescent="0.3">
      <c r="A2561" s="5" t="s">
        <v>180</v>
      </c>
      <c r="B2561" t="s">
        <v>254</v>
      </c>
      <c r="C2561" t="s">
        <v>262</v>
      </c>
      <c r="D2561" t="s">
        <v>268</v>
      </c>
      <c r="E2561" t="s">
        <v>273</v>
      </c>
      <c r="F2561" t="s">
        <v>283</v>
      </c>
      <c r="G2561" s="7">
        <v>1</v>
      </c>
      <c r="H2561" s="3">
        <v>40634.44</v>
      </c>
      <c r="I2561" s="3">
        <v>40634.44</v>
      </c>
    </row>
    <row r="2562" spans="1:9" x14ac:dyDescent="0.3">
      <c r="A2562" s="5" t="s">
        <v>180</v>
      </c>
      <c r="B2562" t="s">
        <v>260</v>
      </c>
      <c r="C2562" t="s">
        <v>265</v>
      </c>
      <c r="D2562" t="s">
        <v>270</v>
      </c>
      <c r="E2562" t="s">
        <v>272</v>
      </c>
      <c r="F2562" t="s">
        <v>290</v>
      </c>
      <c r="G2562" s="7">
        <v>6</v>
      </c>
      <c r="H2562" s="3">
        <v>31329.57</v>
      </c>
      <c r="I2562" s="3">
        <v>187977.42</v>
      </c>
    </row>
    <row r="2563" spans="1:9" x14ac:dyDescent="0.3">
      <c r="A2563" s="5" t="s">
        <v>180</v>
      </c>
      <c r="B2563" t="s">
        <v>255</v>
      </c>
      <c r="C2563" t="s">
        <v>264</v>
      </c>
      <c r="D2563" t="s">
        <v>266</v>
      </c>
      <c r="E2563" t="s">
        <v>273</v>
      </c>
      <c r="F2563" t="s">
        <v>279</v>
      </c>
      <c r="G2563" s="7">
        <v>2</v>
      </c>
      <c r="H2563" s="3">
        <v>47406.45</v>
      </c>
      <c r="I2563" s="3">
        <v>94812.9</v>
      </c>
    </row>
    <row r="2564" spans="1:9" x14ac:dyDescent="0.3">
      <c r="A2564" s="5" t="s">
        <v>181</v>
      </c>
      <c r="B2564" t="s">
        <v>253</v>
      </c>
      <c r="C2564" t="s">
        <v>264</v>
      </c>
      <c r="D2564" t="s">
        <v>270</v>
      </c>
      <c r="E2564" t="s">
        <v>273</v>
      </c>
      <c r="F2564" t="s">
        <v>283</v>
      </c>
      <c r="G2564" s="7">
        <v>5</v>
      </c>
      <c r="H2564" s="3">
        <v>51230.21</v>
      </c>
      <c r="I2564" s="3">
        <v>256151.05</v>
      </c>
    </row>
    <row r="2565" spans="1:9" x14ac:dyDescent="0.3">
      <c r="A2565" s="5" t="s">
        <v>181</v>
      </c>
      <c r="B2565" t="s">
        <v>255</v>
      </c>
      <c r="C2565" t="s">
        <v>265</v>
      </c>
      <c r="D2565" t="s">
        <v>269</v>
      </c>
      <c r="E2565" t="s">
        <v>271</v>
      </c>
      <c r="F2565" t="s">
        <v>285</v>
      </c>
      <c r="G2565" s="7">
        <v>7</v>
      </c>
      <c r="H2565" s="3">
        <v>8424.15</v>
      </c>
      <c r="I2565" s="3">
        <v>58969.05</v>
      </c>
    </row>
    <row r="2566" spans="1:9" x14ac:dyDescent="0.3">
      <c r="A2566" s="5" t="s">
        <v>181</v>
      </c>
      <c r="B2566" t="s">
        <v>259</v>
      </c>
      <c r="C2566" t="s">
        <v>265</v>
      </c>
      <c r="D2566" t="s">
        <v>270</v>
      </c>
      <c r="E2566" t="s">
        <v>274</v>
      </c>
      <c r="F2566" t="s">
        <v>280</v>
      </c>
      <c r="G2566" s="7">
        <v>2</v>
      </c>
      <c r="H2566" s="3">
        <v>31368.99</v>
      </c>
      <c r="I2566" s="3">
        <v>62737.98</v>
      </c>
    </row>
    <row r="2567" spans="1:9" x14ac:dyDescent="0.3">
      <c r="A2567" s="5" t="s">
        <v>181</v>
      </c>
      <c r="B2567" t="s">
        <v>256</v>
      </c>
      <c r="C2567" t="s">
        <v>262</v>
      </c>
      <c r="D2567" t="s">
        <v>269</v>
      </c>
      <c r="E2567" t="s">
        <v>271</v>
      </c>
      <c r="F2567" t="s">
        <v>282</v>
      </c>
      <c r="G2567" s="7">
        <v>6</v>
      </c>
      <c r="H2567" s="3">
        <v>8831.76</v>
      </c>
      <c r="I2567" s="3">
        <v>52990.559999999998</v>
      </c>
    </row>
    <row r="2568" spans="1:9" x14ac:dyDescent="0.3">
      <c r="A2568" s="5" t="s">
        <v>181</v>
      </c>
      <c r="B2568" t="s">
        <v>255</v>
      </c>
      <c r="C2568" t="s">
        <v>261</v>
      </c>
      <c r="D2568" t="s">
        <v>269</v>
      </c>
      <c r="E2568" t="s">
        <v>274</v>
      </c>
      <c r="F2568" t="s">
        <v>284</v>
      </c>
      <c r="G2568" s="7">
        <v>6</v>
      </c>
      <c r="H2568" s="3">
        <v>38430.81</v>
      </c>
      <c r="I2568" s="3">
        <v>230584.86</v>
      </c>
    </row>
    <row r="2569" spans="1:9" x14ac:dyDescent="0.3">
      <c r="A2569" s="5" t="s">
        <v>181</v>
      </c>
      <c r="B2569" t="s">
        <v>253</v>
      </c>
      <c r="C2569" t="s">
        <v>264</v>
      </c>
      <c r="D2569" t="s">
        <v>270</v>
      </c>
      <c r="E2569" t="s">
        <v>272</v>
      </c>
      <c r="F2569" t="s">
        <v>290</v>
      </c>
      <c r="G2569" s="7">
        <v>5</v>
      </c>
      <c r="H2569" s="3">
        <v>24251.15</v>
      </c>
      <c r="I2569" s="3">
        <v>121255.75</v>
      </c>
    </row>
    <row r="2570" spans="1:9" x14ac:dyDescent="0.3">
      <c r="A2570" s="5" t="s">
        <v>182</v>
      </c>
      <c r="B2570" t="s">
        <v>255</v>
      </c>
      <c r="C2570" t="s">
        <v>262</v>
      </c>
      <c r="D2570" t="s">
        <v>270</v>
      </c>
      <c r="E2570" t="s">
        <v>273</v>
      </c>
      <c r="F2570" t="s">
        <v>278</v>
      </c>
      <c r="G2570" s="7">
        <v>5</v>
      </c>
      <c r="H2570" s="3">
        <v>52736.99</v>
      </c>
      <c r="I2570" s="3">
        <v>263684.95</v>
      </c>
    </row>
    <row r="2571" spans="1:9" x14ac:dyDescent="0.3">
      <c r="A2571" s="5" t="s">
        <v>182</v>
      </c>
      <c r="B2571" t="s">
        <v>255</v>
      </c>
      <c r="C2571" t="s">
        <v>261</v>
      </c>
      <c r="D2571" t="s">
        <v>269</v>
      </c>
      <c r="E2571" t="s">
        <v>272</v>
      </c>
      <c r="F2571" t="s">
        <v>276</v>
      </c>
      <c r="G2571" s="7">
        <v>3</v>
      </c>
      <c r="H2571" s="3">
        <v>27932.66</v>
      </c>
      <c r="I2571" s="3">
        <v>83797.98</v>
      </c>
    </row>
    <row r="2572" spans="1:9" x14ac:dyDescent="0.3">
      <c r="A2572" s="5" t="s">
        <v>182</v>
      </c>
      <c r="B2572" t="s">
        <v>255</v>
      </c>
      <c r="C2572" t="s">
        <v>262</v>
      </c>
      <c r="D2572" t="s">
        <v>266</v>
      </c>
      <c r="E2572" t="s">
        <v>274</v>
      </c>
      <c r="F2572" t="s">
        <v>287</v>
      </c>
      <c r="G2572" s="7">
        <v>2</v>
      </c>
      <c r="H2572" s="3">
        <v>38139.120000000003</v>
      </c>
      <c r="I2572" s="3">
        <v>76278.240000000005</v>
      </c>
    </row>
    <row r="2573" spans="1:9" x14ac:dyDescent="0.3">
      <c r="A2573" s="5" t="s">
        <v>182</v>
      </c>
      <c r="B2573" t="s">
        <v>258</v>
      </c>
      <c r="C2573" t="s">
        <v>264</v>
      </c>
      <c r="D2573" t="s">
        <v>269</v>
      </c>
      <c r="E2573" t="s">
        <v>271</v>
      </c>
      <c r="F2573" t="s">
        <v>275</v>
      </c>
      <c r="G2573" s="7">
        <v>7</v>
      </c>
      <c r="H2573" s="3">
        <v>9952.49</v>
      </c>
      <c r="I2573" s="3">
        <v>69667.429999999993</v>
      </c>
    </row>
    <row r="2574" spans="1:9" x14ac:dyDescent="0.3">
      <c r="A2574" s="5" t="s">
        <v>182</v>
      </c>
      <c r="B2574" t="s">
        <v>258</v>
      </c>
      <c r="C2574" t="s">
        <v>265</v>
      </c>
      <c r="D2574" t="s">
        <v>267</v>
      </c>
      <c r="E2574" t="s">
        <v>271</v>
      </c>
      <c r="F2574" t="s">
        <v>282</v>
      </c>
      <c r="G2574" s="7">
        <v>1</v>
      </c>
      <c r="H2574" s="3">
        <v>8410.7900000000009</v>
      </c>
      <c r="I2574" s="3">
        <v>8410.7900000000009</v>
      </c>
    </row>
    <row r="2575" spans="1:9" x14ac:dyDescent="0.3">
      <c r="A2575" s="5" t="s">
        <v>182</v>
      </c>
      <c r="B2575" t="s">
        <v>256</v>
      </c>
      <c r="C2575" t="s">
        <v>265</v>
      </c>
      <c r="D2575" t="s">
        <v>269</v>
      </c>
      <c r="E2575" t="s">
        <v>272</v>
      </c>
      <c r="F2575" t="s">
        <v>286</v>
      </c>
      <c r="G2575" s="7">
        <v>6</v>
      </c>
      <c r="H2575" s="3">
        <v>31571.42</v>
      </c>
      <c r="I2575" s="3">
        <v>189428.52</v>
      </c>
    </row>
    <row r="2576" spans="1:9" x14ac:dyDescent="0.3">
      <c r="A2576" s="5" t="s">
        <v>183</v>
      </c>
      <c r="B2576" t="s">
        <v>260</v>
      </c>
      <c r="C2576" t="s">
        <v>261</v>
      </c>
      <c r="D2576" t="s">
        <v>266</v>
      </c>
      <c r="E2576" t="s">
        <v>274</v>
      </c>
      <c r="F2576" t="s">
        <v>284</v>
      </c>
      <c r="G2576" s="7">
        <v>6</v>
      </c>
      <c r="H2576" s="3">
        <v>29243.3</v>
      </c>
      <c r="I2576" s="3">
        <v>175459.8</v>
      </c>
    </row>
    <row r="2577" spans="1:9" x14ac:dyDescent="0.3">
      <c r="A2577" s="5" t="s">
        <v>183</v>
      </c>
      <c r="B2577" t="s">
        <v>255</v>
      </c>
      <c r="C2577" t="s">
        <v>263</v>
      </c>
      <c r="D2577" t="s">
        <v>267</v>
      </c>
      <c r="E2577" t="s">
        <v>272</v>
      </c>
      <c r="F2577" t="s">
        <v>286</v>
      </c>
      <c r="G2577" s="7">
        <v>3</v>
      </c>
      <c r="H2577" s="3">
        <v>33838.35</v>
      </c>
      <c r="I2577" s="3">
        <v>101515.05</v>
      </c>
    </row>
    <row r="2578" spans="1:9" x14ac:dyDescent="0.3">
      <c r="A2578" s="5" t="s">
        <v>183</v>
      </c>
      <c r="B2578" t="s">
        <v>259</v>
      </c>
      <c r="C2578" t="s">
        <v>261</v>
      </c>
      <c r="D2578" t="s">
        <v>268</v>
      </c>
      <c r="E2578" t="s">
        <v>272</v>
      </c>
      <c r="F2578" t="s">
        <v>277</v>
      </c>
      <c r="G2578" s="7">
        <v>2</v>
      </c>
      <c r="H2578" s="3">
        <v>28330.3</v>
      </c>
      <c r="I2578" s="3">
        <v>56660.6</v>
      </c>
    </row>
    <row r="2579" spans="1:9" x14ac:dyDescent="0.3">
      <c r="A2579" s="5" t="s">
        <v>183</v>
      </c>
      <c r="B2579" t="s">
        <v>260</v>
      </c>
      <c r="C2579" t="s">
        <v>263</v>
      </c>
      <c r="D2579" t="s">
        <v>268</v>
      </c>
      <c r="E2579" t="s">
        <v>273</v>
      </c>
      <c r="F2579" t="s">
        <v>278</v>
      </c>
      <c r="G2579" s="7">
        <v>2</v>
      </c>
      <c r="H2579" s="3">
        <v>46451.26</v>
      </c>
      <c r="I2579" s="3">
        <v>92902.52</v>
      </c>
    </row>
    <row r="2580" spans="1:9" x14ac:dyDescent="0.3">
      <c r="A2580" s="5" t="s">
        <v>183</v>
      </c>
      <c r="B2580" t="s">
        <v>259</v>
      </c>
      <c r="C2580" t="s">
        <v>262</v>
      </c>
      <c r="D2580" t="s">
        <v>266</v>
      </c>
      <c r="E2580" t="s">
        <v>272</v>
      </c>
      <c r="F2580" t="s">
        <v>290</v>
      </c>
      <c r="G2580" s="7">
        <v>9</v>
      </c>
      <c r="H2580" s="3">
        <v>31704.5</v>
      </c>
      <c r="I2580" s="3">
        <v>285340.5</v>
      </c>
    </row>
    <row r="2581" spans="1:9" x14ac:dyDescent="0.3">
      <c r="A2581" s="5" t="s">
        <v>183</v>
      </c>
      <c r="B2581" t="s">
        <v>260</v>
      </c>
      <c r="C2581" t="s">
        <v>262</v>
      </c>
      <c r="D2581" t="s">
        <v>269</v>
      </c>
      <c r="E2581" t="s">
        <v>273</v>
      </c>
      <c r="F2581" t="s">
        <v>283</v>
      </c>
      <c r="G2581" s="7">
        <v>5</v>
      </c>
      <c r="H2581" s="3">
        <v>53025.120000000003</v>
      </c>
      <c r="I2581" s="3">
        <v>265125.59999999998</v>
      </c>
    </row>
    <row r="2582" spans="1:9" x14ac:dyDescent="0.3">
      <c r="A2582" s="5" t="s">
        <v>184</v>
      </c>
      <c r="B2582" t="s">
        <v>256</v>
      </c>
      <c r="C2582" t="s">
        <v>264</v>
      </c>
      <c r="D2582" t="s">
        <v>270</v>
      </c>
      <c r="E2582" t="s">
        <v>273</v>
      </c>
      <c r="F2582" t="s">
        <v>278</v>
      </c>
      <c r="G2582" s="7">
        <v>7</v>
      </c>
      <c r="H2582" s="3">
        <v>42504.17</v>
      </c>
      <c r="I2582" s="3">
        <v>297529.19</v>
      </c>
    </row>
    <row r="2583" spans="1:9" x14ac:dyDescent="0.3">
      <c r="A2583" s="5" t="s">
        <v>184</v>
      </c>
      <c r="B2583" t="s">
        <v>255</v>
      </c>
      <c r="C2583" t="s">
        <v>263</v>
      </c>
      <c r="D2583" t="s">
        <v>266</v>
      </c>
      <c r="E2583" t="s">
        <v>271</v>
      </c>
      <c r="F2583" t="s">
        <v>282</v>
      </c>
      <c r="G2583" s="7">
        <v>5</v>
      </c>
      <c r="H2583" s="3">
        <v>9473.59</v>
      </c>
      <c r="I2583" s="3">
        <v>47367.95</v>
      </c>
    </row>
    <row r="2584" spans="1:9" x14ac:dyDescent="0.3">
      <c r="A2584" s="5" t="s">
        <v>184</v>
      </c>
      <c r="B2584" t="s">
        <v>255</v>
      </c>
      <c r="C2584" t="s">
        <v>264</v>
      </c>
      <c r="D2584" t="s">
        <v>267</v>
      </c>
      <c r="E2584" t="s">
        <v>273</v>
      </c>
      <c r="F2584" t="s">
        <v>279</v>
      </c>
      <c r="G2584" s="7">
        <v>7</v>
      </c>
      <c r="H2584" s="3">
        <v>45305.96</v>
      </c>
      <c r="I2584" s="3">
        <v>317141.71999999997</v>
      </c>
    </row>
    <row r="2585" spans="1:9" x14ac:dyDescent="0.3">
      <c r="A2585" s="5" t="s">
        <v>184</v>
      </c>
      <c r="B2585" t="s">
        <v>254</v>
      </c>
      <c r="C2585" t="s">
        <v>265</v>
      </c>
      <c r="D2585" t="s">
        <v>267</v>
      </c>
      <c r="E2585" t="s">
        <v>273</v>
      </c>
      <c r="F2585" t="s">
        <v>283</v>
      </c>
      <c r="G2585" s="7">
        <v>4</v>
      </c>
      <c r="H2585" s="3">
        <v>44886.65</v>
      </c>
      <c r="I2585" s="3">
        <v>179546.6</v>
      </c>
    </row>
    <row r="2586" spans="1:9" x14ac:dyDescent="0.3">
      <c r="A2586" s="5" t="s">
        <v>184</v>
      </c>
      <c r="B2586" t="s">
        <v>259</v>
      </c>
      <c r="C2586" t="s">
        <v>263</v>
      </c>
      <c r="D2586" t="s">
        <v>268</v>
      </c>
      <c r="E2586" t="s">
        <v>271</v>
      </c>
      <c r="F2586" t="s">
        <v>282</v>
      </c>
      <c r="G2586" s="7">
        <v>8</v>
      </c>
      <c r="H2586" s="3">
        <v>9571.09</v>
      </c>
      <c r="I2586" s="3">
        <v>76568.72</v>
      </c>
    </row>
    <row r="2587" spans="1:9" x14ac:dyDescent="0.3">
      <c r="A2587" s="5" t="s">
        <v>184</v>
      </c>
      <c r="B2587" t="s">
        <v>260</v>
      </c>
      <c r="C2587" t="s">
        <v>261</v>
      </c>
      <c r="D2587" t="s">
        <v>267</v>
      </c>
      <c r="E2587" t="s">
        <v>272</v>
      </c>
      <c r="F2587" t="s">
        <v>277</v>
      </c>
      <c r="G2587" s="7">
        <v>7</v>
      </c>
      <c r="H2587" s="3">
        <v>28136.45</v>
      </c>
      <c r="I2587" s="3">
        <v>196955.15</v>
      </c>
    </row>
    <row r="2588" spans="1:9" x14ac:dyDescent="0.3">
      <c r="A2588" s="5" t="s">
        <v>185</v>
      </c>
      <c r="B2588" t="s">
        <v>260</v>
      </c>
      <c r="C2588" t="s">
        <v>265</v>
      </c>
      <c r="D2588" t="s">
        <v>266</v>
      </c>
      <c r="E2588" t="s">
        <v>274</v>
      </c>
      <c r="F2588" t="s">
        <v>280</v>
      </c>
      <c r="G2588" s="7">
        <v>5</v>
      </c>
      <c r="H2588" s="3">
        <v>31630.19</v>
      </c>
      <c r="I2588" s="3">
        <v>158150.95000000001</v>
      </c>
    </row>
    <row r="2589" spans="1:9" x14ac:dyDescent="0.3">
      <c r="A2589" s="5" t="s">
        <v>185</v>
      </c>
      <c r="B2589" t="s">
        <v>257</v>
      </c>
      <c r="C2589" t="s">
        <v>265</v>
      </c>
      <c r="D2589" t="s">
        <v>267</v>
      </c>
      <c r="E2589" t="s">
        <v>274</v>
      </c>
      <c r="F2589" t="s">
        <v>284</v>
      </c>
      <c r="G2589" s="7">
        <v>6</v>
      </c>
      <c r="H2589" s="3">
        <v>37899.370000000003</v>
      </c>
      <c r="I2589" s="3">
        <v>227396.22</v>
      </c>
    </row>
    <row r="2590" spans="1:9" x14ac:dyDescent="0.3">
      <c r="A2590" s="5" t="s">
        <v>185</v>
      </c>
      <c r="B2590" t="s">
        <v>257</v>
      </c>
      <c r="C2590" t="s">
        <v>261</v>
      </c>
      <c r="D2590" t="s">
        <v>266</v>
      </c>
      <c r="E2590" t="s">
        <v>274</v>
      </c>
      <c r="F2590" t="s">
        <v>284</v>
      </c>
      <c r="G2590" s="7">
        <v>5</v>
      </c>
      <c r="H2590" s="3">
        <v>28496.33</v>
      </c>
      <c r="I2590" s="3">
        <v>142481.65</v>
      </c>
    </row>
    <row r="2591" spans="1:9" x14ac:dyDescent="0.3">
      <c r="A2591" s="5" t="s">
        <v>185</v>
      </c>
      <c r="B2591" t="s">
        <v>258</v>
      </c>
      <c r="C2591" t="s">
        <v>265</v>
      </c>
      <c r="D2591" t="s">
        <v>270</v>
      </c>
      <c r="E2591" t="s">
        <v>272</v>
      </c>
      <c r="F2591" t="s">
        <v>286</v>
      </c>
      <c r="G2591" s="7">
        <v>7</v>
      </c>
      <c r="H2591" s="3">
        <v>31370</v>
      </c>
      <c r="I2591" s="3">
        <v>219590</v>
      </c>
    </row>
    <row r="2592" spans="1:9" x14ac:dyDescent="0.3">
      <c r="A2592" s="5" t="s">
        <v>185</v>
      </c>
      <c r="B2592" t="s">
        <v>254</v>
      </c>
      <c r="C2592" t="s">
        <v>263</v>
      </c>
      <c r="D2592" t="s">
        <v>268</v>
      </c>
      <c r="E2592" t="s">
        <v>273</v>
      </c>
      <c r="F2592" t="s">
        <v>283</v>
      </c>
      <c r="G2592" s="7">
        <v>2</v>
      </c>
      <c r="H2592" s="3">
        <v>42727.06</v>
      </c>
      <c r="I2592" s="3">
        <v>85454.12</v>
      </c>
    </row>
    <row r="2593" spans="1:9" x14ac:dyDescent="0.3">
      <c r="A2593" s="5" t="s">
        <v>185</v>
      </c>
      <c r="B2593" t="s">
        <v>253</v>
      </c>
      <c r="C2593" t="s">
        <v>264</v>
      </c>
      <c r="D2593" t="s">
        <v>267</v>
      </c>
      <c r="E2593" t="s">
        <v>274</v>
      </c>
      <c r="F2593" t="s">
        <v>284</v>
      </c>
      <c r="G2593" s="7">
        <v>5</v>
      </c>
      <c r="H2593" s="3">
        <v>27398.38</v>
      </c>
      <c r="I2593" s="3">
        <v>136991.9</v>
      </c>
    </row>
    <row r="2594" spans="1:9" x14ac:dyDescent="0.3">
      <c r="A2594" s="5" t="s">
        <v>186</v>
      </c>
      <c r="B2594" t="s">
        <v>257</v>
      </c>
      <c r="C2594" t="s">
        <v>265</v>
      </c>
      <c r="D2594" t="s">
        <v>266</v>
      </c>
      <c r="E2594" t="s">
        <v>272</v>
      </c>
      <c r="F2594" t="s">
        <v>290</v>
      </c>
      <c r="G2594" s="7">
        <v>3</v>
      </c>
      <c r="H2594" s="3">
        <v>25667.759999999998</v>
      </c>
      <c r="I2594" s="3">
        <v>77003.28</v>
      </c>
    </row>
    <row r="2595" spans="1:9" x14ac:dyDescent="0.3">
      <c r="A2595" s="5" t="s">
        <v>186</v>
      </c>
      <c r="B2595" t="s">
        <v>253</v>
      </c>
      <c r="C2595" t="s">
        <v>263</v>
      </c>
      <c r="D2595" t="s">
        <v>269</v>
      </c>
      <c r="E2595" t="s">
        <v>273</v>
      </c>
      <c r="F2595" t="s">
        <v>283</v>
      </c>
      <c r="G2595" s="7">
        <v>9</v>
      </c>
      <c r="H2595" s="3">
        <v>49169.91</v>
      </c>
      <c r="I2595" s="3">
        <v>442529.19</v>
      </c>
    </row>
    <row r="2596" spans="1:9" x14ac:dyDescent="0.3">
      <c r="A2596" s="5" t="s">
        <v>186</v>
      </c>
      <c r="B2596" t="s">
        <v>258</v>
      </c>
      <c r="C2596" t="s">
        <v>262</v>
      </c>
      <c r="D2596" t="s">
        <v>268</v>
      </c>
      <c r="E2596" t="s">
        <v>271</v>
      </c>
      <c r="F2596" t="s">
        <v>282</v>
      </c>
      <c r="G2596" s="7">
        <v>6</v>
      </c>
      <c r="H2596" s="3">
        <v>9636.0300000000007</v>
      </c>
      <c r="I2596" s="3">
        <v>57816.18</v>
      </c>
    </row>
    <row r="2597" spans="1:9" x14ac:dyDescent="0.3">
      <c r="A2597" s="5" t="s">
        <v>186</v>
      </c>
      <c r="B2597" t="s">
        <v>258</v>
      </c>
      <c r="C2597" t="s">
        <v>263</v>
      </c>
      <c r="D2597" t="s">
        <v>270</v>
      </c>
      <c r="E2597" t="s">
        <v>274</v>
      </c>
      <c r="F2597" t="s">
        <v>289</v>
      </c>
      <c r="G2597" s="7">
        <v>3</v>
      </c>
      <c r="H2597" s="3">
        <v>27469.54</v>
      </c>
      <c r="I2597" s="3">
        <v>82408.62</v>
      </c>
    </row>
    <row r="2598" spans="1:9" x14ac:dyDescent="0.3">
      <c r="A2598" s="5" t="s">
        <v>186</v>
      </c>
      <c r="B2598" t="s">
        <v>258</v>
      </c>
      <c r="C2598" t="s">
        <v>264</v>
      </c>
      <c r="D2598" t="s">
        <v>266</v>
      </c>
      <c r="E2598" t="s">
        <v>273</v>
      </c>
      <c r="F2598" t="s">
        <v>283</v>
      </c>
      <c r="G2598" s="7">
        <v>7</v>
      </c>
      <c r="H2598" s="3">
        <v>38905.660000000003</v>
      </c>
      <c r="I2598" s="3">
        <v>272339.62</v>
      </c>
    </row>
    <row r="2599" spans="1:9" x14ac:dyDescent="0.3">
      <c r="A2599" s="5" t="s">
        <v>186</v>
      </c>
      <c r="B2599" t="s">
        <v>259</v>
      </c>
      <c r="C2599" t="s">
        <v>263</v>
      </c>
      <c r="D2599" t="s">
        <v>270</v>
      </c>
      <c r="E2599" t="s">
        <v>274</v>
      </c>
      <c r="F2599" t="s">
        <v>289</v>
      </c>
      <c r="G2599" s="7">
        <v>4</v>
      </c>
      <c r="H2599" s="3">
        <v>38752.54</v>
      </c>
      <c r="I2599" s="3">
        <v>155010.16</v>
      </c>
    </row>
    <row r="2600" spans="1:9" x14ac:dyDescent="0.3">
      <c r="A2600" s="5" t="s">
        <v>186</v>
      </c>
      <c r="B2600" t="s">
        <v>259</v>
      </c>
      <c r="C2600" t="s">
        <v>261</v>
      </c>
      <c r="D2600" t="s">
        <v>270</v>
      </c>
      <c r="E2600" t="s">
        <v>274</v>
      </c>
      <c r="F2600" t="s">
        <v>284</v>
      </c>
      <c r="G2600" s="7">
        <v>3</v>
      </c>
      <c r="H2600" s="3">
        <v>28138.31</v>
      </c>
      <c r="I2600" s="3">
        <v>84414.93</v>
      </c>
    </row>
    <row r="2601" spans="1:9" x14ac:dyDescent="0.3">
      <c r="A2601" s="5" t="s">
        <v>187</v>
      </c>
      <c r="B2601" t="s">
        <v>256</v>
      </c>
      <c r="C2601" t="s">
        <v>264</v>
      </c>
      <c r="D2601" t="s">
        <v>267</v>
      </c>
      <c r="E2601" t="s">
        <v>274</v>
      </c>
      <c r="F2601" t="s">
        <v>280</v>
      </c>
      <c r="G2601" s="7">
        <v>8</v>
      </c>
      <c r="H2601" s="3">
        <v>38645.53</v>
      </c>
      <c r="I2601" s="3">
        <v>309164.24</v>
      </c>
    </row>
    <row r="2602" spans="1:9" x14ac:dyDescent="0.3">
      <c r="A2602" s="5" t="s">
        <v>187</v>
      </c>
      <c r="B2602" t="s">
        <v>256</v>
      </c>
      <c r="C2602" t="s">
        <v>262</v>
      </c>
      <c r="D2602" t="s">
        <v>267</v>
      </c>
      <c r="E2602" t="s">
        <v>273</v>
      </c>
      <c r="F2602" t="s">
        <v>278</v>
      </c>
      <c r="G2602" s="7">
        <v>4</v>
      </c>
      <c r="H2602" s="3">
        <v>42356.99</v>
      </c>
      <c r="I2602" s="3">
        <v>169427.96</v>
      </c>
    </row>
    <row r="2603" spans="1:9" x14ac:dyDescent="0.3">
      <c r="A2603" s="5" t="s">
        <v>187</v>
      </c>
      <c r="B2603" t="s">
        <v>258</v>
      </c>
      <c r="C2603" t="s">
        <v>261</v>
      </c>
      <c r="D2603" t="s">
        <v>266</v>
      </c>
      <c r="E2603" t="s">
        <v>272</v>
      </c>
      <c r="F2603" t="s">
        <v>276</v>
      </c>
      <c r="G2603" s="7">
        <v>1</v>
      </c>
      <c r="H2603" s="3">
        <v>32088.2</v>
      </c>
      <c r="I2603" s="3">
        <v>32088.2</v>
      </c>
    </row>
    <row r="2604" spans="1:9" x14ac:dyDescent="0.3">
      <c r="A2604" s="5" t="s">
        <v>187</v>
      </c>
      <c r="B2604" t="s">
        <v>254</v>
      </c>
      <c r="C2604" t="s">
        <v>263</v>
      </c>
      <c r="D2604" t="s">
        <v>269</v>
      </c>
      <c r="E2604" t="s">
        <v>273</v>
      </c>
      <c r="F2604" t="s">
        <v>279</v>
      </c>
      <c r="G2604" s="7">
        <v>6</v>
      </c>
      <c r="H2604" s="3">
        <v>43825.2</v>
      </c>
      <c r="I2604" s="3">
        <v>262951.2</v>
      </c>
    </row>
    <row r="2605" spans="1:9" x14ac:dyDescent="0.3">
      <c r="A2605" s="5" t="s">
        <v>187</v>
      </c>
      <c r="B2605" t="s">
        <v>260</v>
      </c>
      <c r="C2605" t="s">
        <v>264</v>
      </c>
      <c r="D2605" t="s">
        <v>266</v>
      </c>
      <c r="E2605" t="s">
        <v>274</v>
      </c>
      <c r="F2605" t="s">
        <v>289</v>
      </c>
      <c r="G2605" s="7">
        <v>1</v>
      </c>
      <c r="H2605" s="3">
        <v>38192.03</v>
      </c>
      <c r="I2605" s="3">
        <v>38192.03</v>
      </c>
    </row>
    <row r="2606" spans="1:9" x14ac:dyDescent="0.3">
      <c r="A2606" s="5" t="s">
        <v>187</v>
      </c>
      <c r="B2606" t="s">
        <v>259</v>
      </c>
      <c r="C2606" t="s">
        <v>262</v>
      </c>
      <c r="D2606" t="s">
        <v>269</v>
      </c>
      <c r="E2606" t="s">
        <v>273</v>
      </c>
      <c r="F2606" t="s">
        <v>279</v>
      </c>
      <c r="G2606" s="7">
        <v>5</v>
      </c>
      <c r="H2606" s="3">
        <v>50858.19</v>
      </c>
      <c r="I2606" s="3">
        <v>254290.95</v>
      </c>
    </row>
    <row r="2607" spans="1:9" x14ac:dyDescent="0.3">
      <c r="A2607" s="5" t="s">
        <v>188</v>
      </c>
      <c r="B2607" t="s">
        <v>254</v>
      </c>
      <c r="C2607" t="s">
        <v>261</v>
      </c>
      <c r="D2607" t="s">
        <v>270</v>
      </c>
      <c r="E2607" t="s">
        <v>271</v>
      </c>
      <c r="F2607" t="s">
        <v>285</v>
      </c>
      <c r="G2607" s="7">
        <v>7</v>
      </c>
      <c r="H2607" s="3">
        <v>8591.17</v>
      </c>
      <c r="I2607" s="3">
        <v>60138.19</v>
      </c>
    </row>
    <row r="2608" spans="1:9" x14ac:dyDescent="0.3">
      <c r="A2608" s="5" t="s">
        <v>188</v>
      </c>
      <c r="B2608" t="s">
        <v>255</v>
      </c>
      <c r="C2608" t="s">
        <v>262</v>
      </c>
      <c r="D2608" t="s">
        <v>268</v>
      </c>
      <c r="E2608" t="s">
        <v>272</v>
      </c>
      <c r="F2608" t="s">
        <v>276</v>
      </c>
      <c r="G2608" s="7">
        <v>6</v>
      </c>
      <c r="H2608" s="3">
        <v>24654.59</v>
      </c>
      <c r="I2608" s="3">
        <v>147927.54</v>
      </c>
    </row>
    <row r="2609" spans="1:9" x14ac:dyDescent="0.3">
      <c r="A2609" s="5" t="s">
        <v>188</v>
      </c>
      <c r="B2609" t="s">
        <v>259</v>
      </c>
      <c r="C2609" t="s">
        <v>263</v>
      </c>
      <c r="D2609" t="s">
        <v>266</v>
      </c>
      <c r="E2609" t="s">
        <v>273</v>
      </c>
      <c r="F2609" t="s">
        <v>278</v>
      </c>
      <c r="G2609" s="7">
        <v>2</v>
      </c>
      <c r="H2609" s="3">
        <v>51438.6</v>
      </c>
      <c r="I2609" s="3">
        <v>102877.2</v>
      </c>
    </row>
    <row r="2610" spans="1:9" x14ac:dyDescent="0.3">
      <c r="A2610" s="5" t="s">
        <v>188</v>
      </c>
      <c r="B2610" t="s">
        <v>259</v>
      </c>
      <c r="C2610" t="s">
        <v>262</v>
      </c>
      <c r="D2610" t="s">
        <v>266</v>
      </c>
      <c r="E2610" t="s">
        <v>271</v>
      </c>
      <c r="F2610" t="s">
        <v>282</v>
      </c>
      <c r="G2610" s="7">
        <v>4</v>
      </c>
      <c r="H2610" s="3">
        <v>9322.41</v>
      </c>
      <c r="I2610" s="3">
        <v>37289.64</v>
      </c>
    </row>
    <row r="2611" spans="1:9" x14ac:dyDescent="0.3">
      <c r="A2611" s="5" t="s">
        <v>188</v>
      </c>
      <c r="B2611" t="s">
        <v>256</v>
      </c>
      <c r="C2611" t="s">
        <v>265</v>
      </c>
      <c r="D2611" t="s">
        <v>269</v>
      </c>
      <c r="E2611" t="s">
        <v>272</v>
      </c>
      <c r="F2611" t="s">
        <v>286</v>
      </c>
      <c r="G2611" s="7">
        <v>2</v>
      </c>
      <c r="H2611" s="3">
        <v>23832.61</v>
      </c>
      <c r="I2611" s="3">
        <v>47665.22</v>
      </c>
    </row>
    <row r="2612" spans="1:9" x14ac:dyDescent="0.3">
      <c r="A2612" s="5" t="s">
        <v>188</v>
      </c>
      <c r="B2612" t="s">
        <v>260</v>
      </c>
      <c r="C2612" t="s">
        <v>261</v>
      </c>
      <c r="D2612" t="s">
        <v>270</v>
      </c>
      <c r="E2612" t="s">
        <v>271</v>
      </c>
      <c r="F2612" t="s">
        <v>285</v>
      </c>
      <c r="G2612" s="7">
        <v>1</v>
      </c>
      <c r="H2612" s="3">
        <v>7257.03</v>
      </c>
      <c r="I2612" s="3">
        <v>7257.03</v>
      </c>
    </row>
    <row r="2613" spans="1:9" x14ac:dyDescent="0.3">
      <c r="A2613" s="5" t="s">
        <v>189</v>
      </c>
      <c r="B2613" t="s">
        <v>260</v>
      </c>
      <c r="C2613" t="s">
        <v>262</v>
      </c>
      <c r="D2613" t="s">
        <v>270</v>
      </c>
      <c r="E2613" t="s">
        <v>272</v>
      </c>
      <c r="F2613" t="s">
        <v>276</v>
      </c>
      <c r="G2613" s="7">
        <v>3</v>
      </c>
      <c r="H2613" s="3">
        <v>32858.480000000003</v>
      </c>
      <c r="I2613" s="3">
        <v>98575.44</v>
      </c>
    </row>
    <row r="2614" spans="1:9" x14ac:dyDescent="0.3">
      <c r="A2614" s="5" t="s">
        <v>189</v>
      </c>
      <c r="B2614" t="s">
        <v>257</v>
      </c>
      <c r="C2614" t="s">
        <v>263</v>
      </c>
      <c r="D2614" t="s">
        <v>269</v>
      </c>
      <c r="E2614" t="s">
        <v>273</v>
      </c>
      <c r="F2614" t="s">
        <v>288</v>
      </c>
      <c r="G2614" s="7">
        <v>3</v>
      </c>
      <c r="H2614" s="3">
        <v>42919.199999999997</v>
      </c>
      <c r="I2614" s="3">
        <v>128757.6</v>
      </c>
    </row>
    <row r="2615" spans="1:9" x14ac:dyDescent="0.3">
      <c r="A2615" s="5" t="s">
        <v>189</v>
      </c>
      <c r="B2615" t="s">
        <v>253</v>
      </c>
      <c r="C2615" t="s">
        <v>263</v>
      </c>
      <c r="D2615" t="s">
        <v>270</v>
      </c>
      <c r="E2615" t="s">
        <v>271</v>
      </c>
      <c r="F2615" t="s">
        <v>281</v>
      </c>
      <c r="G2615" s="7">
        <v>7</v>
      </c>
      <c r="H2615" s="3">
        <v>9387.85</v>
      </c>
      <c r="I2615" s="3">
        <v>65714.95</v>
      </c>
    </row>
    <row r="2616" spans="1:9" x14ac:dyDescent="0.3">
      <c r="A2616" s="5" t="s">
        <v>189</v>
      </c>
      <c r="B2616" t="s">
        <v>253</v>
      </c>
      <c r="C2616" t="s">
        <v>262</v>
      </c>
      <c r="D2616" t="s">
        <v>267</v>
      </c>
      <c r="E2616" t="s">
        <v>274</v>
      </c>
      <c r="F2616" t="s">
        <v>289</v>
      </c>
      <c r="G2616" s="7">
        <v>1</v>
      </c>
      <c r="H2616" s="3">
        <v>33013.94</v>
      </c>
      <c r="I2616" s="3">
        <v>33013.94</v>
      </c>
    </row>
    <row r="2617" spans="1:9" x14ac:dyDescent="0.3">
      <c r="A2617" s="5" t="s">
        <v>189</v>
      </c>
      <c r="B2617" t="s">
        <v>253</v>
      </c>
      <c r="C2617" t="s">
        <v>263</v>
      </c>
      <c r="D2617" t="s">
        <v>268</v>
      </c>
      <c r="E2617" t="s">
        <v>271</v>
      </c>
      <c r="F2617" t="s">
        <v>275</v>
      </c>
      <c r="G2617" s="7">
        <v>9</v>
      </c>
      <c r="H2617" s="3">
        <v>10160.66</v>
      </c>
      <c r="I2617" s="3">
        <v>91445.94</v>
      </c>
    </row>
    <row r="2618" spans="1:9" x14ac:dyDescent="0.3">
      <c r="A2618" s="5" t="s">
        <v>189</v>
      </c>
      <c r="B2618" t="s">
        <v>253</v>
      </c>
      <c r="C2618" t="s">
        <v>264</v>
      </c>
      <c r="D2618" t="s">
        <v>266</v>
      </c>
      <c r="E2618" t="s">
        <v>272</v>
      </c>
      <c r="F2618" t="s">
        <v>277</v>
      </c>
      <c r="G2618" s="7">
        <v>6</v>
      </c>
      <c r="H2618" s="3">
        <v>34069.96</v>
      </c>
      <c r="I2618" s="3">
        <v>204419.76</v>
      </c>
    </row>
    <row r="2619" spans="1:9" x14ac:dyDescent="0.3">
      <c r="A2619" s="5" t="s">
        <v>190</v>
      </c>
      <c r="B2619" t="s">
        <v>255</v>
      </c>
      <c r="C2619" t="s">
        <v>264</v>
      </c>
      <c r="D2619" t="s">
        <v>268</v>
      </c>
      <c r="E2619" t="s">
        <v>273</v>
      </c>
      <c r="F2619" t="s">
        <v>279</v>
      </c>
      <c r="G2619" s="7">
        <v>4</v>
      </c>
      <c r="H2619" s="3">
        <v>56192.54</v>
      </c>
      <c r="I2619" s="3">
        <v>224770.16</v>
      </c>
    </row>
    <row r="2620" spans="1:9" x14ac:dyDescent="0.3">
      <c r="A2620" s="5" t="s">
        <v>190</v>
      </c>
      <c r="B2620" t="s">
        <v>255</v>
      </c>
      <c r="C2620" t="s">
        <v>264</v>
      </c>
      <c r="D2620" t="s">
        <v>266</v>
      </c>
      <c r="E2620" t="s">
        <v>272</v>
      </c>
      <c r="F2620" t="s">
        <v>290</v>
      </c>
      <c r="G2620" s="7">
        <v>3</v>
      </c>
      <c r="H2620" s="3">
        <v>25521.26</v>
      </c>
      <c r="I2620" s="3">
        <v>76563.78</v>
      </c>
    </row>
    <row r="2621" spans="1:9" x14ac:dyDescent="0.3">
      <c r="A2621" s="5" t="s">
        <v>190</v>
      </c>
      <c r="B2621" t="s">
        <v>259</v>
      </c>
      <c r="C2621" t="s">
        <v>265</v>
      </c>
      <c r="D2621" t="s">
        <v>267</v>
      </c>
      <c r="E2621" t="s">
        <v>271</v>
      </c>
      <c r="F2621" t="s">
        <v>281</v>
      </c>
      <c r="G2621" s="7">
        <v>3</v>
      </c>
      <c r="H2621" s="3">
        <v>10159.08</v>
      </c>
      <c r="I2621" s="3">
        <v>30477.24</v>
      </c>
    </row>
    <row r="2622" spans="1:9" x14ac:dyDescent="0.3">
      <c r="A2622" s="5" t="s">
        <v>190</v>
      </c>
      <c r="B2622" t="s">
        <v>258</v>
      </c>
      <c r="C2622" t="s">
        <v>262</v>
      </c>
      <c r="D2622" t="s">
        <v>270</v>
      </c>
      <c r="E2622" t="s">
        <v>271</v>
      </c>
      <c r="F2622" t="s">
        <v>275</v>
      </c>
      <c r="G2622" s="7">
        <v>2</v>
      </c>
      <c r="H2622" s="3">
        <v>8129.47</v>
      </c>
      <c r="I2622" s="3">
        <v>16258.94</v>
      </c>
    </row>
    <row r="2623" spans="1:9" x14ac:dyDescent="0.3">
      <c r="A2623" s="5" t="s">
        <v>190</v>
      </c>
      <c r="B2623" t="s">
        <v>256</v>
      </c>
      <c r="C2623" t="s">
        <v>265</v>
      </c>
      <c r="D2623" t="s">
        <v>269</v>
      </c>
      <c r="E2623" t="s">
        <v>274</v>
      </c>
      <c r="F2623" t="s">
        <v>280</v>
      </c>
      <c r="G2623" s="7">
        <v>2</v>
      </c>
      <c r="H2623" s="3">
        <v>34762.44</v>
      </c>
      <c r="I2623" s="3">
        <v>69524.88</v>
      </c>
    </row>
    <row r="2624" spans="1:9" x14ac:dyDescent="0.3">
      <c r="A2624" s="5" t="s">
        <v>190</v>
      </c>
      <c r="B2624" t="s">
        <v>256</v>
      </c>
      <c r="C2624" t="s">
        <v>263</v>
      </c>
      <c r="D2624" t="s">
        <v>267</v>
      </c>
      <c r="E2624" t="s">
        <v>273</v>
      </c>
      <c r="F2624" t="s">
        <v>279</v>
      </c>
      <c r="G2624" s="7">
        <v>5</v>
      </c>
      <c r="H2624" s="3">
        <v>47353.91</v>
      </c>
      <c r="I2624" s="3">
        <v>236769.55</v>
      </c>
    </row>
    <row r="2625" spans="1:9" x14ac:dyDescent="0.3">
      <c r="A2625" s="5" t="s">
        <v>191</v>
      </c>
      <c r="B2625" t="s">
        <v>253</v>
      </c>
      <c r="C2625" t="s">
        <v>265</v>
      </c>
      <c r="D2625" t="s">
        <v>268</v>
      </c>
      <c r="E2625" t="s">
        <v>273</v>
      </c>
      <c r="F2625" t="s">
        <v>283</v>
      </c>
      <c r="G2625" s="7">
        <v>9</v>
      </c>
      <c r="H2625" s="3">
        <v>38573.79</v>
      </c>
      <c r="I2625" s="3">
        <v>347164.11</v>
      </c>
    </row>
    <row r="2626" spans="1:9" x14ac:dyDescent="0.3">
      <c r="A2626" s="5" t="s">
        <v>191</v>
      </c>
      <c r="B2626" t="s">
        <v>259</v>
      </c>
      <c r="C2626" t="s">
        <v>263</v>
      </c>
      <c r="D2626" t="s">
        <v>269</v>
      </c>
      <c r="E2626" t="s">
        <v>271</v>
      </c>
      <c r="F2626" t="s">
        <v>275</v>
      </c>
      <c r="G2626" s="7">
        <v>2</v>
      </c>
      <c r="H2626" s="3">
        <v>10396.42</v>
      </c>
      <c r="I2626" s="3">
        <v>20792.84</v>
      </c>
    </row>
    <row r="2627" spans="1:9" x14ac:dyDescent="0.3">
      <c r="A2627" s="5" t="s">
        <v>191</v>
      </c>
      <c r="B2627" t="s">
        <v>257</v>
      </c>
      <c r="C2627" t="s">
        <v>263</v>
      </c>
      <c r="D2627" t="s">
        <v>270</v>
      </c>
      <c r="E2627" t="s">
        <v>273</v>
      </c>
      <c r="F2627" t="s">
        <v>278</v>
      </c>
      <c r="G2627" s="7">
        <v>2</v>
      </c>
      <c r="H2627" s="3">
        <v>39659.89</v>
      </c>
      <c r="I2627" s="3">
        <v>79319.78</v>
      </c>
    </row>
    <row r="2628" spans="1:9" x14ac:dyDescent="0.3">
      <c r="A2628" s="5" t="s">
        <v>191</v>
      </c>
      <c r="B2628" t="s">
        <v>254</v>
      </c>
      <c r="C2628" t="s">
        <v>261</v>
      </c>
      <c r="D2628" t="s">
        <v>267</v>
      </c>
      <c r="E2628" t="s">
        <v>274</v>
      </c>
      <c r="F2628" t="s">
        <v>280</v>
      </c>
      <c r="G2628" s="7">
        <v>6</v>
      </c>
      <c r="H2628" s="3">
        <v>36009.199999999997</v>
      </c>
      <c r="I2628" s="3">
        <v>216055.2</v>
      </c>
    </row>
    <row r="2629" spans="1:9" x14ac:dyDescent="0.3">
      <c r="A2629" s="5" t="s">
        <v>191</v>
      </c>
      <c r="B2629" t="s">
        <v>258</v>
      </c>
      <c r="C2629" t="s">
        <v>264</v>
      </c>
      <c r="D2629" t="s">
        <v>269</v>
      </c>
      <c r="E2629" t="s">
        <v>272</v>
      </c>
      <c r="F2629" t="s">
        <v>277</v>
      </c>
      <c r="G2629" s="7">
        <v>2</v>
      </c>
      <c r="H2629" s="3">
        <v>32592.080000000002</v>
      </c>
      <c r="I2629" s="3">
        <v>65184.160000000003</v>
      </c>
    </row>
    <row r="2630" spans="1:9" x14ac:dyDescent="0.3">
      <c r="A2630" s="5" t="s">
        <v>191</v>
      </c>
      <c r="B2630" t="s">
        <v>259</v>
      </c>
      <c r="C2630" t="s">
        <v>263</v>
      </c>
      <c r="D2630" t="s">
        <v>267</v>
      </c>
      <c r="E2630" t="s">
        <v>273</v>
      </c>
      <c r="F2630" t="s">
        <v>283</v>
      </c>
      <c r="G2630" s="7">
        <v>4</v>
      </c>
      <c r="H2630" s="3">
        <v>52565.18</v>
      </c>
      <c r="I2630" s="3">
        <v>210260.72</v>
      </c>
    </row>
    <row r="2631" spans="1:9" x14ac:dyDescent="0.3">
      <c r="A2631" s="5" t="s">
        <v>192</v>
      </c>
      <c r="B2631" t="s">
        <v>258</v>
      </c>
      <c r="C2631" t="s">
        <v>261</v>
      </c>
      <c r="D2631" t="s">
        <v>267</v>
      </c>
      <c r="E2631" t="s">
        <v>271</v>
      </c>
      <c r="F2631" t="s">
        <v>281</v>
      </c>
      <c r="G2631" s="7">
        <v>6</v>
      </c>
      <c r="H2631" s="3">
        <v>7685.68</v>
      </c>
      <c r="I2631" s="3">
        <v>46114.080000000002</v>
      </c>
    </row>
    <row r="2632" spans="1:9" x14ac:dyDescent="0.3">
      <c r="A2632" s="5" t="s">
        <v>192</v>
      </c>
      <c r="B2632" t="s">
        <v>258</v>
      </c>
      <c r="C2632" t="s">
        <v>264</v>
      </c>
      <c r="D2632" t="s">
        <v>270</v>
      </c>
      <c r="E2632" t="s">
        <v>272</v>
      </c>
      <c r="F2632" t="s">
        <v>290</v>
      </c>
      <c r="G2632" s="7">
        <v>5</v>
      </c>
      <c r="H2632" s="3">
        <v>28812.78</v>
      </c>
      <c r="I2632" s="3">
        <v>144063.9</v>
      </c>
    </row>
    <row r="2633" spans="1:9" x14ac:dyDescent="0.3">
      <c r="A2633" s="5" t="s">
        <v>192</v>
      </c>
      <c r="B2633" t="s">
        <v>258</v>
      </c>
      <c r="C2633" t="s">
        <v>263</v>
      </c>
      <c r="D2633" t="s">
        <v>266</v>
      </c>
      <c r="E2633" t="s">
        <v>272</v>
      </c>
      <c r="F2633" t="s">
        <v>277</v>
      </c>
      <c r="G2633" s="7">
        <v>1</v>
      </c>
      <c r="H2633" s="3">
        <v>33089.599999999999</v>
      </c>
      <c r="I2633" s="3">
        <v>33089.599999999999</v>
      </c>
    </row>
    <row r="2634" spans="1:9" x14ac:dyDescent="0.3">
      <c r="A2634" s="5" t="s">
        <v>192</v>
      </c>
      <c r="B2634" t="s">
        <v>259</v>
      </c>
      <c r="C2634" t="s">
        <v>263</v>
      </c>
      <c r="D2634" t="s">
        <v>269</v>
      </c>
      <c r="E2634" t="s">
        <v>274</v>
      </c>
      <c r="F2634" t="s">
        <v>289</v>
      </c>
      <c r="G2634" s="7">
        <v>6</v>
      </c>
      <c r="H2634" s="3">
        <v>31074.29</v>
      </c>
      <c r="I2634" s="3">
        <v>186445.74</v>
      </c>
    </row>
    <row r="2635" spans="1:9" x14ac:dyDescent="0.3">
      <c r="A2635" s="5" t="s">
        <v>192</v>
      </c>
      <c r="B2635" t="s">
        <v>253</v>
      </c>
      <c r="C2635" t="s">
        <v>265</v>
      </c>
      <c r="D2635" t="s">
        <v>270</v>
      </c>
      <c r="E2635" t="s">
        <v>271</v>
      </c>
      <c r="F2635" t="s">
        <v>285</v>
      </c>
      <c r="G2635" s="7">
        <v>1</v>
      </c>
      <c r="H2635" s="3">
        <v>8815.35</v>
      </c>
      <c r="I2635" s="3">
        <v>8815.35</v>
      </c>
    </row>
    <row r="2636" spans="1:9" x14ac:dyDescent="0.3">
      <c r="A2636" s="5" t="s">
        <v>192</v>
      </c>
      <c r="B2636" t="s">
        <v>256</v>
      </c>
      <c r="C2636" t="s">
        <v>265</v>
      </c>
      <c r="D2636" t="s">
        <v>267</v>
      </c>
      <c r="E2636" t="s">
        <v>273</v>
      </c>
      <c r="F2636" t="s">
        <v>288</v>
      </c>
      <c r="G2636" s="7">
        <v>3</v>
      </c>
      <c r="H2636" s="3">
        <v>43160.29</v>
      </c>
      <c r="I2636" s="3">
        <v>129480.87</v>
      </c>
    </row>
    <row r="2637" spans="1:9" x14ac:dyDescent="0.3">
      <c r="A2637" s="5" t="s">
        <v>192</v>
      </c>
      <c r="B2637" t="s">
        <v>256</v>
      </c>
      <c r="C2637" t="s">
        <v>264</v>
      </c>
      <c r="D2637" t="s">
        <v>270</v>
      </c>
      <c r="E2637" t="s">
        <v>271</v>
      </c>
      <c r="F2637" t="s">
        <v>281</v>
      </c>
      <c r="G2637" s="7">
        <v>5</v>
      </c>
      <c r="H2637" s="3">
        <v>8801.07</v>
      </c>
      <c r="I2637" s="3">
        <v>44005.35</v>
      </c>
    </row>
    <row r="2638" spans="1:9" x14ac:dyDescent="0.3">
      <c r="A2638" s="5" t="s">
        <v>193</v>
      </c>
      <c r="B2638" t="s">
        <v>253</v>
      </c>
      <c r="C2638" t="s">
        <v>263</v>
      </c>
      <c r="D2638" t="s">
        <v>266</v>
      </c>
      <c r="E2638" t="s">
        <v>272</v>
      </c>
      <c r="F2638" t="s">
        <v>276</v>
      </c>
      <c r="G2638" s="7">
        <v>5</v>
      </c>
      <c r="H2638" s="3">
        <v>33743.78</v>
      </c>
      <c r="I2638" s="3">
        <v>168718.9</v>
      </c>
    </row>
    <row r="2639" spans="1:9" x14ac:dyDescent="0.3">
      <c r="A2639" s="5" t="s">
        <v>193</v>
      </c>
      <c r="B2639" t="s">
        <v>258</v>
      </c>
      <c r="C2639" t="s">
        <v>262</v>
      </c>
      <c r="D2639" t="s">
        <v>269</v>
      </c>
      <c r="E2639" t="s">
        <v>271</v>
      </c>
      <c r="F2639" t="s">
        <v>282</v>
      </c>
      <c r="G2639" s="7">
        <v>6</v>
      </c>
      <c r="H2639" s="3">
        <v>8772.42</v>
      </c>
      <c r="I2639" s="3">
        <v>52634.52</v>
      </c>
    </row>
    <row r="2640" spans="1:9" x14ac:dyDescent="0.3">
      <c r="A2640" s="5" t="s">
        <v>193</v>
      </c>
      <c r="B2640" t="s">
        <v>254</v>
      </c>
      <c r="C2640" t="s">
        <v>265</v>
      </c>
      <c r="D2640" t="s">
        <v>266</v>
      </c>
      <c r="E2640" t="s">
        <v>273</v>
      </c>
      <c r="F2640" t="s">
        <v>283</v>
      </c>
      <c r="G2640" s="7">
        <v>8</v>
      </c>
      <c r="H2640" s="3">
        <v>48256.42</v>
      </c>
      <c r="I2640" s="3">
        <v>386051.36</v>
      </c>
    </row>
    <row r="2641" spans="1:9" x14ac:dyDescent="0.3">
      <c r="A2641" s="5" t="s">
        <v>193</v>
      </c>
      <c r="B2641" t="s">
        <v>260</v>
      </c>
      <c r="C2641" t="s">
        <v>264</v>
      </c>
      <c r="D2641" t="s">
        <v>268</v>
      </c>
      <c r="E2641" t="s">
        <v>273</v>
      </c>
      <c r="F2641" t="s">
        <v>288</v>
      </c>
      <c r="G2641" s="7">
        <v>5</v>
      </c>
      <c r="H2641" s="3">
        <v>45521.57</v>
      </c>
      <c r="I2641" s="3">
        <v>227607.85</v>
      </c>
    </row>
    <row r="2642" spans="1:9" x14ac:dyDescent="0.3">
      <c r="A2642" s="5" t="s">
        <v>193</v>
      </c>
      <c r="B2642" t="s">
        <v>259</v>
      </c>
      <c r="C2642" t="s">
        <v>263</v>
      </c>
      <c r="D2642" t="s">
        <v>269</v>
      </c>
      <c r="E2642" t="s">
        <v>274</v>
      </c>
      <c r="F2642" t="s">
        <v>280</v>
      </c>
      <c r="G2642" s="7">
        <v>1</v>
      </c>
      <c r="H2642" s="3">
        <v>33089.5</v>
      </c>
      <c r="I2642" s="3">
        <v>33089.5</v>
      </c>
    </row>
    <row r="2643" spans="1:9" x14ac:dyDescent="0.3">
      <c r="A2643" s="5" t="s">
        <v>193</v>
      </c>
      <c r="B2643" t="s">
        <v>260</v>
      </c>
      <c r="C2643" t="s">
        <v>263</v>
      </c>
      <c r="D2643" t="s">
        <v>266</v>
      </c>
      <c r="E2643" t="s">
        <v>273</v>
      </c>
      <c r="F2643" t="s">
        <v>283</v>
      </c>
      <c r="G2643" s="7">
        <v>5</v>
      </c>
      <c r="H2643" s="3">
        <v>38523.14</v>
      </c>
      <c r="I2643" s="3">
        <v>192615.7</v>
      </c>
    </row>
    <row r="2644" spans="1:9" x14ac:dyDescent="0.3">
      <c r="A2644" s="5" t="s">
        <v>194</v>
      </c>
      <c r="B2644" t="s">
        <v>257</v>
      </c>
      <c r="C2644" t="s">
        <v>262</v>
      </c>
      <c r="D2644" t="s">
        <v>267</v>
      </c>
      <c r="E2644" t="s">
        <v>273</v>
      </c>
      <c r="F2644" t="s">
        <v>283</v>
      </c>
      <c r="G2644" s="7">
        <v>3</v>
      </c>
      <c r="H2644" s="3">
        <v>43357.42</v>
      </c>
      <c r="I2644" s="3">
        <v>130072.26</v>
      </c>
    </row>
    <row r="2645" spans="1:9" x14ac:dyDescent="0.3">
      <c r="A2645" s="5" t="s">
        <v>194</v>
      </c>
      <c r="B2645" t="s">
        <v>253</v>
      </c>
      <c r="C2645" t="s">
        <v>264</v>
      </c>
      <c r="D2645" t="s">
        <v>269</v>
      </c>
      <c r="E2645" t="s">
        <v>271</v>
      </c>
      <c r="F2645" t="s">
        <v>275</v>
      </c>
      <c r="G2645" s="7">
        <v>4</v>
      </c>
      <c r="H2645" s="3">
        <v>8709.3799999999992</v>
      </c>
      <c r="I2645" s="3">
        <v>34837.519999999997</v>
      </c>
    </row>
    <row r="2646" spans="1:9" x14ac:dyDescent="0.3">
      <c r="A2646" s="5" t="s">
        <v>194</v>
      </c>
      <c r="B2646" t="s">
        <v>254</v>
      </c>
      <c r="C2646" t="s">
        <v>263</v>
      </c>
      <c r="D2646" t="s">
        <v>269</v>
      </c>
      <c r="E2646" t="s">
        <v>271</v>
      </c>
      <c r="F2646" t="s">
        <v>282</v>
      </c>
      <c r="G2646" s="7">
        <v>8</v>
      </c>
      <c r="H2646" s="3">
        <v>9379.91</v>
      </c>
      <c r="I2646" s="3">
        <v>75039.28</v>
      </c>
    </row>
    <row r="2647" spans="1:9" x14ac:dyDescent="0.3">
      <c r="A2647" s="5" t="s">
        <v>194</v>
      </c>
      <c r="B2647" t="s">
        <v>259</v>
      </c>
      <c r="C2647" t="s">
        <v>265</v>
      </c>
      <c r="D2647" t="s">
        <v>270</v>
      </c>
      <c r="E2647" t="s">
        <v>272</v>
      </c>
      <c r="F2647" t="s">
        <v>290</v>
      </c>
      <c r="G2647" s="7">
        <v>7</v>
      </c>
      <c r="H2647" s="3">
        <v>28840.58</v>
      </c>
      <c r="I2647" s="3">
        <v>201884.06</v>
      </c>
    </row>
    <row r="2648" spans="1:9" x14ac:dyDescent="0.3">
      <c r="A2648" s="5" t="s">
        <v>194</v>
      </c>
      <c r="B2648" t="s">
        <v>253</v>
      </c>
      <c r="C2648" t="s">
        <v>262</v>
      </c>
      <c r="D2648" t="s">
        <v>267</v>
      </c>
      <c r="E2648" t="s">
        <v>274</v>
      </c>
      <c r="F2648" t="s">
        <v>284</v>
      </c>
      <c r="G2648" s="7">
        <v>5</v>
      </c>
      <c r="H2648" s="3">
        <v>31524.06</v>
      </c>
      <c r="I2648" s="3">
        <v>157620.29999999999</v>
      </c>
    </row>
    <row r="2649" spans="1:9" x14ac:dyDescent="0.3">
      <c r="A2649" s="5" t="s">
        <v>194</v>
      </c>
      <c r="B2649" t="s">
        <v>258</v>
      </c>
      <c r="C2649" t="s">
        <v>264</v>
      </c>
      <c r="D2649" t="s">
        <v>268</v>
      </c>
      <c r="E2649" t="s">
        <v>271</v>
      </c>
      <c r="F2649" t="s">
        <v>285</v>
      </c>
      <c r="G2649" s="7">
        <v>2</v>
      </c>
      <c r="H2649" s="3">
        <v>8544.5400000000009</v>
      </c>
      <c r="I2649" s="3">
        <v>17089.080000000002</v>
      </c>
    </row>
    <row r="2650" spans="1:9" x14ac:dyDescent="0.3">
      <c r="A2650" s="5" t="s">
        <v>195</v>
      </c>
      <c r="B2650" t="s">
        <v>256</v>
      </c>
      <c r="C2650" t="s">
        <v>262</v>
      </c>
      <c r="D2650" t="s">
        <v>266</v>
      </c>
      <c r="E2650" t="s">
        <v>273</v>
      </c>
      <c r="F2650" t="s">
        <v>278</v>
      </c>
      <c r="G2650" s="7">
        <v>6</v>
      </c>
      <c r="H2650" s="3">
        <v>42611.28</v>
      </c>
      <c r="I2650" s="3">
        <v>255667.68</v>
      </c>
    </row>
    <row r="2651" spans="1:9" x14ac:dyDescent="0.3">
      <c r="A2651" s="5" t="s">
        <v>195</v>
      </c>
      <c r="B2651" t="s">
        <v>260</v>
      </c>
      <c r="C2651" t="s">
        <v>265</v>
      </c>
      <c r="D2651" t="s">
        <v>270</v>
      </c>
      <c r="E2651" t="s">
        <v>272</v>
      </c>
      <c r="F2651" t="s">
        <v>277</v>
      </c>
      <c r="G2651" s="7">
        <v>6</v>
      </c>
      <c r="H2651" s="3">
        <v>34154.339999999997</v>
      </c>
      <c r="I2651" s="3">
        <v>204926.04</v>
      </c>
    </row>
    <row r="2652" spans="1:9" x14ac:dyDescent="0.3">
      <c r="A2652" s="5" t="s">
        <v>195</v>
      </c>
      <c r="B2652" t="s">
        <v>255</v>
      </c>
      <c r="C2652" t="s">
        <v>264</v>
      </c>
      <c r="D2652" t="s">
        <v>266</v>
      </c>
      <c r="E2652" t="s">
        <v>271</v>
      </c>
      <c r="F2652" t="s">
        <v>282</v>
      </c>
      <c r="G2652" s="7">
        <v>6</v>
      </c>
      <c r="H2652" s="3">
        <v>8998.93</v>
      </c>
      <c r="I2652" s="3">
        <v>53993.58</v>
      </c>
    </row>
    <row r="2653" spans="1:9" x14ac:dyDescent="0.3">
      <c r="A2653" s="5" t="s">
        <v>195</v>
      </c>
      <c r="B2653" t="s">
        <v>255</v>
      </c>
      <c r="C2653" t="s">
        <v>262</v>
      </c>
      <c r="D2653" t="s">
        <v>268</v>
      </c>
      <c r="E2653" t="s">
        <v>274</v>
      </c>
      <c r="F2653" t="s">
        <v>289</v>
      </c>
      <c r="G2653" s="7">
        <v>9</v>
      </c>
      <c r="H2653" s="3">
        <v>27371.64</v>
      </c>
      <c r="I2653" s="3">
        <v>246344.76</v>
      </c>
    </row>
    <row r="2654" spans="1:9" x14ac:dyDescent="0.3">
      <c r="A2654" s="5" t="s">
        <v>195</v>
      </c>
      <c r="B2654" t="s">
        <v>254</v>
      </c>
      <c r="C2654" t="s">
        <v>261</v>
      </c>
      <c r="D2654" t="s">
        <v>268</v>
      </c>
      <c r="E2654" t="s">
        <v>274</v>
      </c>
      <c r="F2654" t="s">
        <v>287</v>
      </c>
      <c r="G2654" s="7">
        <v>8</v>
      </c>
      <c r="H2654" s="3">
        <v>27448.91</v>
      </c>
      <c r="I2654" s="3">
        <v>219591.28</v>
      </c>
    </row>
    <row r="2655" spans="1:9" x14ac:dyDescent="0.3">
      <c r="A2655" s="5" t="s">
        <v>195</v>
      </c>
      <c r="B2655" t="s">
        <v>258</v>
      </c>
      <c r="C2655" t="s">
        <v>265</v>
      </c>
      <c r="D2655" t="s">
        <v>269</v>
      </c>
      <c r="E2655" t="s">
        <v>272</v>
      </c>
      <c r="F2655" t="s">
        <v>286</v>
      </c>
      <c r="G2655" s="7">
        <v>8</v>
      </c>
      <c r="H2655" s="3">
        <v>34697.17</v>
      </c>
      <c r="I2655" s="3">
        <v>277577.36</v>
      </c>
    </row>
    <row r="2656" spans="1:9" x14ac:dyDescent="0.3">
      <c r="A2656" s="5" t="s">
        <v>196</v>
      </c>
      <c r="B2656" t="s">
        <v>257</v>
      </c>
      <c r="C2656" t="s">
        <v>265</v>
      </c>
      <c r="D2656" t="s">
        <v>268</v>
      </c>
      <c r="E2656" t="s">
        <v>272</v>
      </c>
      <c r="F2656" t="s">
        <v>286</v>
      </c>
      <c r="G2656" s="7">
        <v>1</v>
      </c>
      <c r="H2656" s="3">
        <v>26280.25</v>
      </c>
      <c r="I2656" s="3">
        <v>26280.25</v>
      </c>
    </row>
    <row r="2657" spans="1:9" x14ac:dyDescent="0.3">
      <c r="A2657" s="5" t="s">
        <v>196</v>
      </c>
      <c r="B2657" t="s">
        <v>260</v>
      </c>
      <c r="C2657" t="s">
        <v>265</v>
      </c>
      <c r="D2657" t="s">
        <v>266</v>
      </c>
      <c r="E2657" t="s">
        <v>272</v>
      </c>
      <c r="F2657" t="s">
        <v>286</v>
      </c>
      <c r="G2657" s="7">
        <v>5</v>
      </c>
      <c r="H2657" s="3">
        <v>32822.81</v>
      </c>
      <c r="I2657" s="3">
        <v>164114.04999999999</v>
      </c>
    </row>
    <row r="2658" spans="1:9" x14ac:dyDescent="0.3">
      <c r="A2658" s="5" t="s">
        <v>196</v>
      </c>
      <c r="B2658" t="s">
        <v>258</v>
      </c>
      <c r="C2658" t="s">
        <v>261</v>
      </c>
      <c r="D2658" t="s">
        <v>267</v>
      </c>
      <c r="E2658" t="s">
        <v>272</v>
      </c>
      <c r="F2658" t="s">
        <v>276</v>
      </c>
      <c r="G2658" s="7">
        <v>7</v>
      </c>
      <c r="H2658" s="3">
        <v>24452.68</v>
      </c>
      <c r="I2658" s="3">
        <v>171168.76</v>
      </c>
    </row>
    <row r="2659" spans="1:9" x14ac:dyDescent="0.3">
      <c r="A2659" s="5" t="s">
        <v>196</v>
      </c>
      <c r="B2659" t="s">
        <v>260</v>
      </c>
      <c r="C2659" t="s">
        <v>261</v>
      </c>
      <c r="D2659" t="s">
        <v>267</v>
      </c>
      <c r="E2659" t="s">
        <v>272</v>
      </c>
      <c r="F2659" t="s">
        <v>290</v>
      </c>
      <c r="G2659" s="7">
        <v>6</v>
      </c>
      <c r="H2659" s="3">
        <v>34117.019999999997</v>
      </c>
      <c r="I2659" s="3">
        <v>204702.12</v>
      </c>
    </row>
    <row r="2660" spans="1:9" x14ac:dyDescent="0.3">
      <c r="A2660" s="5" t="s">
        <v>196</v>
      </c>
      <c r="B2660" t="s">
        <v>254</v>
      </c>
      <c r="C2660" t="s">
        <v>263</v>
      </c>
      <c r="D2660" t="s">
        <v>269</v>
      </c>
      <c r="E2660" t="s">
        <v>273</v>
      </c>
      <c r="F2660" t="s">
        <v>288</v>
      </c>
      <c r="G2660" s="7">
        <v>5</v>
      </c>
      <c r="H2660" s="3">
        <v>53989.51</v>
      </c>
      <c r="I2660" s="3">
        <v>269947.55</v>
      </c>
    </row>
    <row r="2661" spans="1:9" x14ac:dyDescent="0.3">
      <c r="A2661" s="5" t="s">
        <v>196</v>
      </c>
      <c r="B2661" t="s">
        <v>254</v>
      </c>
      <c r="C2661" t="s">
        <v>262</v>
      </c>
      <c r="D2661" t="s">
        <v>266</v>
      </c>
      <c r="E2661" t="s">
        <v>273</v>
      </c>
      <c r="F2661" t="s">
        <v>279</v>
      </c>
      <c r="G2661" s="7">
        <v>8</v>
      </c>
      <c r="H2661" s="3">
        <v>48529.68</v>
      </c>
      <c r="I2661" s="3">
        <v>388237.44</v>
      </c>
    </row>
    <row r="2662" spans="1:9" x14ac:dyDescent="0.3">
      <c r="A2662" s="5" t="s">
        <v>197</v>
      </c>
      <c r="B2662" t="s">
        <v>257</v>
      </c>
      <c r="C2662" t="s">
        <v>263</v>
      </c>
      <c r="D2662" t="s">
        <v>266</v>
      </c>
      <c r="E2662" t="s">
        <v>271</v>
      </c>
      <c r="F2662" t="s">
        <v>275</v>
      </c>
      <c r="G2662" s="7">
        <v>3</v>
      </c>
      <c r="H2662" s="3">
        <v>7255.6</v>
      </c>
      <c r="I2662" s="3">
        <v>21766.799999999999</v>
      </c>
    </row>
    <row r="2663" spans="1:9" x14ac:dyDescent="0.3">
      <c r="A2663" s="5" t="s">
        <v>197</v>
      </c>
      <c r="B2663" t="s">
        <v>255</v>
      </c>
      <c r="C2663" t="s">
        <v>262</v>
      </c>
      <c r="D2663" t="s">
        <v>268</v>
      </c>
      <c r="E2663" t="s">
        <v>274</v>
      </c>
      <c r="F2663" t="s">
        <v>280</v>
      </c>
      <c r="G2663" s="7">
        <v>6</v>
      </c>
      <c r="H2663" s="3">
        <v>30499.98</v>
      </c>
      <c r="I2663" s="3">
        <v>182999.88</v>
      </c>
    </row>
    <row r="2664" spans="1:9" x14ac:dyDescent="0.3">
      <c r="A2664" s="5" t="s">
        <v>197</v>
      </c>
      <c r="B2664" t="s">
        <v>258</v>
      </c>
      <c r="C2664" t="s">
        <v>261</v>
      </c>
      <c r="D2664" t="s">
        <v>266</v>
      </c>
      <c r="E2664" t="s">
        <v>273</v>
      </c>
      <c r="F2664" t="s">
        <v>279</v>
      </c>
      <c r="G2664" s="7">
        <v>5</v>
      </c>
      <c r="H2664" s="3">
        <v>45572.81</v>
      </c>
      <c r="I2664" s="3">
        <v>227864.05</v>
      </c>
    </row>
    <row r="2665" spans="1:9" x14ac:dyDescent="0.3">
      <c r="A2665" s="5" t="s">
        <v>197</v>
      </c>
      <c r="B2665" t="s">
        <v>259</v>
      </c>
      <c r="C2665" t="s">
        <v>261</v>
      </c>
      <c r="D2665" t="s">
        <v>270</v>
      </c>
      <c r="E2665" t="s">
        <v>273</v>
      </c>
      <c r="F2665" t="s">
        <v>278</v>
      </c>
      <c r="G2665" s="7">
        <v>8</v>
      </c>
      <c r="H2665" s="3">
        <v>46531.15</v>
      </c>
      <c r="I2665" s="3">
        <v>372249.2</v>
      </c>
    </row>
    <row r="2666" spans="1:9" x14ac:dyDescent="0.3">
      <c r="A2666" s="5" t="s">
        <v>197</v>
      </c>
      <c r="B2666" t="s">
        <v>255</v>
      </c>
      <c r="C2666" t="s">
        <v>263</v>
      </c>
      <c r="D2666" t="s">
        <v>268</v>
      </c>
      <c r="E2666" t="s">
        <v>273</v>
      </c>
      <c r="F2666" t="s">
        <v>288</v>
      </c>
      <c r="G2666" s="7">
        <v>4</v>
      </c>
      <c r="H2666" s="3">
        <v>43608.22</v>
      </c>
      <c r="I2666" s="3">
        <v>174432.88</v>
      </c>
    </row>
    <row r="2667" spans="1:9" x14ac:dyDescent="0.3">
      <c r="A2667" s="5" t="s">
        <v>197</v>
      </c>
      <c r="B2667" t="s">
        <v>258</v>
      </c>
      <c r="C2667" t="s">
        <v>264</v>
      </c>
      <c r="D2667" t="s">
        <v>270</v>
      </c>
      <c r="E2667" t="s">
        <v>271</v>
      </c>
      <c r="F2667" t="s">
        <v>275</v>
      </c>
      <c r="G2667" s="7">
        <v>8</v>
      </c>
      <c r="H2667" s="3">
        <v>7337.02</v>
      </c>
      <c r="I2667" s="3">
        <v>58696.160000000003</v>
      </c>
    </row>
    <row r="2668" spans="1:9" x14ac:dyDescent="0.3">
      <c r="A2668" s="5" t="s">
        <v>198</v>
      </c>
      <c r="B2668" t="s">
        <v>255</v>
      </c>
      <c r="C2668" t="s">
        <v>263</v>
      </c>
      <c r="D2668" t="s">
        <v>269</v>
      </c>
      <c r="E2668" t="s">
        <v>272</v>
      </c>
      <c r="F2668" t="s">
        <v>290</v>
      </c>
      <c r="G2668" s="7">
        <v>2</v>
      </c>
      <c r="H2668" s="3">
        <v>30409.43</v>
      </c>
      <c r="I2668" s="3">
        <v>60818.86</v>
      </c>
    </row>
    <row r="2669" spans="1:9" x14ac:dyDescent="0.3">
      <c r="A2669" s="5" t="s">
        <v>198</v>
      </c>
      <c r="B2669" t="s">
        <v>259</v>
      </c>
      <c r="C2669" t="s">
        <v>262</v>
      </c>
      <c r="D2669" t="s">
        <v>267</v>
      </c>
      <c r="E2669" t="s">
        <v>271</v>
      </c>
      <c r="F2669" t="s">
        <v>275</v>
      </c>
      <c r="G2669" s="7">
        <v>9</v>
      </c>
      <c r="H2669" s="3">
        <v>9007.1299999999992</v>
      </c>
      <c r="I2669" s="3">
        <v>81064.17</v>
      </c>
    </row>
    <row r="2670" spans="1:9" x14ac:dyDescent="0.3">
      <c r="A2670" s="5" t="s">
        <v>198</v>
      </c>
      <c r="B2670" t="s">
        <v>256</v>
      </c>
      <c r="C2670" t="s">
        <v>263</v>
      </c>
      <c r="D2670" t="s">
        <v>269</v>
      </c>
      <c r="E2670" t="s">
        <v>274</v>
      </c>
      <c r="F2670" t="s">
        <v>287</v>
      </c>
      <c r="G2670" s="7">
        <v>9</v>
      </c>
      <c r="H2670" s="3">
        <v>30822.41</v>
      </c>
      <c r="I2670" s="3">
        <v>277401.69</v>
      </c>
    </row>
    <row r="2671" spans="1:9" x14ac:dyDescent="0.3">
      <c r="A2671" s="5" t="s">
        <v>198</v>
      </c>
      <c r="B2671" t="s">
        <v>256</v>
      </c>
      <c r="C2671" t="s">
        <v>265</v>
      </c>
      <c r="D2671" t="s">
        <v>267</v>
      </c>
      <c r="E2671" t="s">
        <v>274</v>
      </c>
      <c r="F2671" t="s">
        <v>287</v>
      </c>
      <c r="G2671" s="7">
        <v>6</v>
      </c>
      <c r="H2671" s="3">
        <v>27686.09</v>
      </c>
      <c r="I2671" s="3">
        <v>166116.54</v>
      </c>
    </row>
    <row r="2672" spans="1:9" x14ac:dyDescent="0.3">
      <c r="A2672" s="5" t="s">
        <v>198</v>
      </c>
      <c r="B2672" t="s">
        <v>257</v>
      </c>
      <c r="C2672" t="s">
        <v>262</v>
      </c>
      <c r="D2672" t="s">
        <v>269</v>
      </c>
      <c r="E2672" t="s">
        <v>274</v>
      </c>
      <c r="F2672" t="s">
        <v>287</v>
      </c>
      <c r="G2672" s="7">
        <v>4</v>
      </c>
      <c r="H2672" s="3">
        <v>39930.81</v>
      </c>
      <c r="I2672" s="3">
        <v>159723.24</v>
      </c>
    </row>
    <row r="2673" spans="1:9" x14ac:dyDescent="0.3">
      <c r="A2673" s="5" t="s">
        <v>198</v>
      </c>
      <c r="B2673" t="s">
        <v>256</v>
      </c>
      <c r="C2673" t="s">
        <v>262</v>
      </c>
      <c r="D2673" t="s">
        <v>266</v>
      </c>
      <c r="E2673" t="s">
        <v>274</v>
      </c>
      <c r="F2673" t="s">
        <v>287</v>
      </c>
      <c r="G2673" s="7">
        <v>4</v>
      </c>
      <c r="H2673" s="3">
        <v>33369.42</v>
      </c>
      <c r="I2673" s="3">
        <v>133477.68</v>
      </c>
    </row>
    <row r="2674" spans="1:9" x14ac:dyDescent="0.3">
      <c r="A2674" s="5" t="s">
        <v>198</v>
      </c>
      <c r="B2674" t="s">
        <v>256</v>
      </c>
      <c r="C2674" t="s">
        <v>264</v>
      </c>
      <c r="D2674" t="s">
        <v>270</v>
      </c>
      <c r="E2674" t="s">
        <v>273</v>
      </c>
      <c r="F2674" t="s">
        <v>278</v>
      </c>
      <c r="G2674" s="7">
        <v>6</v>
      </c>
      <c r="H2674" s="3">
        <v>51858.080000000002</v>
      </c>
      <c r="I2674" s="3">
        <v>311148.48</v>
      </c>
    </row>
    <row r="2675" spans="1:9" x14ac:dyDescent="0.3">
      <c r="A2675" s="5" t="s">
        <v>199</v>
      </c>
      <c r="B2675" t="s">
        <v>253</v>
      </c>
      <c r="C2675" t="s">
        <v>261</v>
      </c>
      <c r="D2675" t="s">
        <v>267</v>
      </c>
      <c r="E2675" t="s">
        <v>273</v>
      </c>
      <c r="F2675" t="s">
        <v>288</v>
      </c>
      <c r="G2675" s="7">
        <v>5</v>
      </c>
      <c r="H2675" s="3">
        <v>46391.65</v>
      </c>
      <c r="I2675" s="3">
        <v>231958.25</v>
      </c>
    </row>
    <row r="2676" spans="1:9" x14ac:dyDescent="0.3">
      <c r="A2676" s="5" t="s">
        <v>199</v>
      </c>
      <c r="B2676" t="s">
        <v>260</v>
      </c>
      <c r="C2676" t="s">
        <v>262</v>
      </c>
      <c r="D2676" t="s">
        <v>268</v>
      </c>
      <c r="E2676" t="s">
        <v>271</v>
      </c>
      <c r="F2676" t="s">
        <v>282</v>
      </c>
      <c r="G2676" s="7">
        <v>6</v>
      </c>
      <c r="H2676" s="3">
        <v>7371.78</v>
      </c>
      <c r="I2676" s="3">
        <v>44230.68</v>
      </c>
    </row>
    <row r="2677" spans="1:9" x14ac:dyDescent="0.3">
      <c r="A2677" s="5" t="s">
        <v>199</v>
      </c>
      <c r="B2677" t="s">
        <v>253</v>
      </c>
      <c r="C2677" t="s">
        <v>261</v>
      </c>
      <c r="D2677" t="s">
        <v>270</v>
      </c>
      <c r="E2677" t="s">
        <v>272</v>
      </c>
      <c r="F2677" t="s">
        <v>286</v>
      </c>
      <c r="G2677" s="7">
        <v>7</v>
      </c>
      <c r="H2677" s="3">
        <v>27267.53</v>
      </c>
      <c r="I2677" s="3">
        <v>190872.71</v>
      </c>
    </row>
    <row r="2678" spans="1:9" x14ac:dyDescent="0.3">
      <c r="A2678" s="5" t="s">
        <v>199</v>
      </c>
      <c r="B2678" t="s">
        <v>253</v>
      </c>
      <c r="C2678" t="s">
        <v>263</v>
      </c>
      <c r="D2678" t="s">
        <v>268</v>
      </c>
      <c r="E2678" t="s">
        <v>274</v>
      </c>
      <c r="F2678" t="s">
        <v>289</v>
      </c>
      <c r="G2678" s="7">
        <v>7</v>
      </c>
      <c r="H2678" s="3">
        <v>31297.41</v>
      </c>
      <c r="I2678" s="3">
        <v>219081.87</v>
      </c>
    </row>
    <row r="2679" spans="1:9" x14ac:dyDescent="0.3">
      <c r="A2679" s="5" t="s">
        <v>199</v>
      </c>
      <c r="B2679" t="s">
        <v>257</v>
      </c>
      <c r="C2679" t="s">
        <v>265</v>
      </c>
      <c r="D2679" t="s">
        <v>270</v>
      </c>
      <c r="E2679" t="s">
        <v>271</v>
      </c>
      <c r="F2679" t="s">
        <v>285</v>
      </c>
      <c r="G2679" s="7">
        <v>9</v>
      </c>
      <c r="H2679" s="3">
        <v>10075.4</v>
      </c>
      <c r="I2679" s="3">
        <v>90678.6</v>
      </c>
    </row>
    <row r="2680" spans="1:9" x14ac:dyDescent="0.3">
      <c r="A2680" s="5" t="s">
        <v>199</v>
      </c>
      <c r="B2680" t="s">
        <v>253</v>
      </c>
      <c r="C2680" t="s">
        <v>264</v>
      </c>
      <c r="D2680" t="s">
        <v>270</v>
      </c>
      <c r="E2680" t="s">
        <v>273</v>
      </c>
      <c r="F2680" t="s">
        <v>283</v>
      </c>
      <c r="G2680" s="7">
        <v>8</v>
      </c>
      <c r="H2680" s="3">
        <v>50026.14</v>
      </c>
      <c r="I2680" s="3">
        <v>400209.12</v>
      </c>
    </row>
    <row r="2681" spans="1:9" x14ac:dyDescent="0.3">
      <c r="A2681" s="5" t="s">
        <v>200</v>
      </c>
      <c r="B2681" t="s">
        <v>256</v>
      </c>
      <c r="C2681" t="s">
        <v>261</v>
      </c>
      <c r="D2681" t="s">
        <v>269</v>
      </c>
      <c r="E2681" t="s">
        <v>273</v>
      </c>
      <c r="F2681" t="s">
        <v>283</v>
      </c>
      <c r="G2681" s="7">
        <v>6</v>
      </c>
      <c r="H2681" s="3">
        <v>43207.74</v>
      </c>
      <c r="I2681" s="3">
        <v>259246.44</v>
      </c>
    </row>
    <row r="2682" spans="1:9" x14ac:dyDescent="0.3">
      <c r="A2682" s="5" t="s">
        <v>200</v>
      </c>
      <c r="B2682" t="s">
        <v>259</v>
      </c>
      <c r="C2682" t="s">
        <v>262</v>
      </c>
      <c r="D2682" t="s">
        <v>267</v>
      </c>
      <c r="E2682" t="s">
        <v>272</v>
      </c>
      <c r="F2682" t="s">
        <v>290</v>
      </c>
      <c r="G2682" s="7">
        <v>6</v>
      </c>
      <c r="H2682" s="3">
        <v>34638.69</v>
      </c>
      <c r="I2682" s="3">
        <v>207832.14</v>
      </c>
    </row>
    <row r="2683" spans="1:9" x14ac:dyDescent="0.3">
      <c r="A2683" s="5" t="s">
        <v>200</v>
      </c>
      <c r="B2683" t="s">
        <v>257</v>
      </c>
      <c r="C2683" t="s">
        <v>261</v>
      </c>
      <c r="D2683" t="s">
        <v>267</v>
      </c>
      <c r="E2683" t="s">
        <v>272</v>
      </c>
      <c r="F2683" t="s">
        <v>290</v>
      </c>
      <c r="G2683" s="7">
        <v>5</v>
      </c>
      <c r="H2683" s="3">
        <v>27401.27</v>
      </c>
      <c r="I2683" s="3">
        <v>137006.35</v>
      </c>
    </row>
    <row r="2684" spans="1:9" x14ac:dyDescent="0.3">
      <c r="A2684" s="5" t="s">
        <v>200</v>
      </c>
      <c r="B2684" t="s">
        <v>257</v>
      </c>
      <c r="C2684" t="s">
        <v>262</v>
      </c>
      <c r="D2684" t="s">
        <v>270</v>
      </c>
      <c r="E2684" t="s">
        <v>272</v>
      </c>
      <c r="F2684" t="s">
        <v>276</v>
      </c>
      <c r="G2684" s="7">
        <v>1</v>
      </c>
      <c r="H2684" s="3">
        <v>34980.22</v>
      </c>
      <c r="I2684" s="3">
        <v>34980.22</v>
      </c>
    </row>
    <row r="2685" spans="1:9" x14ac:dyDescent="0.3">
      <c r="A2685" s="5" t="s">
        <v>200</v>
      </c>
      <c r="B2685" t="s">
        <v>254</v>
      </c>
      <c r="C2685" t="s">
        <v>261</v>
      </c>
      <c r="D2685" t="s">
        <v>266</v>
      </c>
      <c r="E2685" t="s">
        <v>271</v>
      </c>
      <c r="F2685" t="s">
        <v>275</v>
      </c>
      <c r="G2685" s="7">
        <v>9</v>
      </c>
      <c r="H2685" s="3">
        <v>10611.96</v>
      </c>
      <c r="I2685" s="3">
        <v>95507.64</v>
      </c>
    </row>
    <row r="2686" spans="1:9" x14ac:dyDescent="0.3">
      <c r="A2686" s="5" t="s">
        <v>200</v>
      </c>
      <c r="B2686" t="s">
        <v>257</v>
      </c>
      <c r="C2686" t="s">
        <v>262</v>
      </c>
      <c r="D2686" t="s">
        <v>266</v>
      </c>
      <c r="E2686" t="s">
        <v>273</v>
      </c>
      <c r="F2686" t="s">
        <v>279</v>
      </c>
      <c r="G2686" s="7">
        <v>9</v>
      </c>
      <c r="H2686" s="3">
        <v>41691.79</v>
      </c>
      <c r="I2686" s="3">
        <v>375226.11</v>
      </c>
    </row>
    <row r="2687" spans="1:9" x14ac:dyDescent="0.3">
      <c r="A2687" s="5" t="s">
        <v>201</v>
      </c>
      <c r="B2687" t="s">
        <v>254</v>
      </c>
      <c r="C2687" t="s">
        <v>263</v>
      </c>
      <c r="D2687" t="s">
        <v>268</v>
      </c>
      <c r="E2687" t="s">
        <v>273</v>
      </c>
      <c r="F2687" t="s">
        <v>288</v>
      </c>
      <c r="G2687" s="7">
        <v>9</v>
      </c>
      <c r="H2687" s="3">
        <v>43879.34</v>
      </c>
      <c r="I2687" s="3">
        <v>394914.06</v>
      </c>
    </row>
    <row r="2688" spans="1:9" x14ac:dyDescent="0.3">
      <c r="A2688" s="5" t="s">
        <v>201</v>
      </c>
      <c r="B2688" t="s">
        <v>257</v>
      </c>
      <c r="C2688" t="s">
        <v>262</v>
      </c>
      <c r="D2688" t="s">
        <v>268</v>
      </c>
      <c r="E2688" t="s">
        <v>272</v>
      </c>
      <c r="F2688" t="s">
        <v>276</v>
      </c>
      <c r="G2688" s="7">
        <v>8</v>
      </c>
      <c r="H2688" s="3">
        <v>29243.7</v>
      </c>
      <c r="I2688" s="3">
        <v>233949.6</v>
      </c>
    </row>
    <row r="2689" spans="1:9" x14ac:dyDescent="0.3">
      <c r="A2689" s="5" t="s">
        <v>201</v>
      </c>
      <c r="B2689" t="s">
        <v>260</v>
      </c>
      <c r="C2689" t="s">
        <v>262</v>
      </c>
      <c r="D2689" t="s">
        <v>269</v>
      </c>
      <c r="E2689" t="s">
        <v>274</v>
      </c>
      <c r="F2689" t="s">
        <v>280</v>
      </c>
      <c r="G2689" s="7">
        <v>3</v>
      </c>
      <c r="H2689" s="3">
        <v>35700.49</v>
      </c>
      <c r="I2689" s="3">
        <v>107101.47</v>
      </c>
    </row>
    <row r="2690" spans="1:9" x14ac:dyDescent="0.3">
      <c r="A2690" s="5" t="s">
        <v>201</v>
      </c>
      <c r="B2690" t="s">
        <v>256</v>
      </c>
      <c r="C2690" t="s">
        <v>265</v>
      </c>
      <c r="D2690" t="s">
        <v>270</v>
      </c>
      <c r="E2690" t="s">
        <v>272</v>
      </c>
      <c r="F2690" t="s">
        <v>286</v>
      </c>
      <c r="G2690" s="7">
        <v>1</v>
      </c>
      <c r="H2690" s="3">
        <v>29714.13</v>
      </c>
      <c r="I2690" s="3">
        <v>29714.13</v>
      </c>
    </row>
    <row r="2691" spans="1:9" x14ac:dyDescent="0.3">
      <c r="A2691" s="5" t="s">
        <v>201</v>
      </c>
      <c r="B2691" t="s">
        <v>257</v>
      </c>
      <c r="C2691" t="s">
        <v>262</v>
      </c>
      <c r="D2691" t="s">
        <v>268</v>
      </c>
      <c r="E2691" t="s">
        <v>271</v>
      </c>
      <c r="F2691" t="s">
        <v>275</v>
      </c>
      <c r="G2691" s="7">
        <v>8</v>
      </c>
      <c r="H2691" s="3">
        <v>10521.1</v>
      </c>
      <c r="I2691" s="3">
        <v>84168.8</v>
      </c>
    </row>
    <row r="2692" spans="1:9" x14ac:dyDescent="0.3">
      <c r="A2692" s="5" t="s">
        <v>201</v>
      </c>
      <c r="B2692" t="s">
        <v>256</v>
      </c>
      <c r="C2692" t="s">
        <v>265</v>
      </c>
      <c r="D2692" t="s">
        <v>268</v>
      </c>
      <c r="E2692" t="s">
        <v>272</v>
      </c>
      <c r="F2692" t="s">
        <v>286</v>
      </c>
      <c r="G2692" s="7">
        <v>7</v>
      </c>
      <c r="H2692" s="3">
        <v>31908.68</v>
      </c>
      <c r="I2692" s="3">
        <v>223360.76</v>
      </c>
    </row>
    <row r="2693" spans="1:9" x14ac:dyDescent="0.3">
      <c r="A2693" s="5" t="s">
        <v>202</v>
      </c>
      <c r="B2693" t="s">
        <v>256</v>
      </c>
      <c r="C2693" t="s">
        <v>264</v>
      </c>
      <c r="D2693" t="s">
        <v>270</v>
      </c>
      <c r="E2693" t="s">
        <v>272</v>
      </c>
      <c r="F2693" t="s">
        <v>277</v>
      </c>
      <c r="G2693" s="7">
        <v>5</v>
      </c>
      <c r="H2693" s="3">
        <v>26174.9</v>
      </c>
      <c r="I2693" s="3">
        <v>130874.5</v>
      </c>
    </row>
    <row r="2694" spans="1:9" x14ac:dyDescent="0.3">
      <c r="A2694" s="5" t="s">
        <v>202</v>
      </c>
      <c r="B2694" t="s">
        <v>255</v>
      </c>
      <c r="C2694" t="s">
        <v>265</v>
      </c>
      <c r="D2694" t="s">
        <v>269</v>
      </c>
      <c r="E2694" t="s">
        <v>271</v>
      </c>
      <c r="F2694" t="s">
        <v>275</v>
      </c>
      <c r="G2694" s="7">
        <v>7</v>
      </c>
      <c r="H2694" s="3">
        <v>7582.33</v>
      </c>
      <c r="I2694" s="3">
        <v>53076.31</v>
      </c>
    </row>
    <row r="2695" spans="1:9" x14ac:dyDescent="0.3">
      <c r="A2695" s="5" t="s">
        <v>202</v>
      </c>
      <c r="B2695" t="s">
        <v>257</v>
      </c>
      <c r="C2695" t="s">
        <v>263</v>
      </c>
      <c r="D2695" t="s">
        <v>268</v>
      </c>
      <c r="E2695" t="s">
        <v>272</v>
      </c>
      <c r="F2695" t="s">
        <v>277</v>
      </c>
      <c r="G2695" s="7">
        <v>4</v>
      </c>
      <c r="H2695" s="3">
        <v>31510.09</v>
      </c>
      <c r="I2695" s="3">
        <v>126040.36</v>
      </c>
    </row>
    <row r="2696" spans="1:9" x14ac:dyDescent="0.3">
      <c r="A2696" s="5" t="s">
        <v>202</v>
      </c>
      <c r="B2696" t="s">
        <v>258</v>
      </c>
      <c r="C2696" t="s">
        <v>265</v>
      </c>
      <c r="D2696" t="s">
        <v>269</v>
      </c>
      <c r="E2696" t="s">
        <v>273</v>
      </c>
      <c r="F2696" t="s">
        <v>283</v>
      </c>
      <c r="G2696" s="7">
        <v>9</v>
      </c>
      <c r="H2696" s="3">
        <v>41102.14</v>
      </c>
      <c r="I2696" s="3">
        <v>369919.26</v>
      </c>
    </row>
    <row r="2697" spans="1:9" x14ac:dyDescent="0.3">
      <c r="A2697" s="5" t="s">
        <v>202</v>
      </c>
      <c r="B2697" t="s">
        <v>255</v>
      </c>
      <c r="C2697" t="s">
        <v>264</v>
      </c>
      <c r="D2697" t="s">
        <v>267</v>
      </c>
      <c r="E2697" t="s">
        <v>274</v>
      </c>
      <c r="F2697" t="s">
        <v>280</v>
      </c>
      <c r="G2697" s="7">
        <v>2</v>
      </c>
      <c r="H2697" s="3">
        <v>37282.26</v>
      </c>
      <c r="I2697" s="3">
        <v>74564.52</v>
      </c>
    </row>
    <row r="2698" spans="1:9" x14ac:dyDescent="0.3">
      <c r="A2698" s="5" t="s">
        <v>202</v>
      </c>
      <c r="B2698" t="s">
        <v>258</v>
      </c>
      <c r="C2698" t="s">
        <v>263</v>
      </c>
      <c r="D2698" t="s">
        <v>269</v>
      </c>
      <c r="E2698" t="s">
        <v>272</v>
      </c>
      <c r="F2698" t="s">
        <v>276</v>
      </c>
      <c r="G2698" s="7">
        <v>9</v>
      </c>
      <c r="H2698" s="3">
        <v>27283.61</v>
      </c>
      <c r="I2698" s="3">
        <v>245552.49</v>
      </c>
    </row>
    <row r="2699" spans="1:9" x14ac:dyDescent="0.3">
      <c r="A2699" s="5" t="s">
        <v>203</v>
      </c>
      <c r="B2699" t="s">
        <v>256</v>
      </c>
      <c r="C2699" t="s">
        <v>261</v>
      </c>
      <c r="D2699" t="s">
        <v>266</v>
      </c>
      <c r="E2699" t="s">
        <v>271</v>
      </c>
      <c r="F2699" t="s">
        <v>285</v>
      </c>
      <c r="G2699" s="7">
        <v>9</v>
      </c>
      <c r="H2699" s="3">
        <v>8336.44</v>
      </c>
      <c r="I2699" s="3">
        <v>75027.960000000006</v>
      </c>
    </row>
    <row r="2700" spans="1:9" x14ac:dyDescent="0.3">
      <c r="A2700" s="5" t="s">
        <v>203</v>
      </c>
      <c r="B2700" t="s">
        <v>256</v>
      </c>
      <c r="C2700" t="s">
        <v>261</v>
      </c>
      <c r="D2700" t="s">
        <v>266</v>
      </c>
      <c r="E2700" t="s">
        <v>274</v>
      </c>
      <c r="F2700" t="s">
        <v>287</v>
      </c>
      <c r="G2700" s="7">
        <v>5</v>
      </c>
      <c r="H2700" s="3">
        <v>27338.22</v>
      </c>
      <c r="I2700" s="3">
        <v>136691.1</v>
      </c>
    </row>
    <row r="2701" spans="1:9" x14ac:dyDescent="0.3">
      <c r="A2701" s="5" t="s">
        <v>203</v>
      </c>
      <c r="B2701" t="s">
        <v>255</v>
      </c>
      <c r="C2701" t="s">
        <v>265</v>
      </c>
      <c r="D2701" t="s">
        <v>269</v>
      </c>
      <c r="E2701" t="s">
        <v>271</v>
      </c>
      <c r="F2701" t="s">
        <v>281</v>
      </c>
      <c r="G2701" s="7">
        <v>1</v>
      </c>
      <c r="H2701" s="3">
        <v>9608.44</v>
      </c>
      <c r="I2701" s="3">
        <v>9608.44</v>
      </c>
    </row>
    <row r="2702" spans="1:9" x14ac:dyDescent="0.3">
      <c r="A2702" s="5" t="s">
        <v>203</v>
      </c>
      <c r="B2702" t="s">
        <v>255</v>
      </c>
      <c r="C2702" t="s">
        <v>265</v>
      </c>
      <c r="D2702" t="s">
        <v>266</v>
      </c>
      <c r="E2702" t="s">
        <v>274</v>
      </c>
      <c r="F2702" t="s">
        <v>287</v>
      </c>
      <c r="G2702" s="7">
        <v>7</v>
      </c>
      <c r="H2702" s="3">
        <v>28649.85</v>
      </c>
      <c r="I2702" s="3">
        <v>200548.95</v>
      </c>
    </row>
    <row r="2703" spans="1:9" x14ac:dyDescent="0.3">
      <c r="A2703" s="5" t="s">
        <v>203</v>
      </c>
      <c r="B2703" t="s">
        <v>258</v>
      </c>
      <c r="C2703" t="s">
        <v>264</v>
      </c>
      <c r="D2703" t="s">
        <v>267</v>
      </c>
      <c r="E2703" t="s">
        <v>274</v>
      </c>
      <c r="F2703" t="s">
        <v>280</v>
      </c>
      <c r="G2703" s="7">
        <v>4</v>
      </c>
      <c r="H2703" s="3">
        <v>37092.870000000003</v>
      </c>
      <c r="I2703" s="3">
        <v>148371.48000000001</v>
      </c>
    </row>
    <row r="2704" spans="1:9" x14ac:dyDescent="0.3">
      <c r="A2704" s="5" t="s">
        <v>203</v>
      </c>
      <c r="B2704" t="s">
        <v>254</v>
      </c>
      <c r="C2704" t="s">
        <v>264</v>
      </c>
      <c r="D2704" t="s">
        <v>270</v>
      </c>
      <c r="E2704" t="s">
        <v>272</v>
      </c>
      <c r="F2704" t="s">
        <v>290</v>
      </c>
      <c r="G2704" s="7">
        <v>9</v>
      </c>
      <c r="H2704" s="3">
        <v>29308.92</v>
      </c>
      <c r="I2704" s="3">
        <v>263780.28000000003</v>
      </c>
    </row>
    <row r="2705" spans="1:9" x14ac:dyDescent="0.3">
      <c r="A2705" s="5" t="s">
        <v>204</v>
      </c>
      <c r="B2705" t="s">
        <v>258</v>
      </c>
      <c r="C2705" t="s">
        <v>262</v>
      </c>
      <c r="D2705" t="s">
        <v>266</v>
      </c>
      <c r="E2705" t="s">
        <v>273</v>
      </c>
      <c r="F2705" t="s">
        <v>288</v>
      </c>
      <c r="G2705" s="7">
        <v>6</v>
      </c>
      <c r="H2705" s="3">
        <v>52367.040000000001</v>
      </c>
      <c r="I2705" s="3">
        <v>314202.23999999999</v>
      </c>
    </row>
    <row r="2706" spans="1:9" x14ac:dyDescent="0.3">
      <c r="A2706" s="5" t="s">
        <v>204</v>
      </c>
      <c r="B2706" t="s">
        <v>255</v>
      </c>
      <c r="C2706" t="s">
        <v>264</v>
      </c>
      <c r="D2706" t="s">
        <v>266</v>
      </c>
      <c r="E2706" t="s">
        <v>272</v>
      </c>
      <c r="F2706" t="s">
        <v>290</v>
      </c>
      <c r="G2706" s="7">
        <v>3</v>
      </c>
      <c r="H2706" s="3">
        <v>30339.98</v>
      </c>
      <c r="I2706" s="3">
        <v>91019.94</v>
      </c>
    </row>
    <row r="2707" spans="1:9" x14ac:dyDescent="0.3">
      <c r="A2707" s="5" t="s">
        <v>204</v>
      </c>
      <c r="B2707" t="s">
        <v>259</v>
      </c>
      <c r="C2707" t="s">
        <v>262</v>
      </c>
      <c r="D2707" t="s">
        <v>269</v>
      </c>
      <c r="E2707" t="s">
        <v>271</v>
      </c>
      <c r="F2707" t="s">
        <v>285</v>
      </c>
      <c r="G2707" s="7">
        <v>6</v>
      </c>
      <c r="H2707" s="3">
        <v>7505.27</v>
      </c>
      <c r="I2707" s="3">
        <v>45031.62</v>
      </c>
    </row>
    <row r="2708" spans="1:9" x14ac:dyDescent="0.3">
      <c r="A2708" s="5" t="s">
        <v>204</v>
      </c>
      <c r="B2708" t="s">
        <v>255</v>
      </c>
      <c r="C2708" t="s">
        <v>263</v>
      </c>
      <c r="D2708" t="s">
        <v>267</v>
      </c>
      <c r="E2708" t="s">
        <v>271</v>
      </c>
      <c r="F2708" t="s">
        <v>282</v>
      </c>
      <c r="G2708" s="7">
        <v>6</v>
      </c>
      <c r="H2708" s="3">
        <v>9828.2199999999993</v>
      </c>
      <c r="I2708" s="3">
        <v>58969.32</v>
      </c>
    </row>
    <row r="2709" spans="1:9" x14ac:dyDescent="0.3">
      <c r="A2709" s="5" t="s">
        <v>204</v>
      </c>
      <c r="B2709" t="s">
        <v>259</v>
      </c>
      <c r="C2709" t="s">
        <v>265</v>
      </c>
      <c r="D2709" t="s">
        <v>270</v>
      </c>
      <c r="E2709" t="s">
        <v>274</v>
      </c>
      <c r="F2709" t="s">
        <v>287</v>
      </c>
      <c r="G2709" s="7">
        <v>5</v>
      </c>
      <c r="H2709" s="3">
        <v>28093.43</v>
      </c>
      <c r="I2709" s="3">
        <v>140467.15</v>
      </c>
    </row>
    <row r="2710" spans="1:9" x14ac:dyDescent="0.3">
      <c r="A2710" s="5" t="s">
        <v>204</v>
      </c>
      <c r="B2710" t="s">
        <v>260</v>
      </c>
      <c r="C2710" t="s">
        <v>263</v>
      </c>
      <c r="D2710" t="s">
        <v>269</v>
      </c>
      <c r="E2710" t="s">
        <v>274</v>
      </c>
      <c r="F2710" t="s">
        <v>289</v>
      </c>
      <c r="G2710" s="7">
        <v>2</v>
      </c>
      <c r="H2710" s="3">
        <v>33327.379999999997</v>
      </c>
      <c r="I2710" s="3">
        <v>66654.759999999995</v>
      </c>
    </row>
    <row r="2711" spans="1:9" x14ac:dyDescent="0.3">
      <c r="A2711" s="5" t="s">
        <v>204</v>
      </c>
      <c r="B2711" t="s">
        <v>255</v>
      </c>
      <c r="C2711" t="s">
        <v>264</v>
      </c>
      <c r="D2711" t="s">
        <v>269</v>
      </c>
      <c r="E2711" t="s">
        <v>273</v>
      </c>
      <c r="F2711" t="s">
        <v>279</v>
      </c>
      <c r="G2711" s="7">
        <v>2</v>
      </c>
      <c r="H2711" s="3">
        <v>41352.29</v>
      </c>
      <c r="I2711" s="3">
        <v>82704.58</v>
      </c>
    </row>
    <row r="2712" spans="1:9" x14ac:dyDescent="0.3">
      <c r="A2712" s="5" t="s">
        <v>205</v>
      </c>
      <c r="B2712" t="s">
        <v>260</v>
      </c>
      <c r="C2712" t="s">
        <v>263</v>
      </c>
      <c r="D2712" t="s">
        <v>267</v>
      </c>
      <c r="E2712" t="s">
        <v>272</v>
      </c>
      <c r="F2712" t="s">
        <v>276</v>
      </c>
      <c r="G2712" s="7">
        <v>7</v>
      </c>
      <c r="H2712" s="3">
        <v>32226.15</v>
      </c>
      <c r="I2712" s="3">
        <v>225583.05</v>
      </c>
    </row>
    <row r="2713" spans="1:9" x14ac:dyDescent="0.3">
      <c r="A2713" s="5" t="s">
        <v>205</v>
      </c>
      <c r="B2713" t="s">
        <v>254</v>
      </c>
      <c r="C2713" t="s">
        <v>263</v>
      </c>
      <c r="D2713" t="s">
        <v>270</v>
      </c>
      <c r="E2713" t="s">
        <v>271</v>
      </c>
      <c r="F2713" t="s">
        <v>281</v>
      </c>
      <c r="G2713" s="7">
        <v>2</v>
      </c>
      <c r="H2713" s="3">
        <v>10324.41</v>
      </c>
      <c r="I2713" s="3">
        <v>20648.82</v>
      </c>
    </row>
    <row r="2714" spans="1:9" x14ac:dyDescent="0.3">
      <c r="A2714" s="5" t="s">
        <v>205</v>
      </c>
      <c r="B2714" t="s">
        <v>258</v>
      </c>
      <c r="C2714" t="s">
        <v>263</v>
      </c>
      <c r="D2714" t="s">
        <v>267</v>
      </c>
      <c r="E2714" t="s">
        <v>274</v>
      </c>
      <c r="F2714" t="s">
        <v>280</v>
      </c>
      <c r="G2714" s="7">
        <v>6</v>
      </c>
      <c r="H2714" s="3">
        <v>34292.81</v>
      </c>
      <c r="I2714" s="3">
        <v>205756.86</v>
      </c>
    </row>
    <row r="2715" spans="1:9" x14ac:dyDescent="0.3">
      <c r="A2715" s="5" t="s">
        <v>205</v>
      </c>
      <c r="B2715" t="s">
        <v>259</v>
      </c>
      <c r="C2715" t="s">
        <v>264</v>
      </c>
      <c r="D2715" t="s">
        <v>270</v>
      </c>
      <c r="E2715" t="s">
        <v>273</v>
      </c>
      <c r="F2715" t="s">
        <v>288</v>
      </c>
      <c r="G2715" s="7">
        <v>5</v>
      </c>
      <c r="H2715" s="3">
        <v>47738.65</v>
      </c>
      <c r="I2715" s="3">
        <v>238693.25</v>
      </c>
    </row>
    <row r="2716" spans="1:9" x14ac:dyDescent="0.3">
      <c r="A2716" s="5" t="s">
        <v>205</v>
      </c>
      <c r="B2716" t="s">
        <v>258</v>
      </c>
      <c r="C2716" t="s">
        <v>263</v>
      </c>
      <c r="D2716" t="s">
        <v>267</v>
      </c>
      <c r="E2716" t="s">
        <v>271</v>
      </c>
      <c r="F2716" t="s">
        <v>285</v>
      </c>
      <c r="G2716" s="7">
        <v>4</v>
      </c>
      <c r="H2716" s="3">
        <v>9822.4699999999993</v>
      </c>
      <c r="I2716" s="3">
        <v>39289.879999999997</v>
      </c>
    </row>
    <row r="2717" spans="1:9" x14ac:dyDescent="0.3">
      <c r="A2717" s="5" t="s">
        <v>205</v>
      </c>
      <c r="B2717" t="s">
        <v>260</v>
      </c>
      <c r="C2717" t="s">
        <v>262</v>
      </c>
      <c r="D2717" t="s">
        <v>269</v>
      </c>
      <c r="E2717" t="s">
        <v>274</v>
      </c>
      <c r="F2717" t="s">
        <v>289</v>
      </c>
      <c r="G2717" s="7">
        <v>7</v>
      </c>
      <c r="H2717" s="3">
        <v>27265.01</v>
      </c>
      <c r="I2717" s="3">
        <v>190855.07</v>
      </c>
    </row>
    <row r="2718" spans="1:9" x14ac:dyDescent="0.3">
      <c r="A2718" s="5" t="s">
        <v>206</v>
      </c>
      <c r="B2718" t="s">
        <v>259</v>
      </c>
      <c r="C2718" t="s">
        <v>264</v>
      </c>
      <c r="D2718" t="s">
        <v>269</v>
      </c>
      <c r="E2718" t="s">
        <v>271</v>
      </c>
      <c r="F2718" t="s">
        <v>275</v>
      </c>
      <c r="G2718" s="7">
        <v>8</v>
      </c>
      <c r="H2718" s="3">
        <v>10345.379999999999</v>
      </c>
      <c r="I2718" s="3">
        <v>82763.039999999994</v>
      </c>
    </row>
    <row r="2719" spans="1:9" x14ac:dyDescent="0.3">
      <c r="A2719" s="5" t="s">
        <v>206</v>
      </c>
      <c r="B2719" t="s">
        <v>258</v>
      </c>
      <c r="C2719" t="s">
        <v>263</v>
      </c>
      <c r="D2719" t="s">
        <v>268</v>
      </c>
      <c r="E2719" t="s">
        <v>273</v>
      </c>
      <c r="F2719" t="s">
        <v>283</v>
      </c>
      <c r="G2719" s="7">
        <v>4</v>
      </c>
      <c r="H2719" s="3">
        <v>41804.080000000002</v>
      </c>
      <c r="I2719" s="3">
        <v>167216.32000000001</v>
      </c>
    </row>
    <row r="2720" spans="1:9" x14ac:dyDescent="0.3">
      <c r="A2720" s="5" t="s">
        <v>206</v>
      </c>
      <c r="B2720" t="s">
        <v>255</v>
      </c>
      <c r="C2720" t="s">
        <v>264</v>
      </c>
      <c r="D2720" t="s">
        <v>266</v>
      </c>
      <c r="E2720" t="s">
        <v>273</v>
      </c>
      <c r="F2720" t="s">
        <v>288</v>
      </c>
      <c r="G2720" s="7">
        <v>1</v>
      </c>
      <c r="H2720" s="3">
        <v>55964.14</v>
      </c>
      <c r="I2720" s="3">
        <v>55964.14</v>
      </c>
    </row>
    <row r="2721" spans="1:9" x14ac:dyDescent="0.3">
      <c r="A2721" s="5" t="s">
        <v>206</v>
      </c>
      <c r="B2721" t="s">
        <v>256</v>
      </c>
      <c r="C2721" t="s">
        <v>261</v>
      </c>
      <c r="D2721" t="s">
        <v>267</v>
      </c>
      <c r="E2721" t="s">
        <v>271</v>
      </c>
      <c r="F2721" t="s">
        <v>282</v>
      </c>
      <c r="G2721" s="7">
        <v>1</v>
      </c>
      <c r="H2721" s="3">
        <v>9728.26</v>
      </c>
      <c r="I2721" s="3">
        <v>9728.26</v>
      </c>
    </row>
    <row r="2722" spans="1:9" x14ac:dyDescent="0.3">
      <c r="A2722" s="5" t="s">
        <v>206</v>
      </c>
      <c r="B2722" t="s">
        <v>260</v>
      </c>
      <c r="C2722" t="s">
        <v>262</v>
      </c>
      <c r="D2722" t="s">
        <v>268</v>
      </c>
      <c r="E2722" t="s">
        <v>272</v>
      </c>
      <c r="F2722" t="s">
        <v>277</v>
      </c>
      <c r="G2722" s="7">
        <v>1</v>
      </c>
      <c r="H2722" s="3">
        <v>32471.61</v>
      </c>
      <c r="I2722" s="3">
        <v>32471.61</v>
      </c>
    </row>
    <row r="2723" spans="1:9" x14ac:dyDescent="0.3">
      <c r="A2723" s="5" t="s">
        <v>206</v>
      </c>
      <c r="B2723" t="s">
        <v>258</v>
      </c>
      <c r="C2723" t="s">
        <v>263</v>
      </c>
      <c r="D2723" t="s">
        <v>266</v>
      </c>
      <c r="E2723" t="s">
        <v>271</v>
      </c>
      <c r="F2723" t="s">
        <v>281</v>
      </c>
      <c r="G2723" s="7">
        <v>1</v>
      </c>
      <c r="H2723" s="3">
        <v>9456.09</v>
      </c>
      <c r="I2723" s="3">
        <v>9456.09</v>
      </c>
    </row>
    <row r="2724" spans="1:9" x14ac:dyDescent="0.3">
      <c r="A2724" s="5" t="s">
        <v>207</v>
      </c>
      <c r="B2724" t="s">
        <v>260</v>
      </c>
      <c r="C2724" t="s">
        <v>261</v>
      </c>
      <c r="D2724" t="s">
        <v>267</v>
      </c>
      <c r="E2724" t="s">
        <v>274</v>
      </c>
      <c r="F2724" t="s">
        <v>280</v>
      </c>
      <c r="G2724" s="7">
        <v>5</v>
      </c>
      <c r="H2724" s="3">
        <v>33237.29</v>
      </c>
      <c r="I2724" s="3">
        <v>166186.45000000001</v>
      </c>
    </row>
    <row r="2725" spans="1:9" x14ac:dyDescent="0.3">
      <c r="A2725" s="5" t="s">
        <v>207</v>
      </c>
      <c r="B2725" t="s">
        <v>253</v>
      </c>
      <c r="C2725" t="s">
        <v>261</v>
      </c>
      <c r="D2725" t="s">
        <v>270</v>
      </c>
      <c r="E2725" t="s">
        <v>272</v>
      </c>
      <c r="F2725" t="s">
        <v>276</v>
      </c>
      <c r="G2725" s="7">
        <v>4</v>
      </c>
      <c r="H2725" s="3">
        <v>30202.23</v>
      </c>
      <c r="I2725" s="3">
        <v>120808.92</v>
      </c>
    </row>
    <row r="2726" spans="1:9" x14ac:dyDescent="0.3">
      <c r="A2726" s="5" t="s">
        <v>207</v>
      </c>
      <c r="B2726" t="s">
        <v>260</v>
      </c>
      <c r="C2726" t="s">
        <v>264</v>
      </c>
      <c r="D2726" t="s">
        <v>266</v>
      </c>
      <c r="E2726" t="s">
        <v>274</v>
      </c>
      <c r="F2726" t="s">
        <v>280</v>
      </c>
      <c r="G2726" s="7">
        <v>9</v>
      </c>
      <c r="H2726" s="3">
        <v>27793.96</v>
      </c>
      <c r="I2726" s="3">
        <v>250145.64</v>
      </c>
    </row>
    <row r="2727" spans="1:9" x14ac:dyDescent="0.3">
      <c r="A2727" s="5" t="s">
        <v>207</v>
      </c>
      <c r="B2727" t="s">
        <v>259</v>
      </c>
      <c r="C2727" t="s">
        <v>261</v>
      </c>
      <c r="D2727" t="s">
        <v>269</v>
      </c>
      <c r="E2727" t="s">
        <v>271</v>
      </c>
      <c r="F2727" t="s">
        <v>285</v>
      </c>
      <c r="G2727" s="7">
        <v>3</v>
      </c>
      <c r="H2727" s="3">
        <v>9346.4599999999991</v>
      </c>
      <c r="I2727" s="3">
        <v>28039.38</v>
      </c>
    </row>
    <row r="2728" spans="1:9" x14ac:dyDescent="0.3">
      <c r="A2728" s="5" t="s">
        <v>207</v>
      </c>
      <c r="B2728" t="s">
        <v>253</v>
      </c>
      <c r="C2728" t="s">
        <v>262</v>
      </c>
      <c r="D2728" t="s">
        <v>268</v>
      </c>
      <c r="E2728" t="s">
        <v>272</v>
      </c>
      <c r="F2728" t="s">
        <v>286</v>
      </c>
      <c r="G2728" s="7">
        <v>7</v>
      </c>
      <c r="H2728" s="3">
        <v>30812.3</v>
      </c>
      <c r="I2728" s="3">
        <v>215686.1</v>
      </c>
    </row>
    <row r="2729" spans="1:9" x14ac:dyDescent="0.3">
      <c r="A2729" s="5" t="s">
        <v>207</v>
      </c>
      <c r="B2729" t="s">
        <v>257</v>
      </c>
      <c r="C2729" t="s">
        <v>262</v>
      </c>
      <c r="D2729" t="s">
        <v>266</v>
      </c>
      <c r="E2729" t="s">
        <v>274</v>
      </c>
      <c r="F2729" t="s">
        <v>280</v>
      </c>
      <c r="G2729" s="7">
        <v>8</v>
      </c>
      <c r="H2729" s="3">
        <v>38607.370000000003</v>
      </c>
      <c r="I2729" s="3">
        <v>308858.96000000002</v>
      </c>
    </row>
    <row r="2730" spans="1:9" x14ac:dyDescent="0.3">
      <c r="A2730" s="5" t="s">
        <v>208</v>
      </c>
      <c r="B2730" t="s">
        <v>259</v>
      </c>
      <c r="C2730" t="s">
        <v>265</v>
      </c>
      <c r="D2730" t="s">
        <v>266</v>
      </c>
      <c r="E2730" t="s">
        <v>271</v>
      </c>
      <c r="F2730" t="s">
        <v>281</v>
      </c>
      <c r="G2730" s="7">
        <v>6</v>
      </c>
      <c r="H2730" s="3">
        <v>8944.23</v>
      </c>
      <c r="I2730" s="3">
        <v>53665.38</v>
      </c>
    </row>
    <row r="2731" spans="1:9" x14ac:dyDescent="0.3">
      <c r="A2731" s="5" t="s">
        <v>208</v>
      </c>
      <c r="B2731" t="s">
        <v>256</v>
      </c>
      <c r="C2731" t="s">
        <v>262</v>
      </c>
      <c r="D2731" t="s">
        <v>269</v>
      </c>
      <c r="E2731" t="s">
        <v>271</v>
      </c>
      <c r="F2731" t="s">
        <v>275</v>
      </c>
      <c r="G2731" s="7">
        <v>1</v>
      </c>
      <c r="H2731" s="3">
        <v>7487.29</v>
      </c>
      <c r="I2731" s="3">
        <v>7487.29</v>
      </c>
    </row>
    <row r="2732" spans="1:9" x14ac:dyDescent="0.3">
      <c r="A2732" s="5" t="s">
        <v>208</v>
      </c>
      <c r="B2732" t="s">
        <v>253</v>
      </c>
      <c r="C2732" t="s">
        <v>261</v>
      </c>
      <c r="D2732" t="s">
        <v>267</v>
      </c>
      <c r="E2732" t="s">
        <v>272</v>
      </c>
      <c r="F2732" t="s">
        <v>276</v>
      </c>
      <c r="G2732" s="7">
        <v>8</v>
      </c>
      <c r="H2732" s="3">
        <v>27229.39</v>
      </c>
      <c r="I2732" s="3">
        <v>217835.12</v>
      </c>
    </row>
    <row r="2733" spans="1:9" x14ac:dyDescent="0.3">
      <c r="A2733" s="5" t="s">
        <v>208</v>
      </c>
      <c r="B2733" t="s">
        <v>257</v>
      </c>
      <c r="C2733" t="s">
        <v>262</v>
      </c>
      <c r="D2733" t="s">
        <v>270</v>
      </c>
      <c r="E2733" t="s">
        <v>271</v>
      </c>
      <c r="F2733" t="s">
        <v>282</v>
      </c>
      <c r="G2733" s="7">
        <v>3</v>
      </c>
      <c r="H2733" s="3">
        <v>9454.14</v>
      </c>
      <c r="I2733" s="3">
        <v>28362.42</v>
      </c>
    </row>
    <row r="2734" spans="1:9" x14ac:dyDescent="0.3">
      <c r="A2734" s="5" t="s">
        <v>208</v>
      </c>
      <c r="B2734" t="s">
        <v>255</v>
      </c>
      <c r="C2734" t="s">
        <v>264</v>
      </c>
      <c r="D2734" t="s">
        <v>269</v>
      </c>
      <c r="E2734" t="s">
        <v>273</v>
      </c>
      <c r="F2734" t="s">
        <v>278</v>
      </c>
      <c r="G2734" s="7">
        <v>8</v>
      </c>
      <c r="H2734" s="3">
        <v>42556.66</v>
      </c>
      <c r="I2734" s="3">
        <v>340453.28</v>
      </c>
    </row>
    <row r="2735" spans="1:9" x14ac:dyDescent="0.3">
      <c r="A2735" s="5" t="s">
        <v>208</v>
      </c>
      <c r="B2735" t="s">
        <v>260</v>
      </c>
      <c r="C2735" t="s">
        <v>265</v>
      </c>
      <c r="D2735" t="s">
        <v>270</v>
      </c>
      <c r="E2735" t="s">
        <v>274</v>
      </c>
      <c r="F2735" t="s">
        <v>289</v>
      </c>
      <c r="G2735" s="7">
        <v>4</v>
      </c>
      <c r="H2735" s="3">
        <v>30790.76</v>
      </c>
      <c r="I2735" s="3">
        <v>123163.04</v>
      </c>
    </row>
    <row r="2736" spans="1:9" x14ac:dyDescent="0.3">
      <c r="A2736" s="5" t="s">
        <v>209</v>
      </c>
      <c r="B2736" t="s">
        <v>258</v>
      </c>
      <c r="C2736" t="s">
        <v>261</v>
      </c>
      <c r="D2736" t="s">
        <v>267</v>
      </c>
      <c r="E2736" t="s">
        <v>274</v>
      </c>
      <c r="F2736" t="s">
        <v>280</v>
      </c>
      <c r="G2736" s="7">
        <v>8</v>
      </c>
      <c r="H2736" s="3">
        <v>37702</v>
      </c>
      <c r="I2736" s="3">
        <v>301616</v>
      </c>
    </row>
    <row r="2737" spans="1:9" x14ac:dyDescent="0.3">
      <c r="A2737" s="5" t="s">
        <v>209</v>
      </c>
      <c r="B2737" t="s">
        <v>254</v>
      </c>
      <c r="C2737" t="s">
        <v>265</v>
      </c>
      <c r="D2737" t="s">
        <v>266</v>
      </c>
      <c r="E2737" t="s">
        <v>271</v>
      </c>
      <c r="F2737" t="s">
        <v>285</v>
      </c>
      <c r="G2737" s="7">
        <v>1</v>
      </c>
      <c r="H2737" s="3">
        <v>9211.69</v>
      </c>
      <c r="I2737" s="3">
        <v>9211.69</v>
      </c>
    </row>
    <row r="2738" spans="1:9" x14ac:dyDescent="0.3">
      <c r="A2738" s="5" t="s">
        <v>209</v>
      </c>
      <c r="B2738" t="s">
        <v>260</v>
      </c>
      <c r="C2738" t="s">
        <v>261</v>
      </c>
      <c r="D2738" t="s">
        <v>270</v>
      </c>
      <c r="E2738" t="s">
        <v>271</v>
      </c>
      <c r="F2738" t="s">
        <v>285</v>
      </c>
      <c r="G2738" s="7">
        <v>3</v>
      </c>
      <c r="H2738" s="3">
        <v>8953.99</v>
      </c>
      <c r="I2738" s="3">
        <v>26861.97</v>
      </c>
    </row>
    <row r="2739" spans="1:9" x14ac:dyDescent="0.3">
      <c r="A2739" s="5" t="s">
        <v>209</v>
      </c>
      <c r="B2739" t="s">
        <v>257</v>
      </c>
      <c r="C2739" t="s">
        <v>264</v>
      </c>
      <c r="D2739" t="s">
        <v>268</v>
      </c>
      <c r="E2739" t="s">
        <v>273</v>
      </c>
      <c r="F2739" t="s">
        <v>278</v>
      </c>
      <c r="G2739" s="7">
        <v>6</v>
      </c>
      <c r="H2739" s="3">
        <v>43982.14</v>
      </c>
      <c r="I2739" s="3">
        <v>263892.84000000003</v>
      </c>
    </row>
    <row r="2740" spans="1:9" x14ac:dyDescent="0.3">
      <c r="A2740" s="5" t="s">
        <v>209</v>
      </c>
      <c r="B2740" t="s">
        <v>260</v>
      </c>
      <c r="C2740" t="s">
        <v>265</v>
      </c>
      <c r="D2740" t="s">
        <v>268</v>
      </c>
      <c r="E2740" t="s">
        <v>272</v>
      </c>
      <c r="F2740" t="s">
        <v>290</v>
      </c>
      <c r="G2740" s="7">
        <v>9</v>
      </c>
      <c r="H2740" s="3">
        <v>31986.39</v>
      </c>
      <c r="I2740" s="3">
        <v>287877.51</v>
      </c>
    </row>
    <row r="2741" spans="1:9" x14ac:dyDescent="0.3">
      <c r="A2741" s="5" t="s">
        <v>209</v>
      </c>
      <c r="B2741" t="s">
        <v>256</v>
      </c>
      <c r="C2741" t="s">
        <v>263</v>
      </c>
      <c r="D2741" t="s">
        <v>269</v>
      </c>
      <c r="E2741" t="s">
        <v>271</v>
      </c>
      <c r="F2741" t="s">
        <v>282</v>
      </c>
      <c r="G2741" s="7">
        <v>2</v>
      </c>
      <c r="H2741" s="3">
        <v>8203.24</v>
      </c>
      <c r="I2741" s="3">
        <v>16406.48</v>
      </c>
    </row>
    <row r="2742" spans="1:9" x14ac:dyDescent="0.3">
      <c r="A2742" s="5" t="s">
        <v>210</v>
      </c>
      <c r="B2742" t="s">
        <v>255</v>
      </c>
      <c r="C2742" t="s">
        <v>261</v>
      </c>
      <c r="D2742" t="s">
        <v>267</v>
      </c>
      <c r="E2742" t="s">
        <v>271</v>
      </c>
      <c r="F2742" t="s">
        <v>275</v>
      </c>
      <c r="G2742" s="7">
        <v>1</v>
      </c>
      <c r="H2742" s="3">
        <v>9731.02</v>
      </c>
      <c r="I2742" s="3">
        <v>9731.02</v>
      </c>
    </row>
    <row r="2743" spans="1:9" x14ac:dyDescent="0.3">
      <c r="A2743" s="5" t="s">
        <v>210</v>
      </c>
      <c r="B2743" t="s">
        <v>254</v>
      </c>
      <c r="C2743" t="s">
        <v>263</v>
      </c>
      <c r="D2743" t="s">
        <v>269</v>
      </c>
      <c r="E2743" t="s">
        <v>271</v>
      </c>
      <c r="F2743" t="s">
        <v>275</v>
      </c>
      <c r="G2743" s="7">
        <v>3</v>
      </c>
      <c r="H2743" s="3">
        <v>7463.35</v>
      </c>
      <c r="I2743" s="3">
        <v>22390.05</v>
      </c>
    </row>
    <row r="2744" spans="1:9" x14ac:dyDescent="0.3">
      <c r="A2744" s="5" t="s">
        <v>210</v>
      </c>
      <c r="B2744" t="s">
        <v>253</v>
      </c>
      <c r="C2744" t="s">
        <v>265</v>
      </c>
      <c r="D2744" t="s">
        <v>269</v>
      </c>
      <c r="E2744" t="s">
        <v>271</v>
      </c>
      <c r="F2744" t="s">
        <v>281</v>
      </c>
      <c r="G2744" s="7">
        <v>4</v>
      </c>
      <c r="H2744" s="3">
        <v>10164.44</v>
      </c>
      <c r="I2744" s="3">
        <v>40657.760000000002</v>
      </c>
    </row>
    <row r="2745" spans="1:9" x14ac:dyDescent="0.3">
      <c r="A2745" s="5" t="s">
        <v>210</v>
      </c>
      <c r="B2745" t="s">
        <v>253</v>
      </c>
      <c r="C2745" t="s">
        <v>263</v>
      </c>
      <c r="D2745" t="s">
        <v>269</v>
      </c>
      <c r="E2745" t="s">
        <v>274</v>
      </c>
      <c r="F2745" t="s">
        <v>287</v>
      </c>
      <c r="G2745" s="7">
        <v>5</v>
      </c>
      <c r="H2745" s="3">
        <v>33594.449999999997</v>
      </c>
      <c r="I2745" s="3">
        <v>167972.25</v>
      </c>
    </row>
    <row r="2746" spans="1:9" x14ac:dyDescent="0.3">
      <c r="A2746" s="5" t="s">
        <v>210</v>
      </c>
      <c r="B2746" t="s">
        <v>253</v>
      </c>
      <c r="C2746" t="s">
        <v>263</v>
      </c>
      <c r="D2746" t="s">
        <v>268</v>
      </c>
      <c r="E2746" t="s">
        <v>271</v>
      </c>
      <c r="F2746" t="s">
        <v>275</v>
      </c>
      <c r="G2746" s="7">
        <v>3</v>
      </c>
      <c r="H2746" s="3">
        <v>8715.93</v>
      </c>
      <c r="I2746" s="3">
        <v>26147.79</v>
      </c>
    </row>
    <row r="2747" spans="1:9" x14ac:dyDescent="0.3">
      <c r="A2747" s="5" t="s">
        <v>210</v>
      </c>
      <c r="B2747" t="s">
        <v>257</v>
      </c>
      <c r="C2747" t="s">
        <v>265</v>
      </c>
      <c r="D2747" t="s">
        <v>268</v>
      </c>
      <c r="E2747" t="s">
        <v>274</v>
      </c>
      <c r="F2747" t="s">
        <v>287</v>
      </c>
      <c r="G2747" s="7">
        <v>2</v>
      </c>
      <c r="H2747" s="3">
        <v>35021.1</v>
      </c>
      <c r="I2747" s="3">
        <v>70042.2</v>
      </c>
    </row>
    <row r="2748" spans="1:9" x14ac:dyDescent="0.3">
      <c r="A2748" s="5" t="s">
        <v>210</v>
      </c>
      <c r="B2748" t="s">
        <v>259</v>
      </c>
      <c r="C2748" t="s">
        <v>264</v>
      </c>
      <c r="D2748" t="s">
        <v>269</v>
      </c>
      <c r="E2748" t="s">
        <v>271</v>
      </c>
      <c r="F2748" t="s">
        <v>275</v>
      </c>
      <c r="G2748" s="7">
        <v>2</v>
      </c>
      <c r="H2748" s="3">
        <v>9347.25</v>
      </c>
      <c r="I2748" s="3">
        <v>18694.5</v>
      </c>
    </row>
    <row r="2749" spans="1:9" x14ac:dyDescent="0.3">
      <c r="A2749" s="5" t="s">
        <v>211</v>
      </c>
      <c r="B2749" t="s">
        <v>259</v>
      </c>
      <c r="C2749" t="s">
        <v>263</v>
      </c>
      <c r="D2749" t="s">
        <v>268</v>
      </c>
      <c r="E2749" t="s">
        <v>272</v>
      </c>
      <c r="F2749" t="s">
        <v>277</v>
      </c>
      <c r="G2749" s="7">
        <v>7</v>
      </c>
      <c r="H2749" s="3">
        <v>25278.79</v>
      </c>
      <c r="I2749" s="3">
        <v>176951.53</v>
      </c>
    </row>
    <row r="2750" spans="1:9" x14ac:dyDescent="0.3">
      <c r="A2750" s="5" t="s">
        <v>211</v>
      </c>
      <c r="B2750" t="s">
        <v>258</v>
      </c>
      <c r="C2750" t="s">
        <v>263</v>
      </c>
      <c r="D2750" t="s">
        <v>267</v>
      </c>
      <c r="E2750" t="s">
        <v>273</v>
      </c>
      <c r="F2750" t="s">
        <v>288</v>
      </c>
      <c r="G2750" s="7">
        <v>9</v>
      </c>
      <c r="H2750" s="3">
        <v>51862.2</v>
      </c>
      <c r="I2750" s="3">
        <v>466759.8</v>
      </c>
    </row>
    <row r="2751" spans="1:9" x14ac:dyDescent="0.3">
      <c r="A2751" s="5" t="s">
        <v>211</v>
      </c>
      <c r="B2751" t="s">
        <v>254</v>
      </c>
      <c r="C2751" t="s">
        <v>264</v>
      </c>
      <c r="D2751" t="s">
        <v>269</v>
      </c>
      <c r="E2751" t="s">
        <v>272</v>
      </c>
      <c r="F2751" t="s">
        <v>290</v>
      </c>
      <c r="G2751" s="7">
        <v>2</v>
      </c>
      <c r="H2751" s="3">
        <v>26890.400000000001</v>
      </c>
      <c r="I2751" s="3">
        <v>53780.800000000003</v>
      </c>
    </row>
    <row r="2752" spans="1:9" x14ac:dyDescent="0.3">
      <c r="A2752" s="5" t="s">
        <v>211</v>
      </c>
      <c r="B2752" t="s">
        <v>253</v>
      </c>
      <c r="C2752" t="s">
        <v>263</v>
      </c>
      <c r="D2752" t="s">
        <v>268</v>
      </c>
      <c r="E2752" t="s">
        <v>271</v>
      </c>
      <c r="F2752" t="s">
        <v>275</v>
      </c>
      <c r="G2752" s="7">
        <v>7</v>
      </c>
      <c r="H2752" s="3">
        <v>10301.870000000001</v>
      </c>
      <c r="I2752" s="3">
        <v>72113.09</v>
      </c>
    </row>
    <row r="2753" spans="1:9" x14ac:dyDescent="0.3">
      <c r="A2753" s="5" t="s">
        <v>211</v>
      </c>
      <c r="B2753" t="s">
        <v>259</v>
      </c>
      <c r="C2753" t="s">
        <v>263</v>
      </c>
      <c r="D2753" t="s">
        <v>270</v>
      </c>
      <c r="E2753" t="s">
        <v>271</v>
      </c>
      <c r="F2753" t="s">
        <v>282</v>
      </c>
      <c r="G2753" s="7">
        <v>7</v>
      </c>
      <c r="H2753" s="3">
        <v>10005.69</v>
      </c>
      <c r="I2753" s="3">
        <v>70039.83</v>
      </c>
    </row>
    <row r="2754" spans="1:9" x14ac:dyDescent="0.3">
      <c r="A2754" s="5" t="s">
        <v>211</v>
      </c>
      <c r="B2754" t="s">
        <v>257</v>
      </c>
      <c r="C2754" t="s">
        <v>263</v>
      </c>
      <c r="D2754" t="s">
        <v>269</v>
      </c>
      <c r="E2754" t="s">
        <v>271</v>
      </c>
      <c r="F2754" t="s">
        <v>275</v>
      </c>
      <c r="G2754" s="7">
        <v>7</v>
      </c>
      <c r="H2754" s="3">
        <v>8402.2999999999993</v>
      </c>
      <c r="I2754" s="3">
        <v>58816.1</v>
      </c>
    </row>
    <row r="2755" spans="1:9" x14ac:dyDescent="0.3">
      <c r="A2755" s="5" t="s">
        <v>212</v>
      </c>
      <c r="B2755" t="s">
        <v>258</v>
      </c>
      <c r="C2755" t="s">
        <v>262</v>
      </c>
      <c r="D2755" t="s">
        <v>269</v>
      </c>
      <c r="E2755" t="s">
        <v>272</v>
      </c>
      <c r="F2755" t="s">
        <v>276</v>
      </c>
      <c r="G2755" s="7">
        <v>3</v>
      </c>
      <c r="H2755" s="3">
        <v>32846.68</v>
      </c>
      <c r="I2755" s="3">
        <v>98540.04</v>
      </c>
    </row>
    <row r="2756" spans="1:9" x14ac:dyDescent="0.3">
      <c r="A2756" s="5" t="s">
        <v>212</v>
      </c>
      <c r="B2756" t="s">
        <v>255</v>
      </c>
      <c r="C2756" t="s">
        <v>264</v>
      </c>
      <c r="D2756" t="s">
        <v>267</v>
      </c>
      <c r="E2756" t="s">
        <v>271</v>
      </c>
      <c r="F2756" t="s">
        <v>285</v>
      </c>
      <c r="G2756" s="7">
        <v>7</v>
      </c>
      <c r="H2756" s="3">
        <v>8436.73</v>
      </c>
      <c r="I2756" s="3">
        <v>59057.11</v>
      </c>
    </row>
    <row r="2757" spans="1:9" x14ac:dyDescent="0.3">
      <c r="A2757" s="5" t="s">
        <v>212</v>
      </c>
      <c r="B2757" t="s">
        <v>258</v>
      </c>
      <c r="C2757" t="s">
        <v>263</v>
      </c>
      <c r="D2757" t="s">
        <v>266</v>
      </c>
      <c r="E2757" t="s">
        <v>272</v>
      </c>
      <c r="F2757" t="s">
        <v>290</v>
      </c>
      <c r="G2757" s="7">
        <v>1</v>
      </c>
      <c r="H2757" s="3">
        <v>24930.61</v>
      </c>
      <c r="I2757" s="3">
        <v>24930.61</v>
      </c>
    </row>
    <row r="2758" spans="1:9" x14ac:dyDescent="0.3">
      <c r="A2758" s="5" t="s">
        <v>212</v>
      </c>
      <c r="B2758" t="s">
        <v>259</v>
      </c>
      <c r="C2758" t="s">
        <v>264</v>
      </c>
      <c r="D2758" t="s">
        <v>266</v>
      </c>
      <c r="E2758" t="s">
        <v>274</v>
      </c>
      <c r="F2758" t="s">
        <v>284</v>
      </c>
      <c r="G2758" s="7">
        <v>1</v>
      </c>
      <c r="H2758" s="3">
        <v>39512.17</v>
      </c>
      <c r="I2758" s="3">
        <v>39512.17</v>
      </c>
    </row>
    <row r="2759" spans="1:9" x14ac:dyDescent="0.3">
      <c r="A2759" s="5" t="s">
        <v>212</v>
      </c>
      <c r="B2759" t="s">
        <v>256</v>
      </c>
      <c r="C2759" t="s">
        <v>261</v>
      </c>
      <c r="D2759" t="s">
        <v>267</v>
      </c>
      <c r="E2759" t="s">
        <v>273</v>
      </c>
      <c r="F2759" t="s">
        <v>279</v>
      </c>
      <c r="G2759" s="7">
        <v>5</v>
      </c>
      <c r="H2759" s="3">
        <v>49996.84</v>
      </c>
      <c r="I2759" s="3">
        <v>249984.2</v>
      </c>
    </row>
    <row r="2760" spans="1:9" x14ac:dyDescent="0.3">
      <c r="A2760" s="5" t="s">
        <v>212</v>
      </c>
      <c r="B2760" t="s">
        <v>257</v>
      </c>
      <c r="C2760" t="s">
        <v>261</v>
      </c>
      <c r="D2760" t="s">
        <v>267</v>
      </c>
      <c r="E2760" t="s">
        <v>273</v>
      </c>
      <c r="F2760" t="s">
        <v>279</v>
      </c>
      <c r="G2760" s="7">
        <v>2</v>
      </c>
      <c r="H2760" s="3">
        <v>46459.79</v>
      </c>
      <c r="I2760" s="3">
        <v>92919.58</v>
      </c>
    </row>
    <row r="2761" spans="1:9" x14ac:dyDescent="0.3">
      <c r="A2761" s="5" t="s">
        <v>213</v>
      </c>
      <c r="B2761" t="s">
        <v>256</v>
      </c>
      <c r="C2761" t="s">
        <v>263</v>
      </c>
      <c r="D2761" t="s">
        <v>267</v>
      </c>
      <c r="E2761" t="s">
        <v>272</v>
      </c>
      <c r="F2761" t="s">
        <v>276</v>
      </c>
      <c r="G2761" s="7">
        <v>9</v>
      </c>
      <c r="H2761" s="3">
        <v>28255.06</v>
      </c>
      <c r="I2761" s="3">
        <v>254295.54</v>
      </c>
    </row>
    <row r="2762" spans="1:9" x14ac:dyDescent="0.3">
      <c r="A2762" s="5" t="s">
        <v>213</v>
      </c>
      <c r="B2762" t="s">
        <v>253</v>
      </c>
      <c r="C2762" t="s">
        <v>264</v>
      </c>
      <c r="D2762" t="s">
        <v>266</v>
      </c>
      <c r="E2762" t="s">
        <v>274</v>
      </c>
      <c r="F2762" t="s">
        <v>284</v>
      </c>
      <c r="G2762" s="7">
        <v>7</v>
      </c>
      <c r="H2762" s="3">
        <v>31356.23</v>
      </c>
      <c r="I2762" s="3">
        <v>219493.61</v>
      </c>
    </row>
    <row r="2763" spans="1:9" x14ac:dyDescent="0.3">
      <c r="A2763" s="5" t="s">
        <v>213</v>
      </c>
      <c r="B2763" t="s">
        <v>256</v>
      </c>
      <c r="C2763" t="s">
        <v>264</v>
      </c>
      <c r="D2763" t="s">
        <v>267</v>
      </c>
      <c r="E2763" t="s">
        <v>272</v>
      </c>
      <c r="F2763" t="s">
        <v>277</v>
      </c>
      <c r="G2763" s="7">
        <v>4</v>
      </c>
      <c r="H2763" s="3">
        <v>34792.21</v>
      </c>
      <c r="I2763" s="3">
        <v>139168.84</v>
      </c>
    </row>
    <row r="2764" spans="1:9" x14ac:dyDescent="0.3">
      <c r="A2764" s="5" t="s">
        <v>213</v>
      </c>
      <c r="B2764" t="s">
        <v>253</v>
      </c>
      <c r="C2764" t="s">
        <v>264</v>
      </c>
      <c r="D2764" t="s">
        <v>268</v>
      </c>
      <c r="E2764" t="s">
        <v>274</v>
      </c>
      <c r="F2764" t="s">
        <v>289</v>
      </c>
      <c r="G2764" s="7">
        <v>4</v>
      </c>
      <c r="H2764" s="3">
        <v>28924.76</v>
      </c>
      <c r="I2764" s="3">
        <v>115699.04</v>
      </c>
    </row>
    <row r="2765" spans="1:9" x14ac:dyDescent="0.3">
      <c r="A2765" s="5" t="s">
        <v>213</v>
      </c>
      <c r="B2765" t="s">
        <v>253</v>
      </c>
      <c r="C2765" t="s">
        <v>262</v>
      </c>
      <c r="D2765" t="s">
        <v>269</v>
      </c>
      <c r="E2765" t="s">
        <v>271</v>
      </c>
      <c r="F2765" t="s">
        <v>281</v>
      </c>
      <c r="G2765" s="7">
        <v>2</v>
      </c>
      <c r="H2765" s="3">
        <v>8295.34</v>
      </c>
      <c r="I2765" s="3">
        <v>16590.68</v>
      </c>
    </row>
    <row r="2766" spans="1:9" x14ac:dyDescent="0.3">
      <c r="A2766" s="5" t="s">
        <v>213</v>
      </c>
      <c r="B2766" t="s">
        <v>259</v>
      </c>
      <c r="C2766" t="s">
        <v>261</v>
      </c>
      <c r="D2766" t="s">
        <v>269</v>
      </c>
      <c r="E2766" t="s">
        <v>274</v>
      </c>
      <c r="F2766" t="s">
        <v>287</v>
      </c>
      <c r="G2766" s="7">
        <v>5</v>
      </c>
      <c r="H2766" s="3">
        <v>33414.370000000003</v>
      </c>
      <c r="I2766" s="3">
        <v>167071.85</v>
      </c>
    </row>
    <row r="2767" spans="1:9" x14ac:dyDescent="0.3">
      <c r="A2767" s="5" t="s">
        <v>214</v>
      </c>
      <c r="B2767" t="s">
        <v>256</v>
      </c>
      <c r="C2767" t="s">
        <v>264</v>
      </c>
      <c r="D2767" t="s">
        <v>270</v>
      </c>
      <c r="E2767" t="s">
        <v>274</v>
      </c>
      <c r="F2767" t="s">
        <v>287</v>
      </c>
      <c r="G2767" s="7">
        <v>4</v>
      </c>
      <c r="H2767" s="3">
        <v>33318.39</v>
      </c>
      <c r="I2767" s="3">
        <v>133273.56</v>
      </c>
    </row>
    <row r="2768" spans="1:9" x14ac:dyDescent="0.3">
      <c r="A2768" s="5" t="s">
        <v>214</v>
      </c>
      <c r="B2768" t="s">
        <v>253</v>
      </c>
      <c r="C2768" t="s">
        <v>264</v>
      </c>
      <c r="D2768" t="s">
        <v>270</v>
      </c>
      <c r="E2768" t="s">
        <v>274</v>
      </c>
      <c r="F2768" t="s">
        <v>280</v>
      </c>
      <c r="G2768" s="7">
        <v>1</v>
      </c>
      <c r="H2768" s="3">
        <v>33233.49</v>
      </c>
      <c r="I2768" s="3">
        <v>33233.49</v>
      </c>
    </row>
    <row r="2769" spans="1:9" x14ac:dyDescent="0.3">
      <c r="A2769" s="5" t="s">
        <v>214</v>
      </c>
      <c r="B2769" t="s">
        <v>254</v>
      </c>
      <c r="C2769" t="s">
        <v>262</v>
      </c>
      <c r="D2769" t="s">
        <v>269</v>
      </c>
      <c r="E2769" t="s">
        <v>273</v>
      </c>
      <c r="F2769" t="s">
        <v>279</v>
      </c>
      <c r="G2769" s="7">
        <v>8</v>
      </c>
      <c r="H2769" s="3">
        <v>41414.11</v>
      </c>
      <c r="I2769" s="3">
        <v>331312.88</v>
      </c>
    </row>
    <row r="2770" spans="1:9" x14ac:dyDescent="0.3">
      <c r="A2770" s="5" t="s">
        <v>214</v>
      </c>
      <c r="B2770" t="s">
        <v>255</v>
      </c>
      <c r="C2770" t="s">
        <v>262</v>
      </c>
      <c r="D2770" t="s">
        <v>268</v>
      </c>
      <c r="E2770" t="s">
        <v>274</v>
      </c>
      <c r="F2770" t="s">
        <v>289</v>
      </c>
      <c r="G2770" s="7">
        <v>3</v>
      </c>
      <c r="H2770" s="3">
        <v>29055.14</v>
      </c>
      <c r="I2770" s="3">
        <v>87165.42</v>
      </c>
    </row>
    <row r="2771" spans="1:9" x14ac:dyDescent="0.3">
      <c r="A2771" s="5" t="s">
        <v>214</v>
      </c>
      <c r="B2771" t="s">
        <v>258</v>
      </c>
      <c r="C2771" t="s">
        <v>264</v>
      </c>
      <c r="D2771" t="s">
        <v>266</v>
      </c>
      <c r="E2771" t="s">
        <v>271</v>
      </c>
      <c r="F2771" t="s">
        <v>275</v>
      </c>
      <c r="G2771" s="7">
        <v>6</v>
      </c>
      <c r="H2771" s="3">
        <v>8091.21</v>
      </c>
      <c r="I2771" s="3">
        <v>48547.26</v>
      </c>
    </row>
    <row r="2772" spans="1:9" x14ac:dyDescent="0.3">
      <c r="A2772" s="5" t="s">
        <v>214</v>
      </c>
      <c r="B2772" t="s">
        <v>258</v>
      </c>
      <c r="C2772" t="s">
        <v>265</v>
      </c>
      <c r="D2772" t="s">
        <v>266</v>
      </c>
      <c r="E2772" t="s">
        <v>271</v>
      </c>
      <c r="F2772" t="s">
        <v>282</v>
      </c>
      <c r="G2772" s="7">
        <v>4</v>
      </c>
      <c r="H2772" s="3">
        <v>10334.39</v>
      </c>
      <c r="I2772" s="3">
        <v>41337.56</v>
      </c>
    </row>
    <row r="2773" spans="1:9" x14ac:dyDescent="0.3">
      <c r="A2773" s="5" t="s">
        <v>215</v>
      </c>
      <c r="B2773" t="s">
        <v>259</v>
      </c>
      <c r="C2773" t="s">
        <v>264</v>
      </c>
      <c r="D2773" t="s">
        <v>268</v>
      </c>
      <c r="E2773" t="s">
        <v>271</v>
      </c>
      <c r="F2773" t="s">
        <v>281</v>
      </c>
      <c r="G2773" s="7">
        <v>9</v>
      </c>
      <c r="H2773" s="3">
        <v>7609.38</v>
      </c>
      <c r="I2773" s="3">
        <v>68484.42</v>
      </c>
    </row>
    <row r="2774" spans="1:9" x14ac:dyDescent="0.3">
      <c r="A2774" s="5" t="s">
        <v>215</v>
      </c>
      <c r="B2774" t="s">
        <v>256</v>
      </c>
      <c r="C2774" t="s">
        <v>264</v>
      </c>
      <c r="D2774" t="s">
        <v>266</v>
      </c>
      <c r="E2774" t="s">
        <v>274</v>
      </c>
      <c r="F2774" t="s">
        <v>280</v>
      </c>
      <c r="G2774" s="7">
        <v>7</v>
      </c>
      <c r="H2774" s="3">
        <v>36895.040000000001</v>
      </c>
      <c r="I2774" s="3">
        <v>258265.28</v>
      </c>
    </row>
    <row r="2775" spans="1:9" x14ac:dyDescent="0.3">
      <c r="A2775" s="5" t="s">
        <v>215</v>
      </c>
      <c r="B2775" t="s">
        <v>256</v>
      </c>
      <c r="C2775" t="s">
        <v>262</v>
      </c>
      <c r="D2775" t="s">
        <v>267</v>
      </c>
      <c r="E2775" t="s">
        <v>272</v>
      </c>
      <c r="F2775" t="s">
        <v>276</v>
      </c>
      <c r="G2775" s="7">
        <v>9</v>
      </c>
      <c r="H2775" s="3">
        <v>32284.54</v>
      </c>
      <c r="I2775" s="3">
        <v>290560.86</v>
      </c>
    </row>
    <row r="2776" spans="1:9" x14ac:dyDescent="0.3">
      <c r="A2776" s="5" t="s">
        <v>215</v>
      </c>
      <c r="B2776" t="s">
        <v>253</v>
      </c>
      <c r="C2776" t="s">
        <v>262</v>
      </c>
      <c r="D2776" t="s">
        <v>269</v>
      </c>
      <c r="E2776" t="s">
        <v>272</v>
      </c>
      <c r="F2776" t="s">
        <v>286</v>
      </c>
      <c r="G2776" s="7">
        <v>3</v>
      </c>
      <c r="H2776" s="3">
        <v>32869.43</v>
      </c>
      <c r="I2776" s="3">
        <v>98608.29</v>
      </c>
    </row>
    <row r="2777" spans="1:9" x14ac:dyDescent="0.3">
      <c r="A2777" s="5" t="s">
        <v>215</v>
      </c>
      <c r="B2777" t="s">
        <v>257</v>
      </c>
      <c r="C2777" t="s">
        <v>264</v>
      </c>
      <c r="D2777" t="s">
        <v>269</v>
      </c>
      <c r="E2777" t="s">
        <v>271</v>
      </c>
      <c r="F2777" t="s">
        <v>275</v>
      </c>
      <c r="G2777" s="7">
        <v>1</v>
      </c>
      <c r="H2777" s="3">
        <v>10239.49</v>
      </c>
      <c r="I2777" s="3">
        <v>10239.49</v>
      </c>
    </row>
    <row r="2778" spans="1:9" x14ac:dyDescent="0.3">
      <c r="A2778" s="5" t="s">
        <v>215</v>
      </c>
      <c r="B2778" t="s">
        <v>260</v>
      </c>
      <c r="C2778" t="s">
        <v>264</v>
      </c>
      <c r="D2778" t="s">
        <v>268</v>
      </c>
      <c r="E2778" t="s">
        <v>273</v>
      </c>
      <c r="F2778" t="s">
        <v>278</v>
      </c>
      <c r="G2778" s="7">
        <v>5</v>
      </c>
      <c r="H2778" s="3">
        <v>42984.65</v>
      </c>
      <c r="I2778" s="3">
        <v>214923.25</v>
      </c>
    </row>
    <row r="2779" spans="1:9" x14ac:dyDescent="0.3">
      <c r="A2779" s="5" t="s">
        <v>216</v>
      </c>
      <c r="B2779" t="s">
        <v>253</v>
      </c>
      <c r="C2779" t="s">
        <v>264</v>
      </c>
      <c r="D2779" t="s">
        <v>266</v>
      </c>
      <c r="E2779" t="s">
        <v>272</v>
      </c>
      <c r="F2779" t="s">
        <v>290</v>
      </c>
      <c r="G2779" s="7">
        <v>3</v>
      </c>
      <c r="H2779" s="3">
        <v>26315.07</v>
      </c>
      <c r="I2779" s="3">
        <v>78945.210000000006</v>
      </c>
    </row>
    <row r="2780" spans="1:9" x14ac:dyDescent="0.3">
      <c r="A2780" s="5" t="s">
        <v>216</v>
      </c>
      <c r="B2780" t="s">
        <v>255</v>
      </c>
      <c r="C2780" t="s">
        <v>262</v>
      </c>
      <c r="D2780" t="s">
        <v>270</v>
      </c>
      <c r="E2780" t="s">
        <v>274</v>
      </c>
      <c r="F2780" t="s">
        <v>284</v>
      </c>
      <c r="G2780" s="7">
        <v>6</v>
      </c>
      <c r="H2780" s="3">
        <v>33158.47</v>
      </c>
      <c r="I2780" s="3">
        <v>198950.82</v>
      </c>
    </row>
    <row r="2781" spans="1:9" x14ac:dyDescent="0.3">
      <c r="A2781" s="5" t="s">
        <v>216</v>
      </c>
      <c r="B2781" t="s">
        <v>254</v>
      </c>
      <c r="C2781" t="s">
        <v>264</v>
      </c>
      <c r="D2781" t="s">
        <v>270</v>
      </c>
      <c r="E2781" t="s">
        <v>272</v>
      </c>
      <c r="F2781" t="s">
        <v>290</v>
      </c>
      <c r="G2781" s="7">
        <v>8</v>
      </c>
      <c r="H2781" s="3">
        <v>26769</v>
      </c>
      <c r="I2781" s="3">
        <v>214152</v>
      </c>
    </row>
    <row r="2782" spans="1:9" x14ac:dyDescent="0.3">
      <c r="A2782" s="5" t="s">
        <v>216</v>
      </c>
      <c r="B2782" t="s">
        <v>258</v>
      </c>
      <c r="C2782" t="s">
        <v>264</v>
      </c>
      <c r="D2782" t="s">
        <v>266</v>
      </c>
      <c r="E2782" t="s">
        <v>271</v>
      </c>
      <c r="F2782" t="s">
        <v>275</v>
      </c>
      <c r="G2782" s="7">
        <v>4</v>
      </c>
      <c r="H2782" s="3">
        <v>9721.65</v>
      </c>
      <c r="I2782" s="3">
        <v>38886.6</v>
      </c>
    </row>
    <row r="2783" spans="1:9" x14ac:dyDescent="0.3">
      <c r="A2783" s="5" t="s">
        <v>216</v>
      </c>
      <c r="B2783" t="s">
        <v>253</v>
      </c>
      <c r="C2783" t="s">
        <v>263</v>
      </c>
      <c r="D2783" t="s">
        <v>270</v>
      </c>
      <c r="E2783" t="s">
        <v>273</v>
      </c>
      <c r="F2783" t="s">
        <v>278</v>
      </c>
      <c r="G2783" s="7">
        <v>5</v>
      </c>
      <c r="H2783" s="3">
        <v>49696.91</v>
      </c>
      <c r="I2783" s="3">
        <v>248484.55</v>
      </c>
    </row>
    <row r="2784" spans="1:9" x14ac:dyDescent="0.3">
      <c r="A2784" s="5" t="s">
        <v>216</v>
      </c>
      <c r="B2784" t="s">
        <v>260</v>
      </c>
      <c r="C2784" t="s">
        <v>265</v>
      </c>
      <c r="D2784" t="s">
        <v>268</v>
      </c>
      <c r="E2784" t="s">
        <v>272</v>
      </c>
      <c r="F2784" t="s">
        <v>286</v>
      </c>
      <c r="G2784" s="7">
        <v>5</v>
      </c>
      <c r="H2784" s="3">
        <v>33599.86</v>
      </c>
      <c r="I2784" s="3">
        <v>167999.3</v>
      </c>
    </row>
    <row r="2785" spans="1:9" x14ac:dyDescent="0.3">
      <c r="A2785" s="5" t="s">
        <v>216</v>
      </c>
      <c r="B2785" t="s">
        <v>260</v>
      </c>
      <c r="C2785" t="s">
        <v>261</v>
      </c>
      <c r="D2785" t="s">
        <v>268</v>
      </c>
      <c r="E2785" t="s">
        <v>272</v>
      </c>
      <c r="F2785" t="s">
        <v>277</v>
      </c>
      <c r="G2785" s="7">
        <v>4</v>
      </c>
      <c r="H2785" s="3">
        <v>24726.67</v>
      </c>
      <c r="I2785" s="3">
        <v>98906.68</v>
      </c>
    </row>
    <row r="2786" spans="1:9" x14ac:dyDescent="0.3">
      <c r="A2786" s="5" t="s">
        <v>217</v>
      </c>
      <c r="B2786" t="s">
        <v>253</v>
      </c>
      <c r="C2786" t="s">
        <v>265</v>
      </c>
      <c r="D2786" t="s">
        <v>266</v>
      </c>
      <c r="E2786" t="s">
        <v>271</v>
      </c>
      <c r="F2786" t="s">
        <v>281</v>
      </c>
      <c r="G2786" s="7">
        <v>4</v>
      </c>
      <c r="H2786" s="3">
        <v>10336.280000000001</v>
      </c>
      <c r="I2786" s="3">
        <v>41345.120000000003</v>
      </c>
    </row>
    <row r="2787" spans="1:9" x14ac:dyDescent="0.3">
      <c r="A2787" s="5" t="s">
        <v>217</v>
      </c>
      <c r="B2787" t="s">
        <v>259</v>
      </c>
      <c r="C2787" t="s">
        <v>263</v>
      </c>
      <c r="D2787" t="s">
        <v>270</v>
      </c>
      <c r="E2787" t="s">
        <v>273</v>
      </c>
      <c r="F2787" t="s">
        <v>278</v>
      </c>
      <c r="G2787" s="7">
        <v>4</v>
      </c>
      <c r="H2787" s="3">
        <v>43530.28</v>
      </c>
      <c r="I2787" s="3">
        <v>174121.12</v>
      </c>
    </row>
    <row r="2788" spans="1:9" x14ac:dyDescent="0.3">
      <c r="A2788" s="5" t="s">
        <v>217</v>
      </c>
      <c r="B2788" t="s">
        <v>258</v>
      </c>
      <c r="C2788" t="s">
        <v>261</v>
      </c>
      <c r="D2788" t="s">
        <v>268</v>
      </c>
      <c r="E2788" t="s">
        <v>273</v>
      </c>
      <c r="F2788" t="s">
        <v>278</v>
      </c>
      <c r="G2788" s="7">
        <v>4</v>
      </c>
      <c r="H2788" s="3">
        <v>47082.5</v>
      </c>
      <c r="I2788" s="3">
        <v>188330</v>
      </c>
    </row>
    <row r="2789" spans="1:9" x14ac:dyDescent="0.3">
      <c r="A2789" s="5" t="s">
        <v>217</v>
      </c>
      <c r="B2789" t="s">
        <v>259</v>
      </c>
      <c r="C2789" t="s">
        <v>264</v>
      </c>
      <c r="D2789" t="s">
        <v>268</v>
      </c>
      <c r="E2789" t="s">
        <v>271</v>
      </c>
      <c r="F2789" t="s">
        <v>285</v>
      </c>
      <c r="G2789" s="7">
        <v>4</v>
      </c>
      <c r="H2789" s="3">
        <v>8716.2800000000007</v>
      </c>
      <c r="I2789" s="3">
        <v>34865.120000000003</v>
      </c>
    </row>
    <row r="2790" spans="1:9" x14ac:dyDescent="0.3">
      <c r="A2790" s="5" t="s">
        <v>217</v>
      </c>
      <c r="B2790" t="s">
        <v>254</v>
      </c>
      <c r="C2790" t="s">
        <v>263</v>
      </c>
      <c r="D2790" t="s">
        <v>267</v>
      </c>
      <c r="E2790" t="s">
        <v>274</v>
      </c>
      <c r="F2790" t="s">
        <v>287</v>
      </c>
      <c r="G2790" s="7">
        <v>5</v>
      </c>
      <c r="H2790" s="3">
        <v>36931.99</v>
      </c>
      <c r="I2790" s="3">
        <v>184659.95</v>
      </c>
    </row>
    <row r="2791" spans="1:9" x14ac:dyDescent="0.3">
      <c r="A2791" s="5" t="s">
        <v>217</v>
      </c>
      <c r="B2791" t="s">
        <v>260</v>
      </c>
      <c r="C2791" t="s">
        <v>264</v>
      </c>
      <c r="D2791" t="s">
        <v>267</v>
      </c>
      <c r="E2791" t="s">
        <v>272</v>
      </c>
      <c r="F2791" t="s">
        <v>277</v>
      </c>
      <c r="G2791" s="7">
        <v>2</v>
      </c>
      <c r="H2791" s="3">
        <v>28507.73</v>
      </c>
      <c r="I2791" s="3">
        <v>57015.46</v>
      </c>
    </row>
    <row r="2792" spans="1:9" x14ac:dyDescent="0.3">
      <c r="A2792" s="5" t="s">
        <v>218</v>
      </c>
      <c r="B2792" t="s">
        <v>260</v>
      </c>
      <c r="C2792" t="s">
        <v>262</v>
      </c>
      <c r="D2792" t="s">
        <v>268</v>
      </c>
      <c r="E2792" t="s">
        <v>274</v>
      </c>
      <c r="F2792" t="s">
        <v>284</v>
      </c>
      <c r="G2792" s="7">
        <v>2</v>
      </c>
      <c r="H2792" s="3">
        <v>39277.480000000003</v>
      </c>
      <c r="I2792" s="3">
        <v>78554.960000000006</v>
      </c>
    </row>
    <row r="2793" spans="1:9" x14ac:dyDescent="0.3">
      <c r="A2793" s="5" t="s">
        <v>218</v>
      </c>
      <c r="B2793" t="s">
        <v>255</v>
      </c>
      <c r="C2793" t="s">
        <v>263</v>
      </c>
      <c r="D2793" t="s">
        <v>266</v>
      </c>
      <c r="E2793" t="s">
        <v>272</v>
      </c>
      <c r="F2793" t="s">
        <v>286</v>
      </c>
      <c r="G2793" s="7">
        <v>9</v>
      </c>
      <c r="H2793" s="3">
        <v>33908.379999999997</v>
      </c>
      <c r="I2793" s="3">
        <v>305175.42</v>
      </c>
    </row>
    <row r="2794" spans="1:9" x14ac:dyDescent="0.3">
      <c r="A2794" s="5" t="s">
        <v>218</v>
      </c>
      <c r="B2794" t="s">
        <v>254</v>
      </c>
      <c r="C2794" t="s">
        <v>262</v>
      </c>
      <c r="D2794" t="s">
        <v>269</v>
      </c>
      <c r="E2794" t="s">
        <v>272</v>
      </c>
      <c r="F2794" t="s">
        <v>290</v>
      </c>
      <c r="G2794" s="7">
        <v>2</v>
      </c>
      <c r="H2794" s="3">
        <v>33568.199999999997</v>
      </c>
      <c r="I2794" s="3">
        <v>67136.399999999994</v>
      </c>
    </row>
    <row r="2795" spans="1:9" x14ac:dyDescent="0.3">
      <c r="A2795" s="5" t="s">
        <v>218</v>
      </c>
      <c r="B2795" t="s">
        <v>260</v>
      </c>
      <c r="C2795" t="s">
        <v>263</v>
      </c>
      <c r="D2795" t="s">
        <v>269</v>
      </c>
      <c r="E2795" t="s">
        <v>274</v>
      </c>
      <c r="F2795" t="s">
        <v>280</v>
      </c>
      <c r="G2795" s="7">
        <v>6</v>
      </c>
      <c r="H2795" s="3">
        <v>28112.11</v>
      </c>
      <c r="I2795" s="3">
        <v>168672.66</v>
      </c>
    </row>
    <row r="2796" spans="1:9" x14ac:dyDescent="0.3">
      <c r="A2796" s="5" t="s">
        <v>218</v>
      </c>
      <c r="B2796" t="s">
        <v>254</v>
      </c>
      <c r="C2796" t="s">
        <v>263</v>
      </c>
      <c r="D2796" t="s">
        <v>268</v>
      </c>
      <c r="E2796" t="s">
        <v>271</v>
      </c>
      <c r="F2796" t="s">
        <v>285</v>
      </c>
      <c r="G2796" s="7">
        <v>2</v>
      </c>
      <c r="H2796" s="3">
        <v>10129.48</v>
      </c>
      <c r="I2796" s="3">
        <v>20258.96</v>
      </c>
    </row>
    <row r="2797" spans="1:9" x14ac:dyDescent="0.3">
      <c r="A2797" s="5" t="s">
        <v>218</v>
      </c>
      <c r="B2797" t="s">
        <v>258</v>
      </c>
      <c r="C2797" t="s">
        <v>262</v>
      </c>
      <c r="D2797" t="s">
        <v>268</v>
      </c>
      <c r="E2797" t="s">
        <v>271</v>
      </c>
      <c r="F2797" t="s">
        <v>281</v>
      </c>
      <c r="G2797" s="7">
        <v>5</v>
      </c>
      <c r="H2797" s="3">
        <v>9882.56</v>
      </c>
      <c r="I2797" s="3">
        <v>49412.800000000003</v>
      </c>
    </row>
    <row r="2798" spans="1:9" x14ac:dyDescent="0.3">
      <c r="A2798" s="5" t="s">
        <v>219</v>
      </c>
      <c r="B2798" t="s">
        <v>256</v>
      </c>
      <c r="C2798" t="s">
        <v>261</v>
      </c>
      <c r="D2798" t="s">
        <v>268</v>
      </c>
      <c r="E2798" t="s">
        <v>272</v>
      </c>
      <c r="F2798" t="s">
        <v>290</v>
      </c>
      <c r="G2798" s="7">
        <v>4</v>
      </c>
      <c r="H2798" s="3">
        <v>24959.35</v>
      </c>
      <c r="I2798" s="3">
        <v>99837.4</v>
      </c>
    </row>
    <row r="2799" spans="1:9" x14ac:dyDescent="0.3">
      <c r="A2799" s="5" t="s">
        <v>219</v>
      </c>
      <c r="B2799" t="s">
        <v>260</v>
      </c>
      <c r="C2799" t="s">
        <v>265</v>
      </c>
      <c r="D2799" t="s">
        <v>266</v>
      </c>
      <c r="E2799" t="s">
        <v>271</v>
      </c>
      <c r="F2799" t="s">
        <v>282</v>
      </c>
      <c r="G2799" s="7">
        <v>7</v>
      </c>
      <c r="H2799" s="3">
        <v>7590.21</v>
      </c>
      <c r="I2799" s="3">
        <v>53131.47</v>
      </c>
    </row>
    <row r="2800" spans="1:9" x14ac:dyDescent="0.3">
      <c r="A2800" s="5" t="s">
        <v>219</v>
      </c>
      <c r="B2800" t="s">
        <v>255</v>
      </c>
      <c r="C2800" t="s">
        <v>264</v>
      </c>
      <c r="D2800" t="s">
        <v>267</v>
      </c>
      <c r="E2800" t="s">
        <v>272</v>
      </c>
      <c r="F2800" t="s">
        <v>290</v>
      </c>
      <c r="G2800" s="7">
        <v>7</v>
      </c>
      <c r="H2800" s="3">
        <v>24933.03</v>
      </c>
      <c r="I2800" s="3">
        <v>174531.21</v>
      </c>
    </row>
    <row r="2801" spans="1:9" x14ac:dyDescent="0.3">
      <c r="A2801" s="5" t="s">
        <v>219</v>
      </c>
      <c r="B2801" t="s">
        <v>258</v>
      </c>
      <c r="C2801" t="s">
        <v>263</v>
      </c>
      <c r="D2801" t="s">
        <v>268</v>
      </c>
      <c r="E2801" t="s">
        <v>271</v>
      </c>
      <c r="F2801" t="s">
        <v>282</v>
      </c>
      <c r="G2801" s="7">
        <v>6</v>
      </c>
      <c r="H2801" s="3">
        <v>7263.53</v>
      </c>
      <c r="I2801" s="3">
        <v>43581.18</v>
      </c>
    </row>
    <row r="2802" spans="1:9" x14ac:dyDescent="0.3">
      <c r="A2802" s="5" t="s">
        <v>219</v>
      </c>
      <c r="B2802" t="s">
        <v>253</v>
      </c>
      <c r="C2802" t="s">
        <v>264</v>
      </c>
      <c r="D2802" t="s">
        <v>268</v>
      </c>
      <c r="E2802" t="s">
        <v>272</v>
      </c>
      <c r="F2802" t="s">
        <v>286</v>
      </c>
      <c r="G2802" s="7">
        <v>5</v>
      </c>
      <c r="H2802" s="3">
        <v>29944.7</v>
      </c>
      <c r="I2802" s="3">
        <v>149723.5</v>
      </c>
    </row>
    <row r="2803" spans="1:9" x14ac:dyDescent="0.3">
      <c r="A2803" s="5" t="s">
        <v>219</v>
      </c>
      <c r="B2803" t="s">
        <v>254</v>
      </c>
      <c r="C2803" t="s">
        <v>262</v>
      </c>
      <c r="D2803" t="s">
        <v>270</v>
      </c>
      <c r="E2803" t="s">
        <v>271</v>
      </c>
      <c r="F2803" t="s">
        <v>285</v>
      </c>
      <c r="G2803" s="7">
        <v>1</v>
      </c>
      <c r="H2803" s="3">
        <v>10534.54</v>
      </c>
      <c r="I2803" s="3">
        <v>10534.54</v>
      </c>
    </row>
    <row r="2804" spans="1:9" x14ac:dyDescent="0.3">
      <c r="A2804" s="5" t="s">
        <v>220</v>
      </c>
      <c r="B2804" t="s">
        <v>253</v>
      </c>
      <c r="C2804" t="s">
        <v>264</v>
      </c>
      <c r="D2804" t="s">
        <v>266</v>
      </c>
      <c r="E2804" t="s">
        <v>273</v>
      </c>
      <c r="F2804" t="s">
        <v>288</v>
      </c>
      <c r="G2804" s="7">
        <v>3</v>
      </c>
      <c r="H2804" s="3">
        <v>46146.32</v>
      </c>
      <c r="I2804" s="3">
        <v>138438.96</v>
      </c>
    </row>
    <row r="2805" spans="1:9" x14ac:dyDescent="0.3">
      <c r="A2805" s="5" t="s">
        <v>220</v>
      </c>
      <c r="B2805" t="s">
        <v>259</v>
      </c>
      <c r="C2805" t="s">
        <v>262</v>
      </c>
      <c r="D2805" t="s">
        <v>268</v>
      </c>
      <c r="E2805" t="s">
        <v>274</v>
      </c>
      <c r="F2805" t="s">
        <v>287</v>
      </c>
      <c r="G2805" s="7">
        <v>9</v>
      </c>
      <c r="H2805" s="3">
        <v>34121.699999999997</v>
      </c>
      <c r="I2805" s="3">
        <v>307095.3</v>
      </c>
    </row>
    <row r="2806" spans="1:9" x14ac:dyDescent="0.3">
      <c r="A2806" s="5" t="s">
        <v>220</v>
      </c>
      <c r="B2806" t="s">
        <v>258</v>
      </c>
      <c r="C2806" t="s">
        <v>264</v>
      </c>
      <c r="D2806" t="s">
        <v>270</v>
      </c>
      <c r="E2806" t="s">
        <v>273</v>
      </c>
      <c r="F2806" t="s">
        <v>278</v>
      </c>
      <c r="G2806" s="7">
        <v>1</v>
      </c>
      <c r="H2806" s="3">
        <v>55673.46</v>
      </c>
      <c r="I2806" s="3">
        <v>55673.46</v>
      </c>
    </row>
    <row r="2807" spans="1:9" x14ac:dyDescent="0.3">
      <c r="A2807" s="5" t="s">
        <v>220</v>
      </c>
      <c r="B2807" t="s">
        <v>253</v>
      </c>
      <c r="C2807" t="s">
        <v>265</v>
      </c>
      <c r="D2807" t="s">
        <v>269</v>
      </c>
      <c r="E2807" t="s">
        <v>274</v>
      </c>
      <c r="F2807" t="s">
        <v>284</v>
      </c>
      <c r="G2807" s="7">
        <v>5</v>
      </c>
      <c r="H2807" s="3">
        <v>30466.33</v>
      </c>
      <c r="I2807" s="3">
        <v>152331.65</v>
      </c>
    </row>
    <row r="2808" spans="1:9" x14ac:dyDescent="0.3">
      <c r="A2808" s="5" t="s">
        <v>220</v>
      </c>
      <c r="B2808" t="s">
        <v>257</v>
      </c>
      <c r="C2808" t="s">
        <v>265</v>
      </c>
      <c r="D2808" t="s">
        <v>268</v>
      </c>
      <c r="E2808" t="s">
        <v>274</v>
      </c>
      <c r="F2808" t="s">
        <v>289</v>
      </c>
      <c r="G2808" s="7">
        <v>2</v>
      </c>
      <c r="H2808" s="3">
        <v>38188.42</v>
      </c>
      <c r="I2808" s="3">
        <v>76376.84</v>
      </c>
    </row>
    <row r="2809" spans="1:9" x14ac:dyDescent="0.3">
      <c r="A2809" s="5" t="s">
        <v>220</v>
      </c>
      <c r="B2809" t="s">
        <v>257</v>
      </c>
      <c r="C2809" t="s">
        <v>265</v>
      </c>
      <c r="D2809" t="s">
        <v>268</v>
      </c>
      <c r="E2809" t="s">
        <v>272</v>
      </c>
      <c r="F2809" t="s">
        <v>286</v>
      </c>
      <c r="G2809" s="7">
        <v>4</v>
      </c>
      <c r="H2809" s="3">
        <v>29919.57</v>
      </c>
      <c r="I2809" s="3">
        <v>119678.28</v>
      </c>
    </row>
    <row r="2810" spans="1:9" x14ac:dyDescent="0.3">
      <c r="A2810" s="5" t="s">
        <v>221</v>
      </c>
      <c r="B2810" t="s">
        <v>260</v>
      </c>
      <c r="C2810" t="s">
        <v>265</v>
      </c>
      <c r="D2810" t="s">
        <v>270</v>
      </c>
      <c r="E2810" t="s">
        <v>274</v>
      </c>
      <c r="F2810" t="s">
        <v>284</v>
      </c>
      <c r="G2810" s="7">
        <v>1</v>
      </c>
      <c r="H2810" s="3">
        <v>34489.300000000003</v>
      </c>
      <c r="I2810" s="3">
        <v>34489.300000000003</v>
      </c>
    </row>
    <row r="2811" spans="1:9" x14ac:dyDescent="0.3">
      <c r="A2811" s="5" t="s">
        <v>221</v>
      </c>
      <c r="B2811" t="s">
        <v>254</v>
      </c>
      <c r="C2811" t="s">
        <v>265</v>
      </c>
      <c r="D2811" t="s">
        <v>266</v>
      </c>
      <c r="E2811" t="s">
        <v>273</v>
      </c>
      <c r="F2811" t="s">
        <v>279</v>
      </c>
      <c r="G2811" s="7">
        <v>3</v>
      </c>
      <c r="H2811" s="3">
        <v>44427.13</v>
      </c>
      <c r="I2811" s="3">
        <v>133281.39000000001</v>
      </c>
    </row>
    <row r="2812" spans="1:9" x14ac:dyDescent="0.3">
      <c r="A2812" s="5" t="s">
        <v>221</v>
      </c>
      <c r="B2812" t="s">
        <v>256</v>
      </c>
      <c r="C2812" t="s">
        <v>265</v>
      </c>
      <c r="D2812" t="s">
        <v>268</v>
      </c>
      <c r="E2812" t="s">
        <v>273</v>
      </c>
      <c r="F2812" t="s">
        <v>288</v>
      </c>
      <c r="G2812" s="7">
        <v>7</v>
      </c>
      <c r="H2812" s="3">
        <v>48358.52</v>
      </c>
      <c r="I2812" s="3">
        <v>338509.64</v>
      </c>
    </row>
    <row r="2813" spans="1:9" x14ac:dyDescent="0.3">
      <c r="A2813" s="5" t="s">
        <v>221</v>
      </c>
      <c r="B2813" t="s">
        <v>258</v>
      </c>
      <c r="C2813" t="s">
        <v>262</v>
      </c>
      <c r="D2813" t="s">
        <v>269</v>
      </c>
      <c r="E2813" t="s">
        <v>271</v>
      </c>
      <c r="F2813" t="s">
        <v>282</v>
      </c>
      <c r="G2813" s="7">
        <v>3</v>
      </c>
      <c r="H2813" s="3">
        <v>7473.68</v>
      </c>
      <c r="I2813" s="3">
        <v>22421.040000000001</v>
      </c>
    </row>
    <row r="2814" spans="1:9" x14ac:dyDescent="0.3">
      <c r="A2814" s="5" t="s">
        <v>221</v>
      </c>
      <c r="B2814" t="s">
        <v>260</v>
      </c>
      <c r="C2814" t="s">
        <v>263</v>
      </c>
      <c r="D2814" t="s">
        <v>268</v>
      </c>
      <c r="E2814" t="s">
        <v>273</v>
      </c>
      <c r="F2814" t="s">
        <v>283</v>
      </c>
      <c r="G2814" s="7">
        <v>4</v>
      </c>
      <c r="H2814" s="3">
        <v>52013.58</v>
      </c>
      <c r="I2814" s="3">
        <v>208054.32</v>
      </c>
    </row>
    <row r="2815" spans="1:9" x14ac:dyDescent="0.3">
      <c r="A2815" s="5" t="s">
        <v>221</v>
      </c>
      <c r="B2815" t="s">
        <v>255</v>
      </c>
      <c r="C2815" t="s">
        <v>264</v>
      </c>
      <c r="D2815" t="s">
        <v>269</v>
      </c>
      <c r="E2815" t="s">
        <v>271</v>
      </c>
      <c r="F2815" t="s">
        <v>275</v>
      </c>
      <c r="G2815" s="7">
        <v>2</v>
      </c>
      <c r="H2815" s="3">
        <v>8192.94</v>
      </c>
      <c r="I2815" s="3">
        <v>16385.88</v>
      </c>
    </row>
    <row r="2816" spans="1:9" x14ac:dyDescent="0.3">
      <c r="A2816" s="5" t="s">
        <v>222</v>
      </c>
      <c r="B2816" t="s">
        <v>259</v>
      </c>
      <c r="C2816" t="s">
        <v>265</v>
      </c>
      <c r="D2816" t="s">
        <v>267</v>
      </c>
      <c r="E2816" t="s">
        <v>274</v>
      </c>
      <c r="F2816" t="s">
        <v>287</v>
      </c>
      <c r="G2816" s="7">
        <v>3</v>
      </c>
      <c r="H2816" s="3">
        <v>38561.39</v>
      </c>
      <c r="I2816" s="3">
        <v>115684.17</v>
      </c>
    </row>
    <row r="2817" spans="1:9" x14ac:dyDescent="0.3">
      <c r="A2817" s="5" t="s">
        <v>222</v>
      </c>
      <c r="B2817" t="s">
        <v>254</v>
      </c>
      <c r="C2817" t="s">
        <v>262</v>
      </c>
      <c r="D2817" t="s">
        <v>267</v>
      </c>
      <c r="E2817" t="s">
        <v>273</v>
      </c>
      <c r="F2817" t="s">
        <v>278</v>
      </c>
      <c r="G2817" s="7">
        <v>9</v>
      </c>
      <c r="H2817" s="3">
        <v>44871.31</v>
      </c>
      <c r="I2817" s="3">
        <v>403841.79</v>
      </c>
    </row>
    <row r="2818" spans="1:9" x14ac:dyDescent="0.3">
      <c r="A2818" s="5" t="s">
        <v>222</v>
      </c>
      <c r="B2818" t="s">
        <v>258</v>
      </c>
      <c r="C2818" t="s">
        <v>262</v>
      </c>
      <c r="D2818" t="s">
        <v>269</v>
      </c>
      <c r="E2818" t="s">
        <v>274</v>
      </c>
      <c r="F2818" t="s">
        <v>287</v>
      </c>
      <c r="G2818" s="7">
        <v>3</v>
      </c>
      <c r="H2818" s="3">
        <v>29028.15</v>
      </c>
      <c r="I2818" s="3">
        <v>87084.45</v>
      </c>
    </row>
    <row r="2819" spans="1:9" x14ac:dyDescent="0.3">
      <c r="A2819" s="5" t="s">
        <v>222</v>
      </c>
      <c r="B2819" t="s">
        <v>257</v>
      </c>
      <c r="C2819" t="s">
        <v>262</v>
      </c>
      <c r="D2819" t="s">
        <v>266</v>
      </c>
      <c r="E2819" t="s">
        <v>273</v>
      </c>
      <c r="F2819" t="s">
        <v>278</v>
      </c>
      <c r="G2819" s="7">
        <v>5</v>
      </c>
      <c r="H2819" s="3">
        <v>50775.87</v>
      </c>
      <c r="I2819" s="3">
        <v>253879.35</v>
      </c>
    </row>
    <row r="2820" spans="1:9" x14ac:dyDescent="0.3">
      <c r="A2820" s="5" t="s">
        <v>222</v>
      </c>
      <c r="B2820" t="s">
        <v>258</v>
      </c>
      <c r="C2820" t="s">
        <v>263</v>
      </c>
      <c r="D2820" t="s">
        <v>268</v>
      </c>
      <c r="E2820" t="s">
        <v>273</v>
      </c>
      <c r="F2820" t="s">
        <v>283</v>
      </c>
      <c r="G2820" s="7">
        <v>2</v>
      </c>
      <c r="H2820" s="3">
        <v>41212.410000000003</v>
      </c>
      <c r="I2820" s="3">
        <v>82424.820000000007</v>
      </c>
    </row>
    <row r="2821" spans="1:9" x14ac:dyDescent="0.3">
      <c r="A2821" s="5" t="s">
        <v>222</v>
      </c>
      <c r="B2821" t="s">
        <v>256</v>
      </c>
      <c r="C2821" t="s">
        <v>264</v>
      </c>
      <c r="D2821" t="s">
        <v>268</v>
      </c>
      <c r="E2821" t="s">
        <v>271</v>
      </c>
      <c r="F2821" t="s">
        <v>275</v>
      </c>
      <c r="G2821" s="7">
        <v>4</v>
      </c>
      <c r="H2821" s="3">
        <v>9787.51</v>
      </c>
      <c r="I2821" s="3">
        <v>39150.04</v>
      </c>
    </row>
    <row r="2822" spans="1:9" x14ac:dyDescent="0.3">
      <c r="A2822" s="5" t="s">
        <v>222</v>
      </c>
      <c r="B2822" t="s">
        <v>257</v>
      </c>
      <c r="C2822" t="s">
        <v>263</v>
      </c>
      <c r="D2822" t="s">
        <v>267</v>
      </c>
      <c r="E2822" t="s">
        <v>274</v>
      </c>
      <c r="F2822" t="s">
        <v>289</v>
      </c>
      <c r="G2822" s="7">
        <v>7</v>
      </c>
      <c r="H2822" s="3">
        <v>39591.839999999997</v>
      </c>
      <c r="I2822" s="3">
        <v>277142.88</v>
      </c>
    </row>
    <row r="2823" spans="1:9" x14ac:dyDescent="0.3">
      <c r="A2823" s="5" t="s">
        <v>223</v>
      </c>
      <c r="B2823" t="s">
        <v>256</v>
      </c>
      <c r="C2823" t="s">
        <v>261</v>
      </c>
      <c r="D2823" t="s">
        <v>269</v>
      </c>
      <c r="E2823" t="s">
        <v>273</v>
      </c>
      <c r="F2823" t="s">
        <v>283</v>
      </c>
      <c r="G2823" s="7">
        <v>7</v>
      </c>
      <c r="H2823" s="3">
        <v>52281.95</v>
      </c>
      <c r="I2823" s="3">
        <v>365973.65</v>
      </c>
    </row>
    <row r="2824" spans="1:9" x14ac:dyDescent="0.3">
      <c r="A2824" s="5" t="s">
        <v>223</v>
      </c>
      <c r="B2824" t="s">
        <v>255</v>
      </c>
      <c r="C2824" t="s">
        <v>262</v>
      </c>
      <c r="D2824" t="s">
        <v>268</v>
      </c>
      <c r="E2824" t="s">
        <v>272</v>
      </c>
      <c r="F2824" t="s">
        <v>290</v>
      </c>
      <c r="G2824" s="7">
        <v>3</v>
      </c>
      <c r="H2824" s="3">
        <v>24051.43</v>
      </c>
      <c r="I2824" s="3">
        <v>72154.289999999994</v>
      </c>
    </row>
    <row r="2825" spans="1:9" x14ac:dyDescent="0.3">
      <c r="A2825" s="5" t="s">
        <v>223</v>
      </c>
      <c r="B2825" t="s">
        <v>259</v>
      </c>
      <c r="C2825" t="s">
        <v>261</v>
      </c>
      <c r="D2825" t="s">
        <v>268</v>
      </c>
      <c r="E2825" t="s">
        <v>274</v>
      </c>
      <c r="F2825" t="s">
        <v>280</v>
      </c>
      <c r="G2825" s="7">
        <v>5</v>
      </c>
      <c r="H2825" s="3">
        <v>34878.54</v>
      </c>
      <c r="I2825" s="3">
        <v>174392.7</v>
      </c>
    </row>
    <row r="2826" spans="1:9" x14ac:dyDescent="0.3">
      <c r="A2826" s="5" t="s">
        <v>223</v>
      </c>
      <c r="B2826" t="s">
        <v>255</v>
      </c>
      <c r="C2826" t="s">
        <v>265</v>
      </c>
      <c r="D2826" t="s">
        <v>266</v>
      </c>
      <c r="E2826" t="s">
        <v>274</v>
      </c>
      <c r="F2826" t="s">
        <v>284</v>
      </c>
      <c r="G2826" s="7">
        <v>1</v>
      </c>
      <c r="H2826" s="3">
        <v>36101.26</v>
      </c>
      <c r="I2826" s="3">
        <v>36101.26</v>
      </c>
    </row>
    <row r="2827" spans="1:9" x14ac:dyDescent="0.3">
      <c r="A2827" s="5" t="s">
        <v>223</v>
      </c>
      <c r="B2827" t="s">
        <v>260</v>
      </c>
      <c r="C2827" t="s">
        <v>265</v>
      </c>
      <c r="D2827" t="s">
        <v>270</v>
      </c>
      <c r="E2827" t="s">
        <v>274</v>
      </c>
      <c r="F2827" t="s">
        <v>280</v>
      </c>
      <c r="G2827" s="7">
        <v>1</v>
      </c>
      <c r="H2827" s="3">
        <v>37765.870000000003</v>
      </c>
      <c r="I2827" s="3">
        <v>37765.870000000003</v>
      </c>
    </row>
    <row r="2828" spans="1:9" x14ac:dyDescent="0.3">
      <c r="A2828" s="5" t="s">
        <v>223</v>
      </c>
      <c r="B2828" t="s">
        <v>260</v>
      </c>
      <c r="C2828" t="s">
        <v>263</v>
      </c>
      <c r="D2828" t="s">
        <v>267</v>
      </c>
      <c r="E2828" t="s">
        <v>271</v>
      </c>
      <c r="F2828" t="s">
        <v>285</v>
      </c>
      <c r="G2828" s="7">
        <v>5</v>
      </c>
      <c r="H2828" s="3">
        <v>7415.41</v>
      </c>
      <c r="I2828" s="3">
        <v>37077.050000000003</v>
      </c>
    </row>
    <row r="2829" spans="1:9" x14ac:dyDescent="0.3">
      <c r="A2829" s="5" t="s">
        <v>224</v>
      </c>
      <c r="B2829" t="s">
        <v>255</v>
      </c>
      <c r="C2829" t="s">
        <v>264</v>
      </c>
      <c r="D2829" t="s">
        <v>267</v>
      </c>
      <c r="E2829" t="s">
        <v>272</v>
      </c>
      <c r="F2829" t="s">
        <v>276</v>
      </c>
      <c r="G2829" s="7">
        <v>9</v>
      </c>
      <c r="H2829" s="3">
        <v>29177.21</v>
      </c>
      <c r="I2829" s="3">
        <v>262594.89</v>
      </c>
    </row>
    <row r="2830" spans="1:9" x14ac:dyDescent="0.3">
      <c r="A2830" s="5" t="s">
        <v>224</v>
      </c>
      <c r="B2830" t="s">
        <v>259</v>
      </c>
      <c r="C2830" t="s">
        <v>261</v>
      </c>
      <c r="D2830" t="s">
        <v>270</v>
      </c>
      <c r="E2830" t="s">
        <v>274</v>
      </c>
      <c r="F2830" t="s">
        <v>289</v>
      </c>
      <c r="G2830" s="7">
        <v>1</v>
      </c>
      <c r="H2830" s="3">
        <v>34052.75</v>
      </c>
      <c r="I2830" s="3">
        <v>34052.75</v>
      </c>
    </row>
    <row r="2831" spans="1:9" x14ac:dyDescent="0.3">
      <c r="A2831" s="5" t="s">
        <v>224</v>
      </c>
      <c r="B2831" t="s">
        <v>255</v>
      </c>
      <c r="C2831" t="s">
        <v>264</v>
      </c>
      <c r="D2831" t="s">
        <v>268</v>
      </c>
      <c r="E2831" t="s">
        <v>273</v>
      </c>
      <c r="F2831" t="s">
        <v>278</v>
      </c>
      <c r="G2831" s="7">
        <v>1</v>
      </c>
      <c r="H2831" s="3">
        <v>41294.25</v>
      </c>
      <c r="I2831" s="3">
        <v>41294.25</v>
      </c>
    </row>
    <row r="2832" spans="1:9" x14ac:dyDescent="0.3">
      <c r="A2832" s="5" t="s">
        <v>224</v>
      </c>
      <c r="B2832" t="s">
        <v>259</v>
      </c>
      <c r="C2832" t="s">
        <v>263</v>
      </c>
      <c r="D2832" t="s">
        <v>266</v>
      </c>
      <c r="E2832" t="s">
        <v>273</v>
      </c>
      <c r="F2832" t="s">
        <v>283</v>
      </c>
      <c r="G2832" s="7">
        <v>4</v>
      </c>
      <c r="H2832" s="3">
        <v>44054.1</v>
      </c>
      <c r="I2832" s="3">
        <v>176216.4</v>
      </c>
    </row>
    <row r="2833" spans="1:9" x14ac:dyDescent="0.3">
      <c r="A2833" s="5" t="s">
        <v>224</v>
      </c>
      <c r="B2833" t="s">
        <v>259</v>
      </c>
      <c r="C2833" t="s">
        <v>265</v>
      </c>
      <c r="D2833" t="s">
        <v>266</v>
      </c>
      <c r="E2833" t="s">
        <v>271</v>
      </c>
      <c r="F2833" t="s">
        <v>285</v>
      </c>
      <c r="G2833" s="7">
        <v>4</v>
      </c>
      <c r="H2833" s="3">
        <v>8721.75</v>
      </c>
      <c r="I2833" s="3">
        <v>34887</v>
      </c>
    </row>
    <row r="2834" spans="1:9" x14ac:dyDescent="0.3">
      <c r="A2834" s="5" t="s">
        <v>224</v>
      </c>
      <c r="B2834" t="s">
        <v>253</v>
      </c>
      <c r="C2834" t="s">
        <v>264</v>
      </c>
      <c r="D2834" t="s">
        <v>267</v>
      </c>
      <c r="E2834" t="s">
        <v>273</v>
      </c>
      <c r="F2834" t="s">
        <v>278</v>
      </c>
      <c r="G2834" s="7">
        <v>2</v>
      </c>
      <c r="H2834" s="3">
        <v>53247.77</v>
      </c>
      <c r="I2834" s="3">
        <v>106495.54</v>
      </c>
    </row>
    <row r="2835" spans="1:9" x14ac:dyDescent="0.3">
      <c r="A2835" s="5" t="s">
        <v>225</v>
      </c>
      <c r="B2835" t="s">
        <v>257</v>
      </c>
      <c r="C2835" t="s">
        <v>264</v>
      </c>
      <c r="D2835" t="s">
        <v>266</v>
      </c>
      <c r="E2835" t="s">
        <v>274</v>
      </c>
      <c r="F2835" t="s">
        <v>284</v>
      </c>
      <c r="G2835" s="7">
        <v>9</v>
      </c>
      <c r="H2835" s="3">
        <v>39096.42</v>
      </c>
      <c r="I2835" s="3">
        <v>351867.78</v>
      </c>
    </row>
    <row r="2836" spans="1:9" x14ac:dyDescent="0.3">
      <c r="A2836" s="5" t="s">
        <v>225</v>
      </c>
      <c r="B2836" t="s">
        <v>254</v>
      </c>
      <c r="C2836" t="s">
        <v>265</v>
      </c>
      <c r="D2836" t="s">
        <v>270</v>
      </c>
      <c r="E2836" t="s">
        <v>273</v>
      </c>
      <c r="F2836" t="s">
        <v>283</v>
      </c>
      <c r="G2836" s="7">
        <v>9</v>
      </c>
      <c r="H2836" s="3">
        <v>49561.61</v>
      </c>
      <c r="I2836" s="3">
        <v>446054.49</v>
      </c>
    </row>
    <row r="2837" spans="1:9" x14ac:dyDescent="0.3">
      <c r="A2837" s="5" t="s">
        <v>225</v>
      </c>
      <c r="B2837" t="s">
        <v>259</v>
      </c>
      <c r="C2837" t="s">
        <v>261</v>
      </c>
      <c r="D2837" t="s">
        <v>268</v>
      </c>
      <c r="E2837" t="s">
        <v>274</v>
      </c>
      <c r="F2837" t="s">
        <v>289</v>
      </c>
      <c r="G2837" s="7">
        <v>2</v>
      </c>
      <c r="H2837" s="3">
        <v>32255.3</v>
      </c>
      <c r="I2837" s="3">
        <v>64510.6</v>
      </c>
    </row>
    <row r="2838" spans="1:9" x14ac:dyDescent="0.3">
      <c r="A2838" s="5" t="s">
        <v>225</v>
      </c>
      <c r="B2838" t="s">
        <v>256</v>
      </c>
      <c r="C2838" t="s">
        <v>265</v>
      </c>
      <c r="D2838" t="s">
        <v>270</v>
      </c>
      <c r="E2838" t="s">
        <v>273</v>
      </c>
      <c r="F2838" t="s">
        <v>279</v>
      </c>
      <c r="G2838" s="7">
        <v>9</v>
      </c>
      <c r="H2838" s="3">
        <v>42822.559999999998</v>
      </c>
      <c r="I2838" s="3">
        <v>385403.04</v>
      </c>
    </row>
    <row r="2839" spans="1:9" x14ac:dyDescent="0.3">
      <c r="A2839" s="5" t="s">
        <v>225</v>
      </c>
      <c r="B2839" t="s">
        <v>259</v>
      </c>
      <c r="C2839" t="s">
        <v>264</v>
      </c>
      <c r="D2839" t="s">
        <v>269</v>
      </c>
      <c r="E2839" t="s">
        <v>272</v>
      </c>
      <c r="F2839" t="s">
        <v>286</v>
      </c>
      <c r="G2839" s="7">
        <v>6</v>
      </c>
      <c r="H2839" s="3">
        <v>34799.910000000003</v>
      </c>
      <c r="I2839" s="3">
        <v>208799.46</v>
      </c>
    </row>
    <row r="2840" spans="1:9" x14ac:dyDescent="0.3">
      <c r="A2840" s="5" t="s">
        <v>225</v>
      </c>
      <c r="B2840" t="s">
        <v>259</v>
      </c>
      <c r="C2840" t="s">
        <v>261</v>
      </c>
      <c r="D2840" t="s">
        <v>267</v>
      </c>
      <c r="E2840" t="s">
        <v>271</v>
      </c>
      <c r="F2840" t="s">
        <v>285</v>
      </c>
      <c r="G2840" s="7">
        <v>8</v>
      </c>
      <c r="H2840" s="3">
        <v>10567.27</v>
      </c>
      <c r="I2840" s="3">
        <v>84538.16</v>
      </c>
    </row>
    <row r="2841" spans="1:9" x14ac:dyDescent="0.3">
      <c r="A2841" s="5" t="s">
        <v>226</v>
      </c>
      <c r="B2841" t="s">
        <v>259</v>
      </c>
      <c r="C2841" t="s">
        <v>261</v>
      </c>
      <c r="D2841" t="s">
        <v>266</v>
      </c>
      <c r="E2841" t="s">
        <v>271</v>
      </c>
      <c r="F2841" t="s">
        <v>281</v>
      </c>
      <c r="G2841" s="7">
        <v>4</v>
      </c>
      <c r="H2841" s="3">
        <v>10369.92</v>
      </c>
      <c r="I2841" s="3">
        <v>41479.68</v>
      </c>
    </row>
    <row r="2842" spans="1:9" x14ac:dyDescent="0.3">
      <c r="A2842" s="5" t="s">
        <v>226</v>
      </c>
      <c r="B2842" t="s">
        <v>253</v>
      </c>
      <c r="C2842" t="s">
        <v>265</v>
      </c>
      <c r="D2842" t="s">
        <v>269</v>
      </c>
      <c r="E2842" t="s">
        <v>272</v>
      </c>
      <c r="F2842" t="s">
        <v>286</v>
      </c>
      <c r="G2842" s="7">
        <v>2</v>
      </c>
      <c r="H2842" s="3">
        <v>32599.49</v>
      </c>
      <c r="I2842" s="3">
        <v>65198.98</v>
      </c>
    </row>
    <row r="2843" spans="1:9" x14ac:dyDescent="0.3">
      <c r="A2843" s="5" t="s">
        <v>226</v>
      </c>
      <c r="B2843" t="s">
        <v>257</v>
      </c>
      <c r="C2843" t="s">
        <v>264</v>
      </c>
      <c r="D2843" t="s">
        <v>266</v>
      </c>
      <c r="E2843" t="s">
        <v>272</v>
      </c>
      <c r="F2843" t="s">
        <v>290</v>
      </c>
      <c r="G2843" s="7">
        <v>2</v>
      </c>
      <c r="H2843" s="3">
        <v>27448.73</v>
      </c>
      <c r="I2843" s="3">
        <v>54897.46</v>
      </c>
    </row>
    <row r="2844" spans="1:9" x14ac:dyDescent="0.3">
      <c r="A2844" s="5" t="s">
        <v>226</v>
      </c>
      <c r="B2844" t="s">
        <v>253</v>
      </c>
      <c r="C2844" t="s">
        <v>263</v>
      </c>
      <c r="D2844" t="s">
        <v>268</v>
      </c>
      <c r="E2844" t="s">
        <v>271</v>
      </c>
      <c r="F2844" t="s">
        <v>275</v>
      </c>
      <c r="G2844" s="7">
        <v>9</v>
      </c>
      <c r="H2844" s="3">
        <v>10002.799999999999</v>
      </c>
      <c r="I2844" s="3">
        <v>90025.2</v>
      </c>
    </row>
    <row r="2845" spans="1:9" x14ac:dyDescent="0.3">
      <c r="A2845" s="5" t="s">
        <v>226</v>
      </c>
      <c r="B2845" t="s">
        <v>260</v>
      </c>
      <c r="C2845" t="s">
        <v>264</v>
      </c>
      <c r="D2845" t="s">
        <v>268</v>
      </c>
      <c r="E2845" t="s">
        <v>272</v>
      </c>
      <c r="F2845" t="s">
        <v>276</v>
      </c>
      <c r="G2845" s="7">
        <v>1</v>
      </c>
      <c r="H2845" s="3">
        <v>28378.48</v>
      </c>
      <c r="I2845" s="3">
        <v>28378.48</v>
      </c>
    </row>
    <row r="2846" spans="1:9" x14ac:dyDescent="0.3">
      <c r="A2846" s="5" t="s">
        <v>226</v>
      </c>
      <c r="B2846" t="s">
        <v>253</v>
      </c>
      <c r="C2846" t="s">
        <v>262</v>
      </c>
      <c r="D2846" t="s">
        <v>268</v>
      </c>
      <c r="E2846" t="s">
        <v>274</v>
      </c>
      <c r="F2846" t="s">
        <v>287</v>
      </c>
      <c r="G2846" s="7">
        <v>7</v>
      </c>
      <c r="H2846" s="3">
        <v>31382.7</v>
      </c>
      <c r="I2846" s="3">
        <v>219678.9</v>
      </c>
    </row>
    <row r="2847" spans="1:9" x14ac:dyDescent="0.3">
      <c r="A2847" s="5" t="s">
        <v>227</v>
      </c>
      <c r="B2847" t="s">
        <v>256</v>
      </c>
      <c r="C2847" t="s">
        <v>263</v>
      </c>
      <c r="D2847" t="s">
        <v>266</v>
      </c>
      <c r="E2847" t="s">
        <v>273</v>
      </c>
      <c r="F2847" t="s">
        <v>278</v>
      </c>
      <c r="G2847" s="7">
        <v>3</v>
      </c>
      <c r="H2847" s="3">
        <v>51657.58</v>
      </c>
      <c r="I2847" s="3">
        <v>154972.74</v>
      </c>
    </row>
    <row r="2848" spans="1:9" x14ac:dyDescent="0.3">
      <c r="A2848" s="5" t="s">
        <v>227</v>
      </c>
      <c r="B2848" t="s">
        <v>256</v>
      </c>
      <c r="C2848" t="s">
        <v>261</v>
      </c>
      <c r="D2848" t="s">
        <v>269</v>
      </c>
      <c r="E2848" t="s">
        <v>271</v>
      </c>
      <c r="F2848" t="s">
        <v>281</v>
      </c>
      <c r="G2848" s="7">
        <v>3</v>
      </c>
      <c r="H2848" s="3">
        <v>7495.82</v>
      </c>
      <c r="I2848" s="3">
        <v>22487.46</v>
      </c>
    </row>
    <row r="2849" spans="1:9" x14ac:dyDescent="0.3">
      <c r="A2849" s="5" t="s">
        <v>227</v>
      </c>
      <c r="B2849" t="s">
        <v>253</v>
      </c>
      <c r="C2849" t="s">
        <v>263</v>
      </c>
      <c r="D2849" t="s">
        <v>268</v>
      </c>
      <c r="E2849" t="s">
        <v>272</v>
      </c>
      <c r="F2849" t="s">
        <v>286</v>
      </c>
      <c r="G2849" s="7">
        <v>2</v>
      </c>
      <c r="H2849" s="3">
        <v>24343.9</v>
      </c>
      <c r="I2849" s="3">
        <v>48687.8</v>
      </c>
    </row>
    <row r="2850" spans="1:9" x14ac:dyDescent="0.3">
      <c r="A2850" s="5" t="s">
        <v>227</v>
      </c>
      <c r="B2850" t="s">
        <v>257</v>
      </c>
      <c r="C2850" t="s">
        <v>261</v>
      </c>
      <c r="D2850" t="s">
        <v>269</v>
      </c>
      <c r="E2850" t="s">
        <v>274</v>
      </c>
      <c r="F2850" t="s">
        <v>287</v>
      </c>
      <c r="G2850" s="7">
        <v>6</v>
      </c>
      <c r="H2850" s="3">
        <v>32933.81</v>
      </c>
      <c r="I2850" s="3">
        <v>197602.86</v>
      </c>
    </row>
    <row r="2851" spans="1:9" x14ac:dyDescent="0.3">
      <c r="A2851" s="5" t="s">
        <v>227</v>
      </c>
      <c r="B2851" t="s">
        <v>255</v>
      </c>
      <c r="C2851" t="s">
        <v>261</v>
      </c>
      <c r="D2851" t="s">
        <v>266</v>
      </c>
      <c r="E2851" t="s">
        <v>271</v>
      </c>
      <c r="F2851" t="s">
        <v>285</v>
      </c>
      <c r="G2851" s="7">
        <v>2</v>
      </c>
      <c r="H2851" s="3">
        <v>8740.17</v>
      </c>
      <c r="I2851" s="3">
        <v>17480.34</v>
      </c>
    </row>
    <row r="2852" spans="1:9" x14ac:dyDescent="0.3">
      <c r="A2852" s="5" t="s">
        <v>227</v>
      </c>
      <c r="B2852" t="s">
        <v>254</v>
      </c>
      <c r="C2852" t="s">
        <v>263</v>
      </c>
      <c r="D2852" t="s">
        <v>269</v>
      </c>
      <c r="E2852" t="s">
        <v>272</v>
      </c>
      <c r="F2852" t="s">
        <v>290</v>
      </c>
      <c r="G2852" s="7">
        <v>4</v>
      </c>
      <c r="H2852" s="3">
        <v>33831.21</v>
      </c>
      <c r="I2852" s="3">
        <v>135324.84</v>
      </c>
    </row>
    <row r="2853" spans="1:9" x14ac:dyDescent="0.3">
      <c r="A2853" s="5" t="s">
        <v>228</v>
      </c>
      <c r="B2853" t="s">
        <v>257</v>
      </c>
      <c r="C2853" t="s">
        <v>261</v>
      </c>
      <c r="D2853" t="s">
        <v>266</v>
      </c>
      <c r="E2853" t="s">
        <v>271</v>
      </c>
      <c r="F2853" t="s">
        <v>282</v>
      </c>
      <c r="G2853" s="7">
        <v>9</v>
      </c>
      <c r="H2853" s="3">
        <v>7653.92</v>
      </c>
      <c r="I2853" s="3">
        <v>68885.279999999999</v>
      </c>
    </row>
    <row r="2854" spans="1:9" x14ac:dyDescent="0.3">
      <c r="A2854" s="5" t="s">
        <v>228</v>
      </c>
      <c r="B2854" t="s">
        <v>253</v>
      </c>
      <c r="C2854" t="s">
        <v>261</v>
      </c>
      <c r="D2854" t="s">
        <v>266</v>
      </c>
      <c r="E2854" t="s">
        <v>272</v>
      </c>
      <c r="F2854" t="s">
        <v>276</v>
      </c>
      <c r="G2854" s="7">
        <v>9</v>
      </c>
      <c r="H2854" s="3">
        <v>25180.78</v>
      </c>
      <c r="I2854" s="3">
        <v>226627.02</v>
      </c>
    </row>
    <row r="2855" spans="1:9" x14ac:dyDescent="0.3">
      <c r="A2855" s="5" t="s">
        <v>228</v>
      </c>
      <c r="B2855" t="s">
        <v>259</v>
      </c>
      <c r="C2855" t="s">
        <v>262</v>
      </c>
      <c r="D2855" t="s">
        <v>267</v>
      </c>
      <c r="E2855" t="s">
        <v>271</v>
      </c>
      <c r="F2855" t="s">
        <v>285</v>
      </c>
      <c r="G2855" s="7">
        <v>6</v>
      </c>
      <c r="H2855" s="3">
        <v>7726.34</v>
      </c>
      <c r="I2855" s="3">
        <v>46358.04</v>
      </c>
    </row>
    <row r="2856" spans="1:9" x14ac:dyDescent="0.3">
      <c r="A2856" s="5" t="s">
        <v>228</v>
      </c>
      <c r="B2856" t="s">
        <v>258</v>
      </c>
      <c r="C2856" t="s">
        <v>264</v>
      </c>
      <c r="D2856" t="s">
        <v>266</v>
      </c>
      <c r="E2856" t="s">
        <v>274</v>
      </c>
      <c r="F2856" t="s">
        <v>289</v>
      </c>
      <c r="G2856" s="7">
        <v>4</v>
      </c>
      <c r="H2856" s="3">
        <v>27580.62</v>
      </c>
      <c r="I2856" s="3">
        <v>110322.48</v>
      </c>
    </row>
    <row r="2857" spans="1:9" x14ac:dyDescent="0.3">
      <c r="A2857" s="5" t="s">
        <v>228</v>
      </c>
      <c r="B2857" t="s">
        <v>254</v>
      </c>
      <c r="C2857" t="s">
        <v>264</v>
      </c>
      <c r="D2857" t="s">
        <v>266</v>
      </c>
      <c r="E2857" t="s">
        <v>274</v>
      </c>
      <c r="F2857" t="s">
        <v>280</v>
      </c>
      <c r="G2857" s="7">
        <v>7</v>
      </c>
      <c r="H2857" s="3">
        <v>28118.17</v>
      </c>
      <c r="I2857" s="3">
        <v>196827.19</v>
      </c>
    </row>
    <row r="2858" spans="1:9" x14ac:dyDescent="0.3">
      <c r="A2858" s="5" t="s">
        <v>228</v>
      </c>
      <c r="B2858" t="s">
        <v>254</v>
      </c>
      <c r="C2858" t="s">
        <v>262</v>
      </c>
      <c r="D2858" t="s">
        <v>270</v>
      </c>
      <c r="E2858" t="s">
        <v>273</v>
      </c>
      <c r="F2858" t="s">
        <v>283</v>
      </c>
      <c r="G2858" s="7">
        <v>1</v>
      </c>
      <c r="H2858" s="3">
        <v>50127.66</v>
      </c>
      <c r="I2858" s="3">
        <v>50127.66</v>
      </c>
    </row>
    <row r="2859" spans="1:9" x14ac:dyDescent="0.3">
      <c r="A2859" s="5" t="s">
        <v>228</v>
      </c>
      <c r="B2859" t="s">
        <v>256</v>
      </c>
      <c r="C2859" t="s">
        <v>263</v>
      </c>
      <c r="D2859" t="s">
        <v>268</v>
      </c>
      <c r="E2859" t="s">
        <v>271</v>
      </c>
      <c r="F2859" t="s">
        <v>281</v>
      </c>
      <c r="G2859" s="7">
        <v>4</v>
      </c>
      <c r="H2859" s="3">
        <v>8692.39</v>
      </c>
      <c r="I2859" s="3">
        <v>34769.56</v>
      </c>
    </row>
    <row r="2860" spans="1:9" x14ac:dyDescent="0.3">
      <c r="A2860" s="5" t="s">
        <v>229</v>
      </c>
      <c r="B2860" t="s">
        <v>254</v>
      </c>
      <c r="C2860" t="s">
        <v>265</v>
      </c>
      <c r="D2860" t="s">
        <v>267</v>
      </c>
      <c r="E2860" t="s">
        <v>273</v>
      </c>
      <c r="F2860" t="s">
        <v>279</v>
      </c>
      <c r="G2860" s="7">
        <v>5</v>
      </c>
      <c r="H2860" s="3">
        <v>51994.86</v>
      </c>
      <c r="I2860" s="3">
        <v>259974.3</v>
      </c>
    </row>
    <row r="2861" spans="1:9" x14ac:dyDescent="0.3">
      <c r="A2861" s="5" t="s">
        <v>229</v>
      </c>
      <c r="B2861" t="s">
        <v>253</v>
      </c>
      <c r="C2861" t="s">
        <v>265</v>
      </c>
      <c r="D2861" t="s">
        <v>267</v>
      </c>
      <c r="E2861" t="s">
        <v>271</v>
      </c>
      <c r="F2861" t="s">
        <v>282</v>
      </c>
      <c r="G2861" s="7">
        <v>8</v>
      </c>
      <c r="H2861" s="3">
        <v>10599.83</v>
      </c>
      <c r="I2861" s="3">
        <v>84798.64</v>
      </c>
    </row>
    <row r="2862" spans="1:9" x14ac:dyDescent="0.3">
      <c r="A2862" s="5" t="s">
        <v>229</v>
      </c>
      <c r="B2862" t="s">
        <v>259</v>
      </c>
      <c r="C2862" t="s">
        <v>265</v>
      </c>
      <c r="D2862" t="s">
        <v>267</v>
      </c>
      <c r="E2862" t="s">
        <v>272</v>
      </c>
      <c r="F2862" t="s">
        <v>286</v>
      </c>
      <c r="G2862" s="7">
        <v>2</v>
      </c>
      <c r="H2862" s="3">
        <v>31181.19</v>
      </c>
      <c r="I2862" s="3">
        <v>62362.38</v>
      </c>
    </row>
    <row r="2863" spans="1:9" x14ac:dyDescent="0.3">
      <c r="A2863" s="5" t="s">
        <v>229</v>
      </c>
      <c r="B2863" t="s">
        <v>259</v>
      </c>
      <c r="C2863" t="s">
        <v>262</v>
      </c>
      <c r="D2863" t="s">
        <v>270</v>
      </c>
      <c r="E2863" t="s">
        <v>272</v>
      </c>
      <c r="F2863" t="s">
        <v>290</v>
      </c>
      <c r="G2863" s="7">
        <v>5</v>
      </c>
      <c r="H2863" s="3">
        <v>24365.1</v>
      </c>
      <c r="I2863" s="3">
        <v>121825.5</v>
      </c>
    </row>
    <row r="2864" spans="1:9" x14ac:dyDescent="0.3">
      <c r="A2864" s="5" t="s">
        <v>229</v>
      </c>
      <c r="B2864" t="s">
        <v>260</v>
      </c>
      <c r="C2864" t="s">
        <v>262</v>
      </c>
      <c r="D2864" t="s">
        <v>266</v>
      </c>
      <c r="E2864" t="s">
        <v>273</v>
      </c>
      <c r="F2864" t="s">
        <v>278</v>
      </c>
      <c r="G2864" s="7">
        <v>6</v>
      </c>
      <c r="H2864" s="3">
        <v>40132.129999999997</v>
      </c>
      <c r="I2864" s="3">
        <v>240792.78</v>
      </c>
    </row>
    <row r="2865" spans="1:9" x14ac:dyDescent="0.3">
      <c r="A2865" s="5" t="s">
        <v>229</v>
      </c>
      <c r="B2865" t="s">
        <v>259</v>
      </c>
      <c r="C2865" t="s">
        <v>261</v>
      </c>
      <c r="D2865" t="s">
        <v>268</v>
      </c>
      <c r="E2865" t="s">
        <v>271</v>
      </c>
      <c r="F2865" t="s">
        <v>285</v>
      </c>
      <c r="G2865" s="7">
        <v>5</v>
      </c>
      <c r="H2865" s="3">
        <v>10220.41</v>
      </c>
      <c r="I2865" s="3">
        <v>51102.05</v>
      </c>
    </row>
    <row r="2866" spans="1:9" x14ac:dyDescent="0.3">
      <c r="A2866" s="5" t="s">
        <v>230</v>
      </c>
      <c r="B2866" t="s">
        <v>257</v>
      </c>
      <c r="C2866" t="s">
        <v>265</v>
      </c>
      <c r="D2866" t="s">
        <v>269</v>
      </c>
      <c r="E2866" t="s">
        <v>273</v>
      </c>
      <c r="F2866" t="s">
        <v>288</v>
      </c>
      <c r="G2866" s="7">
        <v>9</v>
      </c>
      <c r="H2866" s="3">
        <v>47744.93</v>
      </c>
      <c r="I2866" s="3">
        <v>429704.37</v>
      </c>
    </row>
    <row r="2867" spans="1:9" x14ac:dyDescent="0.3">
      <c r="A2867" s="5" t="s">
        <v>230</v>
      </c>
      <c r="B2867" t="s">
        <v>259</v>
      </c>
      <c r="C2867" t="s">
        <v>263</v>
      </c>
      <c r="D2867" t="s">
        <v>266</v>
      </c>
      <c r="E2867" t="s">
        <v>274</v>
      </c>
      <c r="F2867" t="s">
        <v>284</v>
      </c>
      <c r="G2867" s="7">
        <v>1</v>
      </c>
      <c r="H2867" s="3">
        <v>37757.919999999998</v>
      </c>
      <c r="I2867" s="3">
        <v>37757.919999999998</v>
      </c>
    </row>
    <row r="2868" spans="1:9" x14ac:dyDescent="0.3">
      <c r="A2868" s="5" t="s">
        <v>230</v>
      </c>
      <c r="B2868" t="s">
        <v>256</v>
      </c>
      <c r="C2868" t="s">
        <v>263</v>
      </c>
      <c r="D2868" t="s">
        <v>270</v>
      </c>
      <c r="E2868" t="s">
        <v>273</v>
      </c>
      <c r="F2868" t="s">
        <v>288</v>
      </c>
      <c r="G2868" s="7">
        <v>3</v>
      </c>
      <c r="H2868" s="3">
        <v>53669.02</v>
      </c>
      <c r="I2868" s="3">
        <v>161007.06</v>
      </c>
    </row>
    <row r="2869" spans="1:9" x14ac:dyDescent="0.3">
      <c r="A2869" s="5" t="s">
        <v>230</v>
      </c>
      <c r="B2869" t="s">
        <v>259</v>
      </c>
      <c r="C2869" t="s">
        <v>265</v>
      </c>
      <c r="D2869" t="s">
        <v>266</v>
      </c>
      <c r="E2869" t="s">
        <v>273</v>
      </c>
      <c r="F2869" t="s">
        <v>288</v>
      </c>
      <c r="G2869" s="7">
        <v>2</v>
      </c>
      <c r="H2869" s="3">
        <v>54948.14</v>
      </c>
      <c r="I2869" s="3">
        <v>109896.28</v>
      </c>
    </row>
    <row r="2870" spans="1:9" x14ac:dyDescent="0.3">
      <c r="A2870" s="5" t="s">
        <v>230</v>
      </c>
      <c r="B2870" t="s">
        <v>260</v>
      </c>
      <c r="C2870" t="s">
        <v>265</v>
      </c>
      <c r="D2870" t="s">
        <v>266</v>
      </c>
      <c r="E2870" t="s">
        <v>272</v>
      </c>
      <c r="F2870" t="s">
        <v>277</v>
      </c>
      <c r="G2870" s="7">
        <v>3</v>
      </c>
      <c r="H2870" s="3">
        <v>34438.089999999997</v>
      </c>
      <c r="I2870" s="3">
        <v>103314.27</v>
      </c>
    </row>
    <row r="2871" spans="1:9" x14ac:dyDescent="0.3">
      <c r="A2871" s="5" t="s">
        <v>230</v>
      </c>
      <c r="B2871" t="s">
        <v>258</v>
      </c>
      <c r="C2871" t="s">
        <v>265</v>
      </c>
      <c r="D2871" t="s">
        <v>270</v>
      </c>
      <c r="E2871" t="s">
        <v>273</v>
      </c>
      <c r="F2871" t="s">
        <v>278</v>
      </c>
      <c r="G2871" s="7">
        <v>9</v>
      </c>
      <c r="H2871" s="3">
        <v>48236.86</v>
      </c>
      <c r="I2871" s="3">
        <v>434131.74</v>
      </c>
    </row>
    <row r="2872" spans="1:9" x14ac:dyDescent="0.3">
      <c r="A2872" s="5" t="s">
        <v>231</v>
      </c>
      <c r="B2872" t="s">
        <v>253</v>
      </c>
      <c r="C2872" t="s">
        <v>262</v>
      </c>
      <c r="D2872" t="s">
        <v>267</v>
      </c>
      <c r="E2872" t="s">
        <v>271</v>
      </c>
      <c r="F2872" t="s">
        <v>281</v>
      </c>
      <c r="G2872" s="7">
        <v>9</v>
      </c>
      <c r="H2872" s="3">
        <v>8384.4699999999993</v>
      </c>
      <c r="I2872" s="3">
        <v>75460.23</v>
      </c>
    </row>
    <row r="2873" spans="1:9" x14ac:dyDescent="0.3">
      <c r="A2873" s="5" t="s">
        <v>231</v>
      </c>
      <c r="B2873" t="s">
        <v>256</v>
      </c>
      <c r="C2873" t="s">
        <v>262</v>
      </c>
      <c r="D2873" t="s">
        <v>267</v>
      </c>
      <c r="E2873" t="s">
        <v>272</v>
      </c>
      <c r="F2873" t="s">
        <v>276</v>
      </c>
      <c r="G2873" s="7">
        <v>2</v>
      </c>
      <c r="H2873" s="3">
        <v>34572.89</v>
      </c>
      <c r="I2873" s="3">
        <v>69145.78</v>
      </c>
    </row>
    <row r="2874" spans="1:9" x14ac:dyDescent="0.3">
      <c r="A2874" s="5" t="s">
        <v>231</v>
      </c>
      <c r="B2874" t="s">
        <v>257</v>
      </c>
      <c r="C2874" t="s">
        <v>262</v>
      </c>
      <c r="D2874" t="s">
        <v>268</v>
      </c>
      <c r="E2874" t="s">
        <v>273</v>
      </c>
      <c r="F2874" t="s">
        <v>279</v>
      </c>
      <c r="G2874" s="7">
        <v>3</v>
      </c>
      <c r="H2874" s="3">
        <v>48103.32</v>
      </c>
      <c r="I2874" s="3">
        <v>144309.96</v>
      </c>
    </row>
    <row r="2875" spans="1:9" x14ac:dyDescent="0.3">
      <c r="A2875" s="5" t="s">
        <v>231</v>
      </c>
      <c r="B2875" t="s">
        <v>258</v>
      </c>
      <c r="C2875" t="s">
        <v>264</v>
      </c>
      <c r="D2875" t="s">
        <v>268</v>
      </c>
      <c r="E2875" t="s">
        <v>274</v>
      </c>
      <c r="F2875" t="s">
        <v>287</v>
      </c>
      <c r="G2875" s="7">
        <v>4</v>
      </c>
      <c r="H2875" s="3">
        <v>28022.43</v>
      </c>
      <c r="I2875" s="3">
        <v>112089.72</v>
      </c>
    </row>
    <row r="2876" spans="1:9" x14ac:dyDescent="0.3">
      <c r="A2876" s="5" t="s">
        <v>231</v>
      </c>
      <c r="B2876" t="s">
        <v>256</v>
      </c>
      <c r="C2876" t="s">
        <v>263</v>
      </c>
      <c r="D2876" t="s">
        <v>267</v>
      </c>
      <c r="E2876" t="s">
        <v>273</v>
      </c>
      <c r="F2876" t="s">
        <v>288</v>
      </c>
      <c r="G2876" s="7">
        <v>9</v>
      </c>
      <c r="H2876" s="3">
        <v>49819.98</v>
      </c>
      <c r="I2876" s="3">
        <v>448379.82</v>
      </c>
    </row>
    <row r="2877" spans="1:9" x14ac:dyDescent="0.3">
      <c r="A2877" s="5" t="s">
        <v>231</v>
      </c>
      <c r="B2877" t="s">
        <v>255</v>
      </c>
      <c r="C2877" t="s">
        <v>263</v>
      </c>
      <c r="D2877" t="s">
        <v>269</v>
      </c>
      <c r="E2877" t="s">
        <v>273</v>
      </c>
      <c r="F2877" t="s">
        <v>288</v>
      </c>
      <c r="G2877" s="7">
        <v>3</v>
      </c>
      <c r="H2877" s="3">
        <v>48828.33</v>
      </c>
      <c r="I2877" s="3">
        <v>146484.99</v>
      </c>
    </row>
    <row r="2878" spans="1:9" x14ac:dyDescent="0.3">
      <c r="A2878" s="5" t="s">
        <v>232</v>
      </c>
      <c r="B2878" t="s">
        <v>254</v>
      </c>
      <c r="C2878" t="s">
        <v>261</v>
      </c>
      <c r="D2878" t="s">
        <v>266</v>
      </c>
      <c r="E2878" t="s">
        <v>273</v>
      </c>
      <c r="F2878" t="s">
        <v>288</v>
      </c>
      <c r="G2878" s="7">
        <v>7</v>
      </c>
      <c r="H2878" s="3">
        <v>54374.27</v>
      </c>
      <c r="I2878" s="3">
        <v>380619.89</v>
      </c>
    </row>
    <row r="2879" spans="1:9" x14ac:dyDescent="0.3">
      <c r="A2879" s="5" t="s">
        <v>232</v>
      </c>
      <c r="B2879" t="s">
        <v>255</v>
      </c>
      <c r="C2879" t="s">
        <v>262</v>
      </c>
      <c r="D2879" t="s">
        <v>269</v>
      </c>
      <c r="E2879" t="s">
        <v>272</v>
      </c>
      <c r="F2879" t="s">
        <v>290</v>
      </c>
      <c r="G2879" s="7">
        <v>3</v>
      </c>
      <c r="H2879" s="3">
        <v>31115.7</v>
      </c>
      <c r="I2879" s="3">
        <v>93347.1</v>
      </c>
    </row>
    <row r="2880" spans="1:9" x14ac:dyDescent="0.3">
      <c r="A2880" s="5" t="s">
        <v>232</v>
      </c>
      <c r="B2880" t="s">
        <v>259</v>
      </c>
      <c r="C2880" t="s">
        <v>264</v>
      </c>
      <c r="D2880" t="s">
        <v>266</v>
      </c>
      <c r="E2880" t="s">
        <v>271</v>
      </c>
      <c r="F2880" t="s">
        <v>281</v>
      </c>
      <c r="G2880" s="7">
        <v>7</v>
      </c>
      <c r="H2880" s="3">
        <v>8411.7800000000007</v>
      </c>
      <c r="I2880" s="3">
        <v>58882.46</v>
      </c>
    </row>
    <row r="2881" spans="1:9" x14ac:dyDescent="0.3">
      <c r="A2881" s="5" t="s">
        <v>232</v>
      </c>
      <c r="B2881" t="s">
        <v>258</v>
      </c>
      <c r="C2881" t="s">
        <v>264</v>
      </c>
      <c r="D2881" t="s">
        <v>267</v>
      </c>
      <c r="E2881" t="s">
        <v>274</v>
      </c>
      <c r="F2881" t="s">
        <v>289</v>
      </c>
      <c r="G2881" s="7">
        <v>7</v>
      </c>
      <c r="H2881" s="3">
        <v>39567.69</v>
      </c>
      <c r="I2881" s="3">
        <v>276973.83</v>
      </c>
    </row>
    <row r="2882" spans="1:9" x14ac:dyDescent="0.3">
      <c r="A2882" s="5" t="s">
        <v>232</v>
      </c>
      <c r="B2882" t="s">
        <v>259</v>
      </c>
      <c r="C2882" t="s">
        <v>263</v>
      </c>
      <c r="D2882" t="s">
        <v>268</v>
      </c>
      <c r="E2882" t="s">
        <v>273</v>
      </c>
      <c r="F2882" t="s">
        <v>283</v>
      </c>
      <c r="G2882" s="7">
        <v>9</v>
      </c>
      <c r="H2882" s="3">
        <v>52679.15</v>
      </c>
      <c r="I2882" s="3">
        <v>474112.35</v>
      </c>
    </row>
    <row r="2883" spans="1:9" x14ac:dyDescent="0.3">
      <c r="A2883" s="5" t="s">
        <v>232</v>
      </c>
      <c r="B2883" t="s">
        <v>254</v>
      </c>
      <c r="C2883" t="s">
        <v>262</v>
      </c>
      <c r="D2883" t="s">
        <v>268</v>
      </c>
      <c r="E2883" t="s">
        <v>271</v>
      </c>
      <c r="F2883" t="s">
        <v>281</v>
      </c>
      <c r="G2883" s="7">
        <v>2</v>
      </c>
      <c r="H2883" s="3">
        <v>9368.42</v>
      </c>
      <c r="I2883" s="3">
        <v>18736.84</v>
      </c>
    </row>
    <row r="2884" spans="1:9" x14ac:dyDescent="0.3">
      <c r="A2884" s="5" t="s">
        <v>233</v>
      </c>
      <c r="B2884" t="s">
        <v>256</v>
      </c>
      <c r="C2884" t="s">
        <v>261</v>
      </c>
      <c r="D2884" t="s">
        <v>269</v>
      </c>
      <c r="E2884" t="s">
        <v>271</v>
      </c>
      <c r="F2884" t="s">
        <v>281</v>
      </c>
      <c r="G2884" s="7">
        <v>6</v>
      </c>
      <c r="H2884" s="3">
        <v>8220.9500000000007</v>
      </c>
      <c r="I2884" s="3">
        <v>49325.7</v>
      </c>
    </row>
    <row r="2885" spans="1:9" x14ac:dyDescent="0.3">
      <c r="A2885" s="5" t="s">
        <v>233</v>
      </c>
      <c r="B2885" t="s">
        <v>254</v>
      </c>
      <c r="C2885" t="s">
        <v>262</v>
      </c>
      <c r="D2885" t="s">
        <v>268</v>
      </c>
      <c r="E2885" t="s">
        <v>272</v>
      </c>
      <c r="F2885" t="s">
        <v>290</v>
      </c>
      <c r="G2885" s="7">
        <v>9</v>
      </c>
      <c r="H2885" s="3">
        <v>27983.65</v>
      </c>
      <c r="I2885" s="3">
        <v>251852.85</v>
      </c>
    </row>
    <row r="2886" spans="1:9" x14ac:dyDescent="0.3">
      <c r="A2886" s="5" t="s">
        <v>233</v>
      </c>
      <c r="B2886" t="s">
        <v>260</v>
      </c>
      <c r="C2886" t="s">
        <v>265</v>
      </c>
      <c r="D2886" t="s">
        <v>267</v>
      </c>
      <c r="E2886" t="s">
        <v>274</v>
      </c>
      <c r="F2886" t="s">
        <v>284</v>
      </c>
      <c r="G2886" s="7">
        <v>2</v>
      </c>
      <c r="H2886" s="3">
        <v>35775.620000000003</v>
      </c>
      <c r="I2886" s="3">
        <v>71551.240000000005</v>
      </c>
    </row>
    <row r="2887" spans="1:9" x14ac:dyDescent="0.3">
      <c r="A2887" s="5" t="s">
        <v>233</v>
      </c>
      <c r="B2887" t="s">
        <v>254</v>
      </c>
      <c r="C2887" t="s">
        <v>262</v>
      </c>
      <c r="D2887" t="s">
        <v>269</v>
      </c>
      <c r="E2887" t="s">
        <v>272</v>
      </c>
      <c r="F2887" t="s">
        <v>276</v>
      </c>
      <c r="G2887" s="7">
        <v>2</v>
      </c>
      <c r="H2887" s="3">
        <v>24606.19</v>
      </c>
      <c r="I2887" s="3">
        <v>49212.38</v>
      </c>
    </row>
    <row r="2888" spans="1:9" x14ac:dyDescent="0.3">
      <c r="A2888" s="5" t="s">
        <v>233</v>
      </c>
      <c r="B2888" t="s">
        <v>260</v>
      </c>
      <c r="C2888" t="s">
        <v>265</v>
      </c>
      <c r="D2888" t="s">
        <v>266</v>
      </c>
      <c r="E2888" t="s">
        <v>271</v>
      </c>
      <c r="F2888" t="s">
        <v>275</v>
      </c>
      <c r="G2888" s="7">
        <v>5</v>
      </c>
      <c r="H2888" s="3">
        <v>8097.71</v>
      </c>
      <c r="I2888" s="3">
        <v>40488.550000000003</v>
      </c>
    </row>
    <row r="2889" spans="1:9" x14ac:dyDescent="0.3">
      <c r="A2889" s="5" t="s">
        <v>233</v>
      </c>
      <c r="B2889" t="s">
        <v>254</v>
      </c>
      <c r="C2889" t="s">
        <v>265</v>
      </c>
      <c r="D2889" t="s">
        <v>268</v>
      </c>
      <c r="E2889" t="s">
        <v>271</v>
      </c>
      <c r="F2889" t="s">
        <v>281</v>
      </c>
      <c r="G2889" s="7">
        <v>8</v>
      </c>
      <c r="H2889" s="3">
        <v>9652.26</v>
      </c>
      <c r="I2889" s="3">
        <v>77218.080000000002</v>
      </c>
    </row>
    <row r="2890" spans="1:9" x14ac:dyDescent="0.3">
      <c r="A2890" s="5" t="s">
        <v>234</v>
      </c>
      <c r="B2890" t="s">
        <v>253</v>
      </c>
      <c r="C2890" t="s">
        <v>261</v>
      </c>
      <c r="D2890" t="s">
        <v>270</v>
      </c>
      <c r="E2890" t="s">
        <v>271</v>
      </c>
      <c r="F2890" t="s">
        <v>275</v>
      </c>
      <c r="G2890" s="7">
        <v>9</v>
      </c>
      <c r="H2890" s="3">
        <v>8857.06</v>
      </c>
      <c r="I2890" s="3">
        <v>79713.539999999994</v>
      </c>
    </row>
    <row r="2891" spans="1:9" x14ac:dyDescent="0.3">
      <c r="A2891" s="5" t="s">
        <v>234</v>
      </c>
      <c r="B2891" t="s">
        <v>260</v>
      </c>
      <c r="C2891" t="s">
        <v>263</v>
      </c>
      <c r="D2891" t="s">
        <v>268</v>
      </c>
      <c r="E2891" t="s">
        <v>272</v>
      </c>
      <c r="F2891" t="s">
        <v>277</v>
      </c>
      <c r="G2891" s="7">
        <v>2</v>
      </c>
      <c r="H2891" s="3">
        <v>28306.81</v>
      </c>
      <c r="I2891" s="3">
        <v>56613.62</v>
      </c>
    </row>
    <row r="2892" spans="1:9" x14ac:dyDescent="0.3">
      <c r="A2892" s="5" t="s">
        <v>234</v>
      </c>
      <c r="B2892" t="s">
        <v>258</v>
      </c>
      <c r="C2892" t="s">
        <v>262</v>
      </c>
      <c r="D2892" t="s">
        <v>266</v>
      </c>
      <c r="E2892" t="s">
        <v>274</v>
      </c>
      <c r="F2892" t="s">
        <v>284</v>
      </c>
      <c r="G2892" s="7">
        <v>5</v>
      </c>
      <c r="H2892" s="3">
        <v>29138.66</v>
      </c>
      <c r="I2892" s="3">
        <v>145693.29999999999</v>
      </c>
    </row>
    <row r="2893" spans="1:9" x14ac:dyDescent="0.3">
      <c r="A2893" s="5" t="s">
        <v>234</v>
      </c>
      <c r="B2893" t="s">
        <v>259</v>
      </c>
      <c r="C2893" t="s">
        <v>265</v>
      </c>
      <c r="D2893" t="s">
        <v>269</v>
      </c>
      <c r="E2893" t="s">
        <v>273</v>
      </c>
      <c r="F2893" t="s">
        <v>278</v>
      </c>
      <c r="G2893" s="7">
        <v>7</v>
      </c>
      <c r="H2893" s="3">
        <v>46203.28</v>
      </c>
      <c r="I2893" s="3">
        <v>323422.96000000002</v>
      </c>
    </row>
    <row r="2894" spans="1:9" x14ac:dyDescent="0.3">
      <c r="A2894" s="5" t="s">
        <v>234</v>
      </c>
      <c r="B2894" t="s">
        <v>257</v>
      </c>
      <c r="C2894" t="s">
        <v>262</v>
      </c>
      <c r="D2894" t="s">
        <v>266</v>
      </c>
      <c r="E2894" t="s">
        <v>272</v>
      </c>
      <c r="F2894" t="s">
        <v>290</v>
      </c>
      <c r="G2894" s="7">
        <v>6</v>
      </c>
      <c r="H2894" s="3">
        <v>32431.75</v>
      </c>
      <c r="I2894" s="3">
        <v>194590.5</v>
      </c>
    </row>
    <row r="2895" spans="1:9" x14ac:dyDescent="0.3">
      <c r="A2895" s="5" t="s">
        <v>234</v>
      </c>
      <c r="B2895" t="s">
        <v>259</v>
      </c>
      <c r="C2895" t="s">
        <v>263</v>
      </c>
      <c r="D2895" t="s">
        <v>270</v>
      </c>
      <c r="E2895" t="s">
        <v>271</v>
      </c>
      <c r="F2895" t="s">
        <v>282</v>
      </c>
      <c r="G2895" s="7">
        <v>6</v>
      </c>
      <c r="H2895" s="3">
        <v>8122.64</v>
      </c>
      <c r="I2895" s="3">
        <v>48735.839999999997</v>
      </c>
    </row>
    <row r="2896" spans="1:9" x14ac:dyDescent="0.3">
      <c r="A2896" s="5" t="s">
        <v>234</v>
      </c>
      <c r="B2896" t="s">
        <v>255</v>
      </c>
      <c r="C2896" t="s">
        <v>263</v>
      </c>
      <c r="D2896" t="s">
        <v>267</v>
      </c>
      <c r="E2896" t="s">
        <v>272</v>
      </c>
      <c r="F2896" t="s">
        <v>277</v>
      </c>
      <c r="G2896" s="7">
        <v>7</v>
      </c>
      <c r="H2896" s="3">
        <v>23860.46</v>
      </c>
      <c r="I2896" s="3">
        <v>167023.22</v>
      </c>
    </row>
    <row r="2897" spans="1:9" x14ac:dyDescent="0.3">
      <c r="A2897" s="5" t="s">
        <v>235</v>
      </c>
      <c r="B2897" t="s">
        <v>259</v>
      </c>
      <c r="C2897" t="s">
        <v>264</v>
      </c>
      <c r="D2897" t="s">
        <v>268</v>
      </c>
      <c r="E2897" t="s">
        <v>271</v>
      </c>
      <c r="F2897" t="s">
        <v>285</v>
      </c>
      <c r="G2897" s="7">
        <v>3</v>
      </c>
      <c r="H2897" s="3">
        <v>9497.92</v>
      </c>
      <c r="I2897" s="3">
        <v>28493.759999999998</v>
      </c>
    </row>
    <row r="2898" spans="1:9" x14ac:dyDescent="0.3">
      <c r="A2898" s="5" t="s">
        <v>235</v>
      </c>
      <c r="B2898" t="s">
        <v>256</v>
      </c>
      <c r="C2898" t="s">
        <v>263</v>
      </c>
      <c r="D2898" t="s">
        <v>269</v>
      </c>
      <c r="E2898" t="s">
        <v>273</v>
      </c>
      <c r="F2898" t="s">
        <v>283</v>
      </c>
      <c r="G2898" s="7">
        <v>3</v>
      </c>
      <c r="H2898" s="3">
        <v>55757.279999999999</v>
      </c>
      <c r="I2898" s="3">
        <v>167271.84</v>
      </c>
    </row>
    <row r="2899" spans="1:9" x14ac:dyDescent="0.3">
      <c r="A2899" s="5" t="s">
        <v>235</v>
      </c>
      <c r="B2899" t="s">
        <v>253</v>
      </c>
      <c r="C2899" t="s">
        <v>261</v>
      </c>
      <c r="D2899" t="s">
        <v>267</v>
      </c>
      <c r="E2899" t="s">
        <v>273</v>
      </c>
      <c r="F2899" t="s">
        <v>279</v>
      </c>
      <c r="G2899" s="7">
        <v>9</v>
      </c>
      <c r="H2899" s="3">
        <v>49172.88</v>
      </c>
      <c r="I2899" s="3">
        <v>442555.92</v>
      </c>
    </row>
    <row r="2900" spans="1:9" x14ac:dyDescent="0.3">
      <c r="A2900" s="5" t="s">
        <v>235</v>
      </c>
      <c r="B2900" t="s">
        <v>254</v>
      </c>
      <c r="C2900" t="s">
        <v>265</v>
      </c>
      <c r="D2900" t="s">
        <v>266</v>
      </c>
      <c r="E2900" t="s">
        <v>274</v>
      </c>
      <c r="F2900" t="s">
        <v>287</v>
      </c>
      <c r="G2900" s="7">
        <v>8</v>
      </c>
      <c r="H2900" s="3">
        <v>28735</v>
      </c>
      <c r="I2900" s="3">
        <v>229880</v>
      </c>
    </row>
    <row r="2901" spans="1:9" x14ac:dyDescent="0.3">
      <c r="A2901" s="5" t="s">
        <v>235</v>
      </c>
      <c r="B2901" t="s">
        <v>255</v>
      </c>
      <c r="C2901" t="s">
        <v>264</v>
      </c>
      <c r="D2901" t="s">
        <v>269</v>
      </c>
      <c r="E2901" t="s">
        <v>271</v>
      </c>
      <c r="F2901" t="s">
        <v>285</v>
      </c>
      <c r="G2901" s="7">
        <v>5</v>
      </c>
      <c r="H2901" s="3">
        <v>8315.49</v>
      </c>
      <c r="I2901" s="3">
        <v>41577.449999999997</v>
      </c>
    </row>
    <row r="2902" spans="1:9" x14ac:dyDescent="0.3">
      <c r="A2902" s="5" t="s">
        <v>235</v>
      </c>
      <c r="B2902" t="s">
        <v>256</v>
      </c>
      <c r="C2902" t="s">
        <v>261</v>
      </c>
      <c r="D2902" t="s">
        <v>267</v>
      </c>
      <c r="E2902" t="s">
        <v>274</v>
      </c>
      <c r="F2902" t="s">
        <v>280</v>
      </c>
      <c r="G2902" s="7">
        <v>6</v>
      </c>
      <c r="H2902" s="3">
        <v>38305.81</v>
      </c>
      <c r="I2902" s="3">
        <v>229834.86</v>
      </c>
    </row>
    <row r="2903" spans="1:9" x14ac:dyDescent="0.3">
      <c r="A2903" s="5" t="s">
        <v>236</v>
      </c>
      <c r="B2903" t="s">
        <v>256</v>
      </c>
      <c r="C2903" t="s">
        <v>262</v>
      </c>
      <c r="D2903" t="s">
        <v>269</v>
      </c>
      <c r="E2903" t="s">
        <v>274</v>
      </c>
      <c r="F2903" t="s">
        <v>284</v>
      </c>
      <c r="G2903" s="7">
        <v>1</v>
      </c>
      <c r="H2903" s="3">
        <v>30176.87</v>
      </c>
      <c r="I2903" s="3">
        <v>30176.87</v>
      </c>
    </row>
    <row r="2904" spans="1:9" x14ac:dyDescent="0.3">
      <c r="A2904" s="5" t="s">
        <v>236</v>
      </c>
      <c r="B2904" t="s">
        <v>260</v>
      </c>
      <c r="C2904" t="s">
        <v>265</v>
      </c>
      <c r="D2904" t="s">
        <v>270</v>
      </c>
      <c r="E2904" t="s">
        <v>273</v>
      </c>
      <c r="F2904" t="s">
        <v>279</v>
      </c>
      <c r="G2904" s="7">
        <v>1</v>
      </c>
      <c r="H2904" s="3">
        <v>49188.53</v>
      </c>
      <c r="I2904" s="3">
        <v>49188.53</v>
      </c>
    </row>
    <row r="2905" spans="1:9" x14ac:dyDescent="0.3">
      <c r="A2905" s="5" t="s">
        <v>236</v>
      </c>
      <c r="B2905" t="s">
        <v>259</v>
      </c>
      <c r="C2905" t="s">
        <v>263</v>
      </c>
      <c r="D2905" t="s">
        <v>270</v>
      </c>
      <c r="E2905" t="s">
        <v>272</v>
      </c>
      <c r="F2905" t="s">
        <v>290</v>
      </c>
      <c r="G2905" s="7">
        <v>4</v>
      </c>
      <c r="H2905" s="3">
        <v>28309.919999999998</v>
      </c>
      <c r="I2905" s="3">
        <v>113239.67999999999</v>
      </c>
    </row>
    <row r="2906" spans="1:9" x14ac:dyDescent="0.3">
      <c r="A2906" s="5" t="s">
        <v>236</v>
      </c>
      <c r="B2906" t="s">
        <v>258</v>
      </c>
      <c r="C2906" t="s">
        <v>265</v>
      </c>
      <c r="D2906" t="s">
        <v>268</v>
      </c>
      <c r="E2906" t="s">
        <v>272</v>
      </c>
      <c r="F2906" t="s">
        <v>277</v>
      </c>
      <c r="G2906" s="7">
        <v>2</v>
      </c>
      <c r="H2906" s="3">
        <v>26127.85</v>
      </c>
      <c r="I2906" s="3">
        <v>52255.7</v>
      </c>
    </row>
    <row r="2907" spans="1:9" x14ac:dyDescent="0.3">
      <c r="A2907" s="5" t="s">
        <v>236</v>
      </c>
      <c r="B2907" t="s">
        <v>257</v>
      </c>
      <c r="C2907" t="s">
        <v>262</v>
      </c>
      <c r="D2907" t="s">
        <v>268</v>
      </c>
      <c r="E2907" t="s">
        <v>274</v>
      </c>
      <c r="F2907" t="s">
        <v>287</v>
      </c>
      <c r="G2907" s="7">
        <v>7</v>
      </c>
      <c r="H2907" s="3">
        <v>37611.61</v>
      </c>
      <c r="I2907" s="3">
        <v>263281.27</v>
      </c>
    </row>
    <row r="2908" spans="1:9" x14ac:dyDescent="0.3">
      <c r="A2908" s="5" t="s">
        <v>236</v>
      </c>
      <c r="B2908" t="s">
        <v>258</v>
      </c>
      <c r="C2908" t="s">
        <v>264</v>
      </c>
      <c r="D2908" t="s">
        <v>270</v>
      </c>
      <c r="E2908" t="s">
        <v>273</v>
      </c>
      <c r="F2908" t="s">
        <v>288</v>
      </c>
      <c r="G2908" s="7">
        <v>2</v>
      </c>
      <c r="H2908" s="3">
        <v>51620.959999999999</v>
      </c>
      <c r="I2908" s="3">
        <v>103241.92</v>
      </c>
    </row>
    <row r="2909" spans="1:9" x14ac:dyDescent="0.3">
      <c r="A2909" s="5" t="s">
        <v>237</v>
      </c>
      <c r="B2909" t="s">
        <v>255</v>
      </c>
      <c r="C2909" t="s">
        <v>264</v>
      </c>
      <c r="D2909" t="s">
        <v>269</v>
      </c>
      <c r="E2909" t="s">
        <v>271</v>
      </c>
      <c r="F2909" t="s">
        <v>275</v>
      </c>
      <c r="G2909" s="7">
        <v>2</v>
      </c>
      <c r="H2909" s="3">
        <v>9474.41</v>
      </c>
      <c r="I2909" s="3">
        <v>18948.82</v>
      </c>
    </row>
    <row r="2910" spans="1:9" x14ac:dyDescent="0.3">
      <c r="A2910" s="5" t="s">
        <v>237</v>
      </c>
      <c r="B2910" t="s">
        <v>253</v>
      </c>
      <c r="C2910" t="s">
        <v>264</v>
      </c>
      <c r="D2910" t="s">
        <v>270</v>
      </c>
      <c r="E2910" t="s">
        <v>272</v>
      </c>
      <c r="F2910" t="s">
        <v>286</v>
      </c>
      <c r="G2910" s="7">
        <v>5</v>
      </c>
      <c r="H2910" s="3">
        <v>26446.97</v>
      </c>
      <c r="I2910" s="3">
        <v>132234.85</v>
      </c>
    </row>
    <row r="2911" spans="1:9" x14ac:dyDescent="0.3">
      <c r="A2911" s="5" t="s">
        <v>237</v>
      </c>
      <c r="B2911" t="s">
        <v>258</v>
      </c>
      <c r="C2911" t="s">
        <v>263</v>
      </c>
      <c r="D2911" t="s">
        <v>268</v>
      </c>
      <c r="E2911" t="s">
        <v>274</v>
      </c>
      <c r="F2911" t="s">
        <v>284</v>
      </c>
      <c r="G2911" s="7">
        <v>4</v>
      </c>
      <c r="H2911" s="3">
        <v>28452.57</v>
      </c>
      <c r="I2911" s="3">
        <v>113810.28</v>
      </c>
    </row>
    <row r="2912" spans="1:9" x14ac:dyDescent="0.3">
      <c r="A2912" s="5" t="s">
        <v>237</v>
      </c>
      <c r="B2912" t="s">
        <v>254</v>
      </c>
      <c r="C2912" t="s">
        <v>261</v>
      </c>
      <c r="D2912" t="s">
        <v>270</v>
      </c>
      <c r="E2912" t="s">
        <v>272</v>
      </c>
      <c r="F2912" t="s">
        <v>290</v>
      </c>
      <c r="G2912" s="7">
        <v>8</v>
      </c>
      <c r="H2912" s="3">
        <v>30252.98</v>
      </c>
      <c r="I2912" s="3">
        <v>242023.84</v>
      </c>
    </row>
    <row r="2913" spans="1:9" x14ac:dyDescent="0.3">
      <c r="A2913" s="5" t="s">
        <v>237</v>
      </c>
      <c r="B2913" t="s">
        <v>258</v>
      </c>
      <c r="C2913" t="s">
        <v>261</v>
      </c>
      <c r="D2913" t="s">
        <v>270</v>
      </c>
      <c r="E2913" t="s">
        <v>272</v>
      </c>
      <c r="F2913" t="s">
        <v>277</v>
      </c>
      <c r="G2913" s="7">
        <v>4</v>
      </c>
      <c r="H2913" s="3">
        <v>30001.19</v>
      </c>
      <c r="I2913" s="3">
        <v>120004.76</v>
      </c>
    </row>
    <row r="2914" spans="1:9" x14ac:dyDescent="0.3">
      <c r="A2914" s="5" t="s">
        <v>237</v>
      </c>
      <c r="B2914" t="s">
        <v>255</v>
      </c>
      <c r="C2914" t="s">
        <v>265</v>
      </c>
      <c r="D2914" t="s">
        <v>269</v>
      </c>
      <c r="E2914" t="s">
        <v>271</v>
      </c>
      <c r="F2914" t="s">
        <v>282</v>
      </c>
      <c r="G2914" s="7">
        <v>6</v>
      </c>
      <c r="H2914" s="3">
        <v>7865.51</v>
      </c>
      <c r="I2914" s="3">
        <v>47193.06</v>
      </c>
    </row>
    <row r="2915" spans="1:9" x14ac:dyDescent="0.3">
      <c r="A2915" s="5" t="s">
        <v>238</v>
      </c>
      <c r="B2915" t="s">
        <v>257</v>
      </c>
      <c r="C2915" t="s">
        <v>263</v>
      </c>
      <c r="D2915" t="s">
        <v>267</v>
      </c>
      <c r="E2915" t="s">
        <v>273</v>
      </c>
      <c r="F2915" t="s">
        <v>278</v>
      </c>
      <c r="G2915" s="7">
        <v>5</v>
      </c>
      <c r="H2915" s="3">
        <v>39262.44</v>
      </c>
      <c r="I2915" s="3">
        <v>196312.2</v>
      </c>
    </row>
    <row r="2916" spans="1:9" x14ac:dyDescent="0.3">
      <c r="A2916" s="5" t="s">
        <v>238</v>
      </c>
      <c r="B2916" t="s">
        <v>258</v>
      </c>
      <c r="C2916" t="s">
        <v>264</v>
      </c>
      <c r="D2916" t="s">
        <v>268</v>
      </c>
      <c r="E2916" t="s">
        <v>271</v>
      </c>
      <c r="F2916" t="s">
        <v>282</v>
      </c>
      <c r="G2916" s="7">
        <v>2</v>
      </c>
      <c r="H2916" s="3">
        <v>7499.41</v>
      </c>
      <c r="I2916" s="3">
        <v>14998.82</v>
      </c>
    </row>
    <row r="2917" spans="1:9" x14ac:dyDescent="0.3">
      <c r="A2917" s="5" t="s">
        <v>238</v>
      </c>
      <c r="B2917" t="s">
        <v>254</v>
      </c>
      <c r="C2917" t="s">
        <v>264</v>
      </c>
      <c r="D2917" t="s">
        <v>269</v>
      </c>
      <c r="E2917" t="s">
        <v>273</v>
      </c>
      <c r="F2917" t="s">
        <v>278</v>
      </c>
      <c r="G2917" s="7">
        <v>8</v>
      </c>
      <c r="H2917" s="3">
        <v>56119.88</v>
      </c>
      <c r="I2917" s="3">
        <v>448959.04</v>
      </c>
    </row>
    <row r="2918" spans="1:9" x14ac:dyDescent="0.3">
      <c r="A2918" s="5" t="s">
        <v>238</v>
      </c>
      <c r="B2918" t="s">
        <v>260</v>
      </c>
      <c r="C2918" t="s">
        <v>262</v>
      </c>
      <c r="D2918" t="s">
        <v>270</v>
      </c>
      <c r="E2918" t="s">
        <v>272</v>
      </c>
      <c r="F2918" t="s">
        <v>276</v>
      </c>
      <c r="G2918" s="7">
        <v>2</v>
      </c>
      <c r="H2918" s="3">
        <v>32576.14</v>
      </c>
      <c r="I2918" s="3">
        <v>65152.28</v>
      </c>
    </row>
    <row r="2919" spans="1:9" x14ac:dyDescent="0.3">
      <c r="A2919" s="5" t="s">
        <v>238</v>
      </c>
      <c r="B2919" t="s">
        <v>253</v>
      </c>
      <c r="C2919" t="s">
        <v>262</v>
      </c>
      <c r="D2919" t="s">
        <v>270</v>
      </c>
      <c r="E2919" t="s">
        <v>274</v>
      </c>
      <c r="F2919" t="s">
        <v>284</v>
      </c>
      <c r="G2919" s="7">
        <v>9</v>
      </c>
      <c r="H2919" s="3">
        <v>39001.440000000002</v>
      </c>
      <c r="I2919" s="3">
        <v>351012.96</v>
      </c>
    </row>
    <row r="2920" spans="1:9" x14ac:dyDescent="0.3">
      <c r="A2920" s="5" t="s">
        <v>238</v>
      </c>
      <c r="B2920" t="s">
        <v>255</v>
      </c>
      <c r="C2920" t="s">
        <v>264</v>
      </c>
      <c r="D2920" t="s">
        <v>267</v>
      </c>
      <c r="E2920" t="s">
        <v>271</v>
      </c>
      <c r="F2920" t="s">
        <v>281</v>
      </c>
      <c r="G2920" s="7">
        <v>9</v>
      </c>
      <c r="H2920" s="3">
        <v>7888.19</v>
      </c>
      <c r="I2920" s="3">
        <v>70993.710000000006</v>
      </c>
    </row>
    <row r="2921" spans="1:9" x14ac:dyDescent="0.3">
      <c r="A2921" s="5" t="s">
        <v>239</v>
      </c>
      <c r="B2921" t="s">
        <v>260</v>
      </c>
      <c r="C2921" t="s">
        <v>264</v>
      </c>
      <c r="D2921" t="s">
        <v>268</v>
      </c>
      <c r="E2921" t="s">
        <v>273</v>
      </c>
      <c r="F2921" t="s">
        <v>279</v>
      </c>
      <c r="G2921" s="7">
        <v>3</v>
      </c>
      <c r="H2921" s="3">
        <v>55540.23</v>
      </c>
      <c r="I2921" s="3">
        <v>166620.69</v>
      </c>
    </row>
    <row r="2922" spans="1:9" x14ac:dyDescent="0.3">
      <c r="A2922" s="5" t="s">
        <v>239</v>
      </c>
      <c r="B2922" t="s">
        <v>260</v>
      </c>
      <c r="C2922" t="s">
        <v>263</v>
      </c>
      <c r="D2922" t="s">
        <v>268</v>
      </c>
      <c r="E2922" t="s">
        <v>272</v>
      </c>
      <c r="F2922" t="s">
        <v>277</v>
      </c>
      <c r="G2922" s="7">
        <v>4</v>
      </c>
      <c r="H2922" s="3">
        <v>25397.73</v>
      </c>
      <c r="I2922" s="3">
        <v>101590.92</v>
      </c>
    </row>
    <row r="2923" spans="1:9" x14ac:dyDescent="0.3">
      <c r="A2923" s="5" t="s">
        <v>239</v>
      </c>
      <c r="B2923" t="s">
        <v>260</v>
      </c>
      <c r="C2923" t="s">
        <v>261</v>
      </c>
      <c r="D2923" t="s">
        <v>266</v>
      </c>
      <c r="E2923" t="s">
        <v>273</v>
      </c>
      <c r="F2923" t="s">
        <v>279</v>
      </c>
      <c r="G2923" s="7">
        <v>8</v>
      </c>
      <c r="H2923" s="3">
        <v>47413.47</v>
      </c>
      <c r="I2923" s="3">
        <v>379307.76</v>
      </c>
    </row>
    <row r="2924" spans="1:9" x14ac:dyDescent="0.3">
      <c r="A2924" s="5" t="s">
        <v>239</v>
      </c>
      <c r="B2924" t="s">
        <v>256</v>
      </c>
      <c r="C2924" t="s">
        <v>262</v>
      </c>
      <c r="D2924" t="s">
        <v>268</v>
      </c>
      <c r="E2924" t="s">
        <v>273</v>
      </c>
      <c r="F2924" t="s">
        <v>288</v>
      </c>
      <c r="G2924" s="7">
        <v>9</v>
      </c>
      <c r="H2924" s="3">
        <v>53184.52</v>
      </c>
      <c r="I2924" s="3">
        <v>478660.68</v>
      </c>
    </row>
    <row r="2925" spans="1:9" x14ac:dyDescent="0.3">
      <c r="A2925" s="5" t="s">
        <v>239</v>
      </c>
      <c r="B2925" t="s">
        <v>253</v>
      </c>
      <c r="C2925" t="s">
        <v>261</v>
      </c>
      <c r="D2925" t="s">
        <v>267</v>
      </c>
      <c r="E2925" t="s">
        <v>273</v>
      </c>
      <c r="F2925" t="s">
        <v>283</v>
      </c>
      <c r="G2925" s="7">
        <v>3</v>
      </c>
      <c r="H2925" s="3">
        <v>44546.46</v>
      </c>
      <c r="I2925" s="3">
        <v>133639.38</v>
      </c>
    </row>
    <row r="2926" spans="1:9" x14ac:dyDescent="0.3">
      <c r="A2926" s="5" t="s">
        <v>239</v>
      </c>
      <c r="B2926" t="s">
        <v>257</v>
      </c>
      <c r="C2926" t="s">
        <v>263</v>
      </c>
      <c r="D2926" t="s">
        <v>266</v>
      </c>
      <c r="E2926" t="s">
        <v>272</v>
      </c>
      <c r="F2926" t="s">
        <v>290</v>
      </c>
      <c r="G2926" s="7">
        <v>5</v>
      </c>
      <c r="H2926" s="3">
        <v>28558.080000000002</v>
      </c>
      <c r="I2926" s="3">
        <v>142790.39999999999</v>
      </c>
    </row>
    <row r="2927" spans="1:9" x14ac:dyDescent="0.3">
      <c r="A2927" s="5" t="s">
        <v>240</v>
      </c>
      <c r="B2927" t="s">
        <v>259</v>
      </c>
      <c r="C2927" t="s">
        <v>264</v>
      </c>
      <c r="D2927" t="s">
        <v>266</v>
      </c>
      <c r="E2927" t="s">
        <v>274</v>
      </c>
      <c r="F2927" t="s">
        <v>289</v>
      </c>
      <c r="G2927" s="7">
        <v>8</v>
      </c>
      <c r="H2927" s="3">
        <v>28840.77</v>
      </c>
      <c r="I2927" s="3">
        <v>230726.16</v>
      </c>
    </row>
    <row r="2928" spans="1:9" x14ac:dyDescent="0.3">
      <c r="A2928" s="5" t="s">
        <v>240</v>
      </c>
      <c r="B2928" t="s">
        <v>253</v>
      </c>
      <c r="C2928" t="s">
        <v>261</v>
      </c>
      <c r="D2928" t="s">
        <v>270</v>
      </c>
      <c r="E2928" t="s">
        <v>274</v>
      </c>
      <c r="F2928" t="s">
        <v>284</v>
      </c>
      <c r="G2928" s="7">
        <v>3</v>
      </c>
      <c r="H2928" s="3">
        <v>28773.4</v>
      </c>
      <c r="I2928" s="3">
        <v>86320.2</v>
      </c>
    </row>
    <row r="2929" spans="1:9" x14ac:dyDescent="0.3">
      <c r="A2929" s="5" t="s">
        <v>240</v>
      </c>
      <c r="B2929" t="s">
        <v>256</v>
      </c>
      <c r="C2929" t="s">
        <v>264</v>
      </c>
      <c r="D2929" t="s">
        <v>270</v>
      </c>
      <c r="E2929" t="s">
        <v>274</v>
      </c>
      <c r="F2929" t="s">
        <v>287</v>
      </c>
      <c r="G2929" s="7">
        <v>7</v>
      </c>
      <c r="H2929" s="3">
        <v>35130.47</v>
      </c>
      <c r="I2929" s="3">
        <v>245913.29</v>
      </c>
    </row>
    <row r="2930" spans="1:9" x14ac:dyDescent="0.3">
      <c r="A2930" s="5" t="s">
        <v>240</v>
      </c>
      <c r="B2930" t="s">
        <v>259</v>
      </c>
      <c r="C2930" t="s">
        <v>264</v>
      </c>
      <c r="D2930" t="s">
        <v>268</v>
      </c>
      <c r="E2930" t="s">
        <v>273</v>
      </c>
      <c r="F2930" t="s">
        <v>279</v>
      </c>
      <c r="G2930" s="7">
        <v>8</v>
      </c>
      <c r="H2930" s="3">
        <v>50409.58</v>
      </c>
      <c r="I2930" s="3">
        <v>403276.64</v>
      </c>
    </row>
    <row r="2931" spans="1:9" x14ac:dyDescent="0.3">
      <c r="A2931" s="5" t="s">
        <v>240</v>
      </c>
      <c r="B2931" t="s">
        <v>253</v>
      </c>
      <c r="C2931" t="s">
        <v>265</v>
      </c>
      <c r="D2931" t="s">
        <v>266</v>
      </c>
      <c r="E2931" t="s">
        <v>272</v>
      </c>
      <c r="F2931" t="s">
        <v>290</v>
      </c>
      <c r="G2931" s="7">
        <v>3</v>
      </c>
      <c r="H2931" s="3">
        <v>32506.12</v>
      </c>
      <c r="I2931" s="3">
        <v>97518.36</v>
      </c>
    </row>
    <row r="2932" spans="1:9" x14ac:dyDescent="0.3">
      <c r="A2932" s="5" t="s">
        <v>240</v>
      </c>
      <c r="B2932" t="s">
        <v>260</v>
      </c>
      <c r="C2932" t="s">
        <v>261</v>
      </c>
      <c r="D2932" t="s">
        <v>270</v>
      </c>
      <c r="E2932" t="s">
        <v>273</v>
      </c>
      <c r="F2932" t="s">
        <v>278</v>
      </c>
      <c r="G2932" s="7">
        <v>2</v>
      </c>
      <c r="H2932" s="3">
        <v>48270.28</v>
      </c>
      <c r="I2932" s="3">
        <v>96540.56</v>
      </c>
    </row>
    <row r="2933" spans="1:9" x14ac:dyDescent="0.3">
      <c r="A2933" s="5" t="s">
        <v>240</v>
      </c>
      <c r="B2933" t="s">
        <v>255</v>
      </c>
      <c r="C2933" t="s">
        <v>261</v>
      </c>
      <c r="D2933" t="s">
        <v>267</v>
      </c>
      <c r="E2933" t="s">
        <v>274</v>
      </c>
      <c r="F2933" t="s">
        <v>289</v>
      </c>
      <c r="G2933" s="7">
        <v>7</v>
      </c>
      <c r="H2933" s="3">
        <v>35465.72</v>
      </c>
      <c r="I2933" s="3">
        <v>248260.04</v>
      </c>
    </row>
    <row r="2934" spans="1:9" x14ac:dyDescent="0.3">
      <c r="A2934" s="5" t="s">
        <v>241</v>
      </c>
      <c r="B2934" t="s">
        <v>259</v>
      </c>
      <c r="C2934" t="s">
        <v>264</v>
      </c>
      <c r="D2934" t="s">
        <v>270</v>
      </c>
      <c r="E2934" t="s">
        <v>274</v>
      </c>
      <c r="F2934" t="s">
        <v>284</v>
      </c>
      <c r="G2934" s="7">
        <v>9</v>
      </c>
      <c r="H2934" s="3">
        <v>27373.02</v>
      </c>
      <c r="I2934" s="3">
        <v>246357.18</v>
      </c>
    </row>
    <row r="2935" spans="1:9" x14ac:dyDescent="0.3">
      <c r="A2935" s="5" t="s">
        <v>241</v>
      </c>
      <c r="B2935" t="s">
        <v>254</v>
      </c>
      <c r="C2935" t="s">
        <v>263</v>
      </c>
      <c r="D2935" t="s">
        <v>270</v>
      </c>
      <c r="E2935" t="s">
        <v>272</v>
      </c>
      <c r="F2935" t="s">
        <v>277</v>
      </c>
      <c r="G2935" s="7">
        <v>1</v>
      </c>
      <c r="H2935" s="3">
        <v>25616.31</v>
      </c>
      <c r="I2935" s="3">
        <v>25616.31</v>
      </c>
    </row>
    <row r="2936" spans="1:9" x14ac:dyDescent="0.3">
      <c r="A2936" s="5" t="s">
        <v>241</v>
      </c>
      <c r="B2936" t="s">
        <v>254</v>
      </c>
      <c r="C2936" t="s">
        <v>265</v>
      </c>
      <c r="D2936" t="s">
        <v>266</v>
      </c>
      <c r="E2936" t="s">
        <v>273</v>
      </c>
      <c r="F2936" t="s">
        <v>283</v>
      </c>
      <c r="G2936" s="7">
        <v>3</v>
      </c>
      <c r="H2936" s="3">
        <v>55978.47</v>
      </c>
      <c r="I2936" s="3">
        <v>167935.41</v>
      </c>
    </row>
    <row r="2937" spans="1:9" x14ac:dyDescent="0.3">
      <c r="A2937" s="5" t="s">
        <v>241</v>
      </c>
      <c r="B2937" t="s">
        <v>258</v>
      </c>
      <c r="C2937" t="s">
        <v>264</v>
      </c>
      <c r="D2937" t="s">
        <v>266</v>
      </c>
      <c r="E2937" t="s">
        <v>271</v>
      </c>
      <c r="F2937" t="s">
        <v>285</v>
      </c>
      <c r="G2937" s="7">
        <v>5</v>
      </c>
      <c r="H2937" s="3">
        <v>7483.38</v>
      </c>
      <c r="I2937" s="3">
        <v>37416.9</v>
      </c>
    </row>
    <row r="2938" spans="1:9" x14ac:dyDescent="0.3">
      <c r="A2938" s="5" t="s">
        <v>241</v>
      </c>
      <c r="B2938" t="s">
        <v>259</v>
      </c>
      <c r="C2938" t="s">
        <v>262</v>
      </c>
      <c r="D2938" t="s">
        <v>269</v>
      </c>
      <c r="E2938" t="s">
        <v>271</v>
      </c>
      <c r="F2938" t="s">
        <v>281</v>
      </c>
      <c r="G2938" s="7">
        <v>3</v>
      </c>
      <c r="H2938" s="3">
        <v>9532.8799999999992</v>
      </c>
      <c r="I2938" s="3">
        <v>28598.639999999999</v>
      </c>
    </row>
    <row r="2939" spans="1:9" x14ac:dyDescent="0.3">
      <c r="A2939" s="5" t="s">
        <v>241</v>
      </c>
      <c r="B2939" t="s">
        <v>255</v>
      </c>
      <c r="C2939" t="s">
        <v>262</v>
      </c>
      <c r="D2939" t="s">
        <v>267</v>
      </c>
      <c r="E2939" t="s">
        <v>274</v>
      </c>
      <c r="F2939" t="s">
        <v>284</v>
      </c>
      <c r="G2939" s="7">
        <v>1</v>
      </c>
      <c r="H2939" s="3">
        <v>29453.86</v>
      </c>
      <c r="I2939" s="3">
        <v>29453.86</v>
      </c>
    </row>
    <row r="2940" spans="1:9" x14ac:dyDescent="0.3">
      <c r="A2940" s="5" t="s">
        <v>242</v>
      </c>
      <c r="B2940" t="s">
        <v>257</v>
      </c>
      <c r="C2940" t="s">
        <v>265</v>
      </c>
      <c r="D2940" t="s">
        <v>266</v>
      </c>
      <c r="E2940" t="s">
        <v>272</v>
      </c>
      <c r="F2940" t="s">
        <v>286</v>
      </c>
      <c r="G2940" s="7">
        <v>7</v>
      </c>
      <c r="H2940" s="3">
        <v>31827.25</v>
      </c>
      <c r="I2940" s="3">
        <v>222790.75</v>
      </c>
    </row>
    <row r="2941" spans="1:9" x14ac:dyDescent="0.3">
      <c r="A2941" s="5" t="s">
        <v>242</v>
      </c>
      <c r="B2941" t="s">
        <v>256</v>
      </c>
      <c r="C2941" t="s">
        <v>263</v>
      </c>
      <c r="D2941" t="s">
        <v>268</v>
      </c>
      <c r="E2941" t="s">
        <v>273</v>
      </c>
      <c r="F2941" t="s">
        <v>283</v>
      </c>
      <c r="G2941" s="7">
        <v>7</v>
      </c>
      <c r="H2941" s="3">
        <v>50957.83</v>
      </c>
      <c r="I2941" s="3">
        <v>356704.81</v>
      </c>
    </row>
    <row r="2942" spans="1:9" x14ac:dyDescent="0.3">
      <c r="A2942" s="5" t="s">
        <v>242</v>
      </c>
      <c r="B2942" t="s">
        <v>260</v>
      </c>
      <c r="C2942" t="s">
        <v>264</v>
      </c>
      <c r="D2942" t="s">
        <v>267</v>
      </c>
      <c r="E2942" t="s">
        <v>273</v>
      </c>
      <c r="F2942" t="s">
        <v>283</v>
      </c>
      <c r="G2942" s="7">
        <v>8</v>
      </c>
      <c r="H2942" s="3">
        <v>42465.58</v>
      </c>
      <c r="I2942" s="3">
        <v>339724.64</v>
      </c>
    </row>
    <row r="2943" spans="1:9" x14ac:dyDescent="0.3">
      <c r="A2943" s="5" t="s">
        <v>242</v>
      </c>
      <c r="B2943" t="s">
        <v>258</v>
      </c>
      <c r="C2943" t="s">
        <v>261</v>
      </c>
      <c r="D2943" t="s">
        <v>267</v>
      </c>
      <c r="E2943" t="s">
        <v>274</v>
      </c>
      <c r="F2943" t="s">
        <v>284</v>
      </c>
      <c r="G2943" s="7">
        <v>5</v>
      </c>
      <c r="H2943" s="3">
        <v>30651.32</v>
      </c>
      <c r="I2943" s="3">
        <v>153256.6</v>
      </c>
    </row>
    <row r="2944" spans="1:9" x14ac:dyDescent="0.3">
      <c r="A2944" s="5" t="s">
        <v>242</v>
      </c>
      <c r="B2944" t="s">
        <v>254</v>
      </c>
      <c r="C2944" t="s">
        <v>265</v>
      </c>
      <c r="D2944" t="s">
        <v>266</v>
      </c>
      <c r="E2944" t="s">
        <v>274</v>
      </c>
      <c r="F2944" t="s">
        <v>280</v>
      </c>
      <c r="G2944" s="7">
        <v>5</v>
      </c>
      <c r="H2944" s="3">
        <v>35581.07</v>
      </c>
      <c r="I2944" s="3">
        <v>177905.35</v>
      </c>
    </row>
    <row r="2945" spans="1:9" x14ac:dyDescent="0.3">
      <c r="A2945" s="5" t="s">
        <v>242</v>
      </c>
      <c r="B2945" t="s">
        <v>256</v>
      </c>
      <c r="C2945" t="s">
        <v>263</v>
      </c>
      <c r="D2945" t="s">
        <v>267</v>
      </c>
      <c r="E2945" t="s">
        <v>273</v>
      </c>
      <c r="F2945" t="s">
        <v>279</v>
      </c>
      <c r="G2945" s="7">
        <v>5</v>
      </c>
      <c r="H2945" s="3">
        <v>45271.55</v>
      </c>
      <c r="I2945" s="3">
        <v>226357.75</v>
      </c>
    </row>
    <row r="2946" spans="1:9" x14ac:dyDescent="0.3">
      <c r="A2946" s="5" t="s">
        <v>243</v>
      </c>
      <c r="B2946" t="s">
        <v>256</v>
      </c>
      <c r="C2946" t="s">
        <v>261</v>
      </c>
      <c r="D2946" t="s">
        <v>266</v>
      </c>
      <c r="E2946" t="s">
        <v>273</v>
      </c>
      <c r="F2946" t="s">
        <v>288</v>
      </c>
      <c r="G2946" s="7">
        <v>1</v>
      </c>
      <c r="H2946" s="3">
        <v>41751.86</v>
      </c>
      <c r="I2946" s="3">
        <v>41751.86</v>
      </c>
    </row>
    <row r="2947" spans="1:9" x14ac:dyDescent="0.3">
      <c r="A2947" s="5" t="s">
        <v>243</v>
      </c>
      <c r="B2947" t="s">
        <v>260</v>
      </c>
      <c r="C2947" t="s">
        <v>262</v>
      </c>
      <c r="D2947" t="s">
        <v>270</v>
      </c>
      <c r="E2947" t="s">
        <v>274</v>
      </c>
      <c r="F2947" t="s">
        <v>289</v>
      </c>
      <c r="G2947" s="7">
        <v>5</v>
      </c>
      <c r="H2947" s="3">
        <v>36565.5</v>
      </c>
      <c r="I2947" s="3">
        <v>182827.5</v>
      </c>
    </row>
    <row r="2948" spans="1:9" x14ac:dyDescent="0.3">
      <c r="A2948" s="5" t="s">
        <v>243</v>
      </c>
      <c r="B2948" t="s">
        <v>257</v>
      </c>
      <c r="C2948" t="s">
        <v>262</v>
      </c>
      <c r="D2948" t="s">
        <v>269</v>
      </c>
      <c r="E2948" t="s">
        <v>273</v>
      </c>
      <c r="F2948" t="s">
        <v>283</v>
      </c>
      <c r="G2948" s="7">
        <v>6</v>
      </c>
      <c r="H2948" s="3">
        <v>41024.660000000003</v>
      </c>
      <c r="I2948" s="3">
        <v>246147.96</v>
      </c>
    </row>
    <row r="2949" spans="1:9" x14ac:dyDescent="0.3">
      <c r="A2949" s="5" t="s">
        <v>243</v>
      </c>
      <c r="B2949" t="s">
        <v>257</v>
      </c>
      <c r="C2949" t="s">
        <v>261</v>
      </c>
      <c r="D2949" t="s">
        <v>270</v>
      </c>
      <c r="E2949" t="s">
        <v>271</v>
      </c>
      <c r="F2949" t="s">
        <v>281</v>
      </c>
      <c r="G2949" s="7">
        <v>1</v>
      </c>
      <c r="H2949" s="3">
        <v>10134.19</v>
      </c>
      <c r="I2949" s="3">
        <v>10134.19</v>
      </c>
    </row>
    <row r="2950" spans="1:9" x14ac:dyDescent="0.3">
      <c r="A2950" s="5" t="s">
        <v>243</v>
      </c>
      <c r="B2950" t="s">
        <v>259</v>
      </c>
      <c r="C2950" t="s">
        <v>265</v>
      </c>
      <c r="D2950" t="s">
        <v>266</v>
      </c>
      <c r="E2950" t="s">
        <v>274</v>
      </c>
      <c r="F2950" t="s">
        <v>287</v>
      </c>
      <c r="G2950" s="7">
        <v>7</v>
      </c>
      <c r="H2950" s="3">
        <v>33787.769999999997</v>
      </c>
      <c r="I2950" s="3">
        <v>236514.39</v>
      </c>
    </row>
    <row r="2951" spans="1:9" x14ac:dyDescent="0.3">
      <c r="A2951" s="5" t="s">
        <v>243</v>
      </c>
      <c r="B2951" t="s">
        <v>254</v>
      </c>
      <c r="C2951" t="s">
        <v>262</v>
      </c>
      <c r="D2951" t="s">
        <v>266</v>
      </c>
      <c r="E2951" t="s">
        <v>273</v>
      </c>
      <c r="F2951" t="s">
        <v>279</v>
      </c>
      <c r="G2951" s="7">
        <v>1</v>
      </c>
      <c r="H2951" s="3">
        <v>40152.61</v>
      </c>
      <c r="I2951" s="3">
        <v>40152.61</v>
      </c>
    </row>
    <row r="2952" spans="1:9" x14ac:dyDescent="0.3">
      <c r="A2952" s="5" t="s">
        <v>244</v>
      </c>
      <c r="B2952" t="s">
        <v>257</v>
      </c>
      <c r="C2952" t="s">
        <v>264</v>
      </c>
      <c r="D2952" t="s">
        <v>270</v>
      </c>
      <c r="E2952" t="s">
        <v>274</v>
      </c>
      <c r="F2952" t="s">
        <v>280</v>
      </c>
      <c r="G2952" s="7">
        <v>2</v>
      </c>
      <c r="H2952" s="3">
        <v>36084.129999999997</v>
      </c>
      <c r="I2952" s="3">
        <v>72168.259999999995</v>
      </c>
    </row>
    <row r="2953" spans="1:9" x14ac:dyDescent="0.3">
      <c r="A2953" s="5" t="s">
        <v>244</v>
      </c>
      <c r="B2953" t="s">
        <v>255</v>
      </c>
      <c r="C2953" t="s">
        <v>261</v>
      </c>
      <c r="D2953" t="s">
        <v>268</v>
      </c>
      <c r="E2953" t="s">
        <v>272</v>
      </c>
      <c r="F2953" t="s">
        <v>277</v>
      </c>
      <c r="G2953" s="7">
        <v>2</v>
      </c>
      <c r="H2953" s="3">
        <v>29614.63</v>
      </c>
      <c r="I2953" s="3">
        <v>59229.26</v>
      </c>
    </row>
    <row r="2954" spans="1:9" x14ac:dyDescent="0.3">
      <c r="A2954" s="5" t="s">
        <v>244</v>
      </c>
      <c r="B2954" t="s">
        <v>257</v>
      </c>
      <c r="C2954" t="s">
        <v>261</v>
      </c>
      <c r="D2954" t="s">
        <v>268</v>
      </c>
      <c r="E2954" t="s">
        <v>274</v>
      </c>
      <c r="F2954" t="s">
        <v>287</v>
      </c>
      <c r="G2954" s="7">
        <v>5</v>
      </c>
      <c r="H2954" s="3">
        <v>31015.14</v>
      </c>
      <c r="I2954" s="3">
        <v>155075.70000000001</v>
      </c>
    </row>
    <row r="2955" spans="1:9" x14ac:dyDescent="0.3">
      <c r="A2955" s="5" t="s">
        <v>244</v>
      </c>
      <c r="B2955" t="s">
        <v>256</v>
      </c>
      <c r="C2955" t="s">
        <v>262</v>
      </c>
      <c r="D2955" t="s">
        <v>268</v>
      </c>
      <c r="E2955" t="s">
        <v>274</v>
      </c>
      <c r="F2955" t="s">
        <v>284</v>
      </c>
      <c r="G2955" s="7">
        <v>7</v>
      </c>
      <c r="H2955" s="3">
        <v>32608.5</v>
      </c>
      <c r="I2955" s="3">
        <v>228259.5</v>
      </c>
    </row>
    <row r="2956" spans="1:9" x14ac:dyDescent="0.3">
      <c r="A2956" s="5" t="s">
        <v>244</v>
      </c>
      <c r="B2956" t="s">
        <v>260</v>
      </c>
      <c r="C2956" t="s">
        <v>265</v>
      </c>
      <c r="D2956" t="s">
        <v>266</v>
      </c>
      <c r="E2956" t="s">
        <v>272</v>
      </c>
      <c r="F2956" t="s">
        <v>276</v>
      </c>
      <c r="G2956" s="7">
        <v>1</v>
      </c>
      <c r="H2956" s="3">
        <v>27141.38</v>
      </c>
      <c r="I2956" s="3">
        <v>27141.38</v>
      </c>
    </row>
    <row r="2957" spans="1:9" x14ac:dyDescent="0.3">
      <c r="A2957" s="5" t="s">
        <v>244</v>
      </c>
      <c r="B2957" t="s">
        <v>255</v>
      </c>
      <c r="C2957" t="s">
        <v>264</v>
      </c>
      <c r="D2957" t="s">
        <v>267</v>
      </c>
      <c r="E2957" t="s">
        <v>271</v>
      </c>
      <c r="F2957" t="s">
        <v>285</v>
      </c>
      <c r="G2957" s="7">
        <v>1</v>
      </c>
      <c r="H2957" s="3">
        <v>8119.29</v>
      </c>
      <c r="I2957" s="3">
        <v>8119.29</v>
      </c>
    </row>
    <row r="2958" spans="1:9" x14ac:dyDescent="0.3">
      <c r="A2958" s="5" t="s">
        <v>245</v>
      </c>
      <c r="B2958" t="s">
        <v>259</v>
      </c>
      <c r="C2958" t="s">
        <v>265</v>
      </c>
      <c r="D2958" t="s">
        <v>266</v>
      </c>
      <c r="E2958" t="s">
        <v>273</v>
      </c>
      <c r="F2958" t="s">
        <v>288</v>
      </c>
      <c r="G2958" s="7">
        <v>1</v>
      </c>
      <c r="H2958" s="3">
        <v>41194.949999999997</v>
      </c>
      <c r="I2958" s="3">
        <v>41194.949999999997</v>
      </c>
    </row>
    <row r="2959" spans="1:9" x14ac:dyDescent="0.3">
      <c r="A2959" s="5" t="s">
        <v>245</v>
      </c>
      <c r="B2959" t="s">
        <v>254</v>
      </c>
      <c r="C2959" t="s">
        <v>263</v>
      </c>
      <c r="D2959" t="s">
        <v>267</v>
      </c>
      <c r="E2959" t="s">
        <v>272</v>
      </c>
      <c r="F2959" t="s">
        <v>286</v>
      </c>
      <c r="G2959" s="7">
        <v>6</v>
      </c>
      <c r="H2959" s="3">
        <v>27862.99</v>
      </c>
      <c r="I2959" s="3">
        <v>167177.94</v>
      </c>
    </row>
    <row r="2960" spans="1:9" x14ac:dyDescent="0.3">
      <c r="A2960" s="5" t="s">
        <v>245</v>
      </c>
      <c r="B2960" t="s">
        <v>259</v>
      </c>
      <c r="C2960" t="s">
        <v>263</v>
      </c>
      <c r="D2960" t="s">
        <v>270</v>
      </c>
      <c r="E2960" t="s">
        <v>274</v>
      </c>
      <c r="F2960" t="s">
        <v>287</v>
      </c>
      <c r="G2960" s="7">
        <v>2</v>
      </c>
      <c r="H2960" s="3">
        <v>30412.639999999999</v>
      </c>
      <c r="I2960" s="3">
        <v>60825.279999999999</v>
      </c>
    </row>
    <row r="2961" spans="1:9" x14ac:dyDescent="0.3">
      <c r="A2961" s="5" t="s">
        <v>245</v>
      </c>
      <c r="B2961" t="s">
        <v>256</v>
      </c>
      <c r="C2961" t="s">
        <v>262</v>
      </c>
      <c r="D2961" t="s">
        <v>269</v>
      </c>
      <c r="E2961" t="s">
        <v>273</v>
      </c>
      <c r="F2961" t="s">
        <v>278</v>
      </c>
      <c r="G2961" s="7">
        <v>1</v>
      </c>
      <c r="H2961" s="3">
        <v>50551.82</v>
      </c>
      <c r="I2961" s="3">
        <v>50551.82</v>
      </c>
    </row>
    <row r="2962" spans="1:9" x14ac:dyDescent="0.3">
      <c r="A2962" s="5" t="s">
        <v>245</v>
      </c>
      <c r="B2962" t="s">
        <v>255</v>
      </c>
      <c r="C2962" t="s">
        <v>262</v>
      </c>
      <c r="D2962" t="s">
        <v>267</v>
      </c>
      <c r="E2962" t="s">
        <v>272</v>
      </c>
      <c r="F2962" t="s">
        <v>276</v>
      </c>
      <c r="G2962" s="7">
        <v>6</v>
      </c>
      <c r="H2962" s="3">
        <v>31459.42</v>
      </c>
      <c r="I2962" s="3">
        <v>188756.52</v>
      </c>
    </row>
    <row r="2963" spans="1:9" x14ac:dyDescent="0.3">
      <c r="A2963" s="5" t="s">
        <v>245</v>
      </c>
      <c r="B2963" t="s">
        <v>255</v>
      </c>
      <c r="C2963" t="s">
        <v>262</v>
      </c>
      <c r="D2963" t="s">
        <v>268</v>
      </c>
      <c r="E2963" t="s">
        <v>273</v>
      </c>
      <c r="F2963" t="s">
        <v>279</v>
      </c>
      <c r="G2963" s="7">
        <v>2</v>
      </c>
      <c r="H2963" s="3">
        <v>47283.12</v>
      </c>
      <c r="I2963" s="3">
        <v>94566.24</v>
      </c>
    </row>
    <row r="2964" spans="1:9" x14ac:dyDescent="0.3">
      <c r="A2964" s="5" t="s">
        <v>246</v>
      </c>
      <c r="B2964" t="s">
        <v>255</v>
      </c>
      <c r="C2964" t="s">
        <v>263</v>
      </c>
      <c r="D2964" t="s">
        <v>266</v>
      </c>
      <c r="E2964" t="s">
        <v>273</v>
      </c>
      <c r="F2964" t="s">
        <v>278</v>
      </c>
      <c r="G2964" s="7">
        <v>6</v>
      </c>
      <c r="H2964" s="3">
        <v>52253</v>
      </c>
      <c r="I2964" s="3">
        <v>313518</v>
      </c>
    </row>
    <row r="2965" spans="1:9" x14ac:dyDescent="0.3">
      <c r="A2965" s="5" t="s">
        <v>246</v>
      </c>
      <c r="B2965" t="s">
        <v>256</v>
      </c>
      <c r="C2965" t="s">
        <v>265</v>
      </c>
      <c r="D2965" t="s">
        <v>270</v>
      </c>
      <c r="E2965" t="s">
        <v>272</v>
      </c>
      <c r="F2965" t="s">
        <v>276</v>
      </c>
      <c r="G2965" s="7">
        <v>8</v>
      </c>
      <c r="H2965" s="3">
        <v>33223</v>
      </c>
      <c r="I2965" s="3">
        <v>265784</v>
      </c>
    </row>
    <row r="2966" spans="1:9" x14ac:dyDescent="0.3">
      <c r="A2966" s="5" t="s">
        <v>246</v>
      </c>
      <c r="B2966" t="s">
        <v>256</v>
      </c>
      <c r="C2966" t="s">
        <v>265</v>
      </c>
      <c r="D2966" t="s">
        <v>268</v>
      </c>
      <c r="E2966" t="s">
        <v>273</v>
      </c>
      <c r="F2966" t="s">
        <v>288</v>
      </c>
      <c r="G2966" s="7">
        <v>2</v>
      </c>
      <c r="H2966" s="3">
        <v>48685.8</v>
      </c>
      <c r="I2966" s="3">
        <v>97371.6</v>
      </c>
    </row>
    <row r="2967" spans="1:9" x14ac:dyDescent="0.3">
      <c r="A2967" s="5" t="s">
        <v>246</v>
      </c>
      <c r="B2967" t="s">
        <v>259</v>
      </c>
      <c r="C2967" t="s">
        <v>262</v>
      </c>
      <c r="D2967" t="s">
        <v>270</v>
      </c>
      <c r="E2967" t="s">
        <v>271</v>
      </c>
      <c r="F2967" t="s">
        <v>281</v>
      </c>
      <c r="G2967" s="7">
        <v>9</v>
      </c>
      <c r="H2967" s="3">
        <v>9329.3799999999992</v>
      </c>
      <c r="I2967" s="3">
        <v>83964.42</v>
      </c>
    </row>
    <row r="2968" spans="1:9" x14ac:dyDescent="0.3">
      <c r="A2968" s="5" t="s">
        <v>246</v>
      </c>
      <c r="B2968" t="s">
        <v>258</v>
      </c>
      <c r="C2968" t="s">
        <v>264</v>
      </c>
      <c r="D2968" t="s">
        <v>269</v>
      </c>
      <c r="E2968" t="s">
        <v>272</v>
      </c>
      <c r="F2968" t="s">
        <v>277</v>
      </c>
      <c r="G2968" s="7">
        <v>8</v>
      </c>
      <c r="H2968" s="3">
        <v>26968.32</v>
      </c>
      <c r="I2968" s="3">
        <v>215746.56</v>
      </c>
    </row>
    <row r="2969" spans="1:9" x14ac:dyDescent="0.3">
      <c r="A2969" s="5" t="s">
        <v>246</v>
      </c>
      <c r="B2969" t="s">
        <v>259</v>
      </c>
      <c r="C2969" t="s">
        <v>265</v>
      </c>
      <c r="D2969" t="s">
        <v>266</v>
      </c>
      <c r="E2969" t="s">
        <v>271</v>
      </c>
      <c r="F2969" t="s">
        <v>275</v>
      </c>
      <c r="G2969" s="7">
        <v>1</v>
      </c>
      <c r="H2969" s="3">
        <v>10267.56</v>
      </c>
      <c r="I2969" s="3">
        <v>10267.56</v>
      </c>
    </row>
    <row r="2970" spans="1:9" x14ac:dyDescent="0.3">
      <c r="A2970" s="5" t="s">
        <v>246</v>
      </c>
      <c r="B2970" t="s">
        <v>254</v>
      </c>
      <c r="C2970" t="s">
        <v>263</v>
      </c>
      <c r="D2970" t="s">
        <v>266</v>
      </c>
      <c r="E2970" t="s">
        <v>274</v>
      </c>
      <c r="F2970" t="s">
        <v>284</v>
      </c>
      <c r="G2970" s="7">
        <v>7</v>
      </c>
      <c r="H2970" s="3">
        <v>27509.84</v>
      </c>
      <c r="I2970" s="3">
        <v>192568.88</v>
      </c>
    </row>
    <row r="2971" spans="1:9" x14ac:dyDescent="0.3">
      <c r="A2971" s="5" t="s">
        <v>247</v>
      </c>
      <c r="B2971" t="s">
        <v>260</v>
      </c>
      <c r="C2971" t="s">
        <v>261</v>
      </c>
      <c r="D2971" t="s">
        <v>269</v>
      </c>
      <c r="E2971" t="s">
        <v>273</v>
      </c>
      <c r="F2971" t="s">
        <v>278</v>
      </c>
      <c r="G2971" s="7">
        <v>6</v>
      </c>
      <c r="H2971" s="3">
        <v>44524.84</v>
      </c>
      <c r="I2971" s="3">
        <v>267149.03999999998</v>
      </c>
    </row>
    <row r="2972" spans="1:9" x14ac:dyDescent="0.3">
      <c r="A2972" s="5" t="s">
        <v>247</v>
      </c>
      <c r="B2972" t="s">
        <v>255</v>
      </c>
      <c r="C2972" t="s">
        <v>261</v>
      </c>
      <c r="D2972" t="s">
        <v>266</v>
      </c>
      <c r="E2972" t="s">
        <v>274</v>
      </c>
      <c r="F2972" t="s">
        <v>289</v>
      </c>
      <c r="G2972" s="7">
        <v>6</v>
      </c>
      <c r="H2972" s="3">
        <v>36439.050000000003</v>
      </c>
      <c r="I2972" s="3">
        <v>218634.3</v>
      </c>
    </row>
    <row r="2973" spans="1:9" x14ac:dyDescent="0.3">
      <c r="A2973" s="5" t="s">
        <v>247</v>
      </c>
      <c r="B2973" t="s">
        <v>258</v>
      </c>
      <c r="C2973" t="s">
        <v>261</v>
      </c>
      <c r="D2973" t="s">
        <v>267</v>
      </c>
      <c r="E2973" t="s">
        <v>274</v>
      </c>
      <c r="F2973" t="s">
        <v>284</v>
      </c>
      <c r="G2973" s="7">
        <v>6</v>
      </c>
      <c r="H2973" s="3">
        <v>28225.15</v>
      </c>
      <c r="I2973" s="3">
        <v>169350.9</v>
      </c>
    </row>
    <row r="2974" spans="1:9" x14ac:dyDescent="0.3">
      <c r="A2974" s="5" t="s">
        <v>247</v>
      </c>
      <c r="B2974" t="s">
        <v>260</v>
      </c>
      <c r="C2974" t="s">
        <v>264</v>
      </c>
      <c r="D2974" t="s">
        <v>270</v>
      </c>
      <c r="E2974" t="s">
        <v>273</v>
      </c>
      <c r="F2974" t="s">
        <v>278</v>
      </c>
      <c r="G2974" s="7">
        <v>6</v>
      </c>
      <c r="H2974" s="3">
        <v>41547.050000000003</v>
      </c>
      <c r="I2974" s="3">
        <v>249282.3</v>
      </c>
    </row>
    <row r="2975" spans="1:9" x14ac:dyDescent="0.3">
      <c r="A2975" s="5" t="s">
        <v>247</v>
      </c>
      <c r="B2975" t="s">
        <v>258</v>
      </c>
      <c r="C2975" t="s">
        <v>262</v>
      </c>
      <c r="D2975" t="s">
        <v>268</v>
      </c>
      <c r="E2975" t="s">
        <v>272</v>
      </c>
      <c r="F2975" t="s">
        <v>286</v>
      </c>
      <c r="G2975" s="7">
        <v>7</v>
      </c>
      <c r="H2975" s="3">
        <v>30400</v>
      </c>
      <c r="I2975" s="3">
        <v>212800</v>
      </c>
    </row>
    <row r="2976" spans="1:9" x14ac:dyDescent="0.3">
      <c r="A2976" s="5" t="s">
        <v>247</v>
      </c>
      <c r="B2976" t="s">
        <v>257</v>
      </c>
      <c r="C2976" t="s">
        <v>263</v>
      </c>
      <c r="D2976" t="s">
        <v>269</v>
      </c>
      <c r="E2976" t="s">
        <v>273</v>
      </c>
      <c r="F2976" t="s">
        <v>279</v>
      </c>
      <c r="G2976" s="7">
        <v>3</v>
      </c>
      <c r="H2976" s="3">
        <v>48329.89</v>
      </c>
      <c r="I2976" s="3">
        <v>144989.67000000001</v>
      </c>
    </row>
    <row r="2977" spans="1:9" x14ac:dyDescent="0.3">
      <c r="A2977" s="5" t="s">
        <v>248</v>
      </c>
      <c r="B2977" t="s">
        <v>257</v>
      </c>
      <c r="C2977" t="s">
        <v>264</v>
      </c>
      <c r="D2977" t="s">
        <v>267</v>
      </c>
      <c r="E2977" t="s">
        <v>274</v>
      </c>
      <c r="F2977" t="s">
        <v>280</v>
      </c>
      <c r="G2977" s="7">
        <v>6</v>
      </c>
      <c r="H2977" s="3">
        <v>36658.28</v>
      </c>
      <c r="I2977" s="3">
        <v>219949.68</v>
      </c>
    </row>
    <row r="2978" spans="1:9" x14ac:dyDescent="0.3">
      <c r="A2978" s="5" t="s">
        <v>248</v>
      </c>
      <c r="B2978" t="s">
        <v>253</v>
      </c>
      <c r="C2978" t="s">
        <v>263</v>
      </c>
      <c r="D2978" t="s">
        <v>268</v>
      </c>
      <c r="E2978" t="s">
        <v>274</v>
      </c>
      <c r="F2978" t="s">
        <v>289</v>
      </c>
      <c r="G2978" s="7">
        <v>3</v>
      </c>
      <c r="H2978" s="3">
        <v>37601.440000000002</v>
      </c>
      <c r="I2978" s="3">
        <v>112804.32</v>
      </c>
    </row>
    <row r="2979" spans="1:9" x14ac:dyDescent="0.3">
      <c r="A2979" s="5" t="s">
        <v>248</v>
      </c>
      <c r="B2979" t="s">
        <v>257</v>
      </c>
      <c r="C2979" t="s">
        <v>263</v>
      </c>
      <c r="D2979" t="s">
        <v>268</v>
      </c>
      <c r="E2979" t="s">
        <v>272</v>
      </c>
      <c r="F2979" t="s">
        <v>276</v>
      </c>
      <c r="G2979" s="7">
        <v>7</v>
      </c>
      <c r="H2979" s="3">
        <v>25240.09</v>
      </c>
      <c r="I2979" s="3">
        <v>176680.63</v>
      </c>
    </row>
    <row r="2980" spans="1:9" x14ac:dyDescent="0.3">
      <c r="A2980" s="5" t="s">
        <v>248</v>
      </c>
      <c r="B2980" t="s">
        <v>259</v>
      </c>
      <c r="C2980" t="s">
        <v>262</v>
      </c>
      <c r="D2980" t="s">
        <v>269</v>
      </c>
      <c r="E2980" t="s">
        <v>273</v>
      </c>
      <c r="F2980" t="s">
        <v>288</v>
      </c>
      <c r="G2980" s="7">
        <v>7</v>
      </c>
      <c r="H2980" s="3">
        <v>38580.86</v>
      </c>
      <c r="I2980" s="3">
        <v>270066.02</v>
      </c>
    </row>
    <row r="2981" spans="1:9" x14ac:dyDescent="0.3">
      <c r="A2981" s="5" t="s">
        <v>248</v>
      </c>
      <c r="B2981" t="s">
        <v>257</v>
      </c>
      <c r="C2981" t="s">
        <v>261</v>
      </c>
      <c r="D2981" t="s">
        <v>267</v>
      </c>
      <c r="E2981" t="s">
        <v>274</v>
      </c>
      <c r="F2981" t="s">
        <v>287</v>
      </c>
      <c r="G2981" s="7">
        <v>8</v>
      </c>
      <c r="H2981" s="3">
        <v>36027.370000000003</v>
      </c>
      <c r="I2981" s="3">
        <v>288218.96000000002</v>
      </c>
    </row>
    <row r="2982" spans="1:9" x14ac:dyDescent="0.3">
      <c r="A2982" s="5" t="s">
        <v>248</v>
      </c>
      <c r="B2982" t="s">
        <v>256</v>
      </c>
      <c r="C2982" t="s">
        <v>262</v>
      </c>
      <c r="D2982" t="s">
        <v>268</v>
      </c>
      <c r="E2982" t="s">
        <v>271</v>
      </c>
      <c r="F2982" t="s">
        <v>282</v>
      </c>
      <c r="G2982" s="7">
        <v>2</v>
      </c>
      <c r="H2982" s="3">
        <v>8249.73</v>
      </c>
      <c r="I2982" s="3">
        <v>16499.46</v>
      </c>
    </row>
    <row r="2983" spans="1:9" x14ac:dyDescent="0.3">
      <c r="A2983" s="5" t="s">
        <v>249</v>
      </c>
      <c r="B2983" t="s">
        <v>255</v>
      </c>
      <c r="C2983" t="s">
        <v>264</v>
      </c>
      <c r="D2983" t="s">
        <v>268</v>
      </c>
      <c r="E2983" t="s">
        <v>274</v>
      </c>
      <c r="F2983" t="s">
        <v>287</v>
      </c>
      <c r="G2983" s="7">
        <v>9</v>
      </c>
      <c r="H2983" s="3">
        <v>35212.589999999997</v>
      </c>
      <c r="I2983" s="3">
        <v>316913.31</v>
      </c>
    </row>
    <row r="2984" spans="1:9" x14ac:dyDescent="0.3">
      <c r="A2984" s="5" t="s">
        <v>249</v>
      </c>
      <c r="B2984" t="s">
        <v>259</v>
      </c>
      <c r="C2984" t="s">
        <v>264</v>
      </c>
      <c r="D2984" t="s">
        <v>267</v>
      </c>
      <c r="E2984" t="s">
        <v>274</v>
      </c>
      <c r="F2984" t="s">
        <v>289</v>
      </c>
      <c r="G2984" s="7">
        <v>5</v>
      </c>
      <c r="H2984" s="3">
        <v>29126.97</v>
      </c>
      <c r="I2984" s="3">
        <v>145634.85</v>
      </c>
    </row>
    <row r="2985" spans="1:9" x14ac:dyDescent="0.3">
      <c r="A2985" s="5" t="s">
        <v>249</v>
      </c>
      <c r="B2985" t="s">
        <v>260</v>
      </c>
      <c r="C2985" t="s">
        <v>264</v>
      </c>
      <c r="D2985" t="s">
        <v>266</v>
      </c>
      <c r="E2985" t="s">
        <v>272</v>
      </c>
      <c r="F2985" t="s">
        <v>276</v>
      </c>
      <c r="G2985" s="7">
        <v>9</v>
      </c>
      <c r="H2985" s="3">
        <v>29053.25</v>
      </c>
      <c r="I2985" s="3">
        <v>261479.25</v>
      </c>
    </row>
    <row r="2986" spans="1:9" x14ac:dyDescent="0.3">
      <c r="A2986" s="5" t="s">
        <v>249</v>
      </c>
      <c r="B2986" t="s">
        <v>253</v>
      </c>
      <c r="C2986" t="s">
        <v>262</v>
      </c>
      <c r="D2986" t="s">
        <v>268</v>
      </c>
      <c r="E2986" t="s">
        <v>271</v>
      </c>
      <c r="F2986" t="s">
        <v>282</v>
      </c>
      <c r="G2986" s="7">
        <v>5</v>
      </c>
      <c r="H2986" s="3">
        <v>8940.0400000000009</v>
      </c>
      <c r="I2986" s="3">
        <v>44700.2</v>
      </c>
    </row>
    <row r="2987" spans="1:9" x14ac:dyDescent="0.3">
      <c r="A2987" s="5" t="s">
        <v>249</v>
      </c>
      <c r="B2987" t="s">
        <v>253</v>
      </c>
      <c r="C2987" t="s">
        <v>263</v>
      </c>
      <c r="D2987" t="s">
        <v>270</v>
      </c>
      <c r="E2987" t="s">
        <v>274</v>
      </c>
      <c r="F2987" t="s">
        <v>280</v>
      </c>
      <c r="G2987" s="7">
        <v>7</v>
      </c>
      <c r="H2987" s="3">
        <v>34689</v>
      </c>
      <c r="I2987" s="3">
        <v>242823</v>
      </c>
    </row>
    <row r="2988" spans="1:9" x14ac:dyDescent="0.3">
      <c r="A2988" s="5" t="s">
        <v>249</v>
      </c>
      <c r="B2988" t="s">
        <v>253</v>
      </c>
      <c r="C2988" t="s">
        <v>263</v>
      </c>
      <c r="D2988" t="s">
        <v>267</v>
      </c>
      <c r="E2988" t="s">
        <v>274</v>
      </c>
      <c r="F2988" t="s">
        <v>280</v>
      </c>
      <c r="G2988" s="7">
        <v>9</v>
      </c>
      <c r="H2988" s="3">
        <v>33768.58</v>
      </c>
      <c r="I2988" s="3">
        <v>303917.21999999997</v>
      </c>
    </row>
    <row r="2989" spans="1:9" x14ac:dyDescent="0.3">
      <c r="A2989" s="5" t="s">
        <v>250</v>
      </c>
      <c r="B2989" t="s">
        <v>260</v>
      </c>
      <c r="C2989" t="s">
        <v>265</v>
      </c>
      <c r="D2989" t="s">
        <v>268</v>
      </c>
      <c r="E2989" t="s">
        <v>271</v>
      </c>
      <c r="F2989" t="s">
        <v>285</v>
      </c>
      <c r="G2989" s="7">
        <v>4</v>
      </c>
      <c r="H2989" s="3">
        <v>8910.35</v>
      </c>
      <c r="I2989" s="3">
        <v>35641.4</v>
      </c>
    </row>
    <row r="2990" spans="1:9" x14ac:dyDescent="0.3">
      <c r="A2990" s="5" t="s">
        <v>250</v>
      </c>
      <c r="B2990" t="s">
        <v>260</v>
      </c>
      <c r="C2990" t="s">
        <v>264</v>
      </c>
      <c r="D2990" t="s">
        <v>269</v>
      </c>
      <c r="E2990" t="s">
        <v>273</v>
      </c>
      <c r="F2990" t="s">
        <v>279</v>
      </c>
      <c r="G2990" s="7">
        <v>2</v>
      </c>
      <c r="H2990" s="3">
        <v>44239.21</v>
      </c>
      <c r="I2990" s="3">
        <v>88478.42</v>
      </c>
    </row>
    <row r="2991" spans="1:9" x14ac:dyDescent="0.3">
      <c r="A2991" s="5" t="s">
        <v>250</v>
      </c>
      <c r="B2991" t="s">
        <v>260</v>
      </c>
      <c r="C2991" t="s">
        <v>263</v>
      </c>
      <c r="D2991" t="s">
        <v>270</v>
      </c>
      <c r="E2991" t="s">
        <v>273</v>
      </c>
      <c r="F2991" t="s">
        <v>288</v>
      </c>
      <c r="G2991" s="7">
        <v>9</v>
      </c>
      <c r="H2991" s="3">
        <v>39531.24</v>
      </c>
      <c r="I2991" s="3">
        <v>355781.16</v>
      </c>
    </row>
    <row r="2992" spans="1:9" x14ac:dyDescent="0.3">
      <c r="A2992" s="5" t="s">
        <v>250</v>
      </c>
      <c r="B2992" t="s">
        <v>260</v>
      </c>
      <c r="C2992" t="s">
        <v>265</v>
      </c>
      <c r="D2992" t="s">
        <v>268</v>
      </c>
      <c r="E2992" t="s">
        <v>274</v>
      </c>
      <c r="F2992" t="s">
        <v>287</v>
      </c>
      <c r="G2992" s="7">
        <v>2</v>
      </c>
      <c r="H2992" s="3">
        <v>28345.86</v>
      </c>
      <c r="I2992" s="3">
        <v>56691.72</v>
      </c>
    </row>
    <row r="2993" spans="1:9" x14ac:dyDescent="0.3">
      <c r="A2993" s="5" t="s">
        <v>250</v>
      </c>
      <c r="B2993" t="s">
        <v>253</v>
      </c>
      <c r="C2993" t="s">
        <v>263</v>
      </c>
      <c r="D2993" t="s">
        <v>270</v>
      </c>
      <c r="E2993" t="s">
        <v>274</v>
      </c>
      <c r="F2993" t="s">
        <v>280</v>
      </c>
      <c r="G2993" s="7">
        <v>3</v>
      </c>
      <c r="H2993" s="3">
        <v>32752.36</v>
      </c>
      <c r="I2993" s="3">
        <v>98257.08</v>
      </c>
    </row>
    <row r="2994" spans="1:9" x14ac:dyDescent="0.3">
      <c r="A2994" s="5" t="s">
        <v>250</v>
      </c>
      <c r="B2994" t="s">
        <v>253</v>
      </c>
      <c r="C2994" t="s">
        <v>264</v>
      </c>
      <c r="D2994" t="s">
        <v>270</v>
      </c>
      <c r="E2994" t="s">
        <v>273</v>
      </c>
      <c r="F2994" t="s">
        <v>279</v>
      </c>
      <c r="G2994" s="7">
        <v>2</v>
      </c>
      <c r="H2994" s="3">
        <v>44654.28</v>
      </c>
      <c r="I2994" s="3">
        <v>89308.56</v>
      </c>
    </row>
    <row r="2995" spans="1:9" x14ac:dyDescent="0.3">
      <c r="A2995" s="5" t="s">
        <v>251</v>
      </c>
      <c r="B2995" t="s">
        <v>258</v>
      </c>
      <c r="C2995" t="s">
        <v>261</v>
      </c>
      <c r="D2995" t="s">
        <v>266</v>
      </c>
      <c r="E2995" t="s">
        <v>272</v>
      </c>
      <c r="F2995" t="s">
        <v>286</v>
      </c>
      <c r="G2995" s="7">
        <v>3</v>
      </c>
      <c r="H2995" s="3">
        <v>29580.71</v>
      </c>
      <c r="I2995" s="3">
        <v>88742.13</v>
      </c>
    </row>
    <row r="2996" spans="1:9" x14ac:dyDescent="0.3">
      <c r="A2996" s="5" t="s">
        <v>251</v>
      </c>
      <c r="B2996" t="s">
        <v>259</v>
      </c>
      <c r="C2996" t="s">
        <v>264</v>
      </c>
      <c r="D2996" t="s">
        <v>270</v>
      </c>
      <c r="E2996" t="s">
        <v>271</v>
      </c>
      <c r="F2996" t="s">
        <v>275</v>
      </c>
      <c r="G2996" s="7">
        <v>6</v>
      </c>
      <c r="H2996" s="3">
        <v>8261.4500000000007</v>
      </c>
      <c r="I2996" s="3">
        <v>49568.7</v>
      </c>
    </row>
    <row r="2997" spans="1:9" x14ac:dyDescent="0.3">
      <c r="A2997" s="5" t="s">
        <v>251</v>
      </c>
      <c r="B2997" t="s">
        <v>255</v>
      </c>
      <c r="C2997" t="s">
        <v>262</v>
      </c>
      <c r="D2997" t="s">
        <v>266</v>
      </c>
      <c r="E2997" t="s">
        <v>271</v>
      </c>
      <c r="F2997" t="s">
        <v>282</v>
      </c>
      <c r="G2997" s="7">
        <v>3</v>
      </c>
      <c r="H2997" s="3">
        <v>9563.89</v>
      </c>
      <c r="I2997" s="3">
        <v>28691.67</v>
      </c>
    </row>
    <row r="2998" spans="1:9" x14ac:dyDescent="0.3">
      <c r="A2998" s="5" t="s">
        <v>251</v>
      </c>
      <c r="B2998" t="s">
        <v>257</v>
      </c>
      <c r="C2998" t="s">
        <v>263</v>
      </c>
      <c r="D2998" t="s">
        <v>267</v>
      </c>
      <c r="E2998" t="s">
        <v>272</v>
      </c>
      <c r="F2998" t="s">
        <v>277</v>
      </c>
      <c r="G2998" s="7">
        <v>8</v>
      </c>
      <c r="H2998" s="3">
        <v>33476.29</v>
      </c>
      <c r="I2998" s="3">
        <v>267810.32</v>
      </c>
    </row>
    <row r="2999" spans="1:9" x14ac:dyDescent="0.3">
      <c r="A2999" s="5" t="s">
        <v>251</v>
      </c>
      <c r="B2999" t="s">
        <v>257</v>
      </c>
      <c r="C2999" t="s">
        <v>263</v>
      </c>
      <c r="D2999" t="s">
        <v>266</v>
      </c>
      <c r="E2999" t="s">
        <v>272</v>
      </c>
      <c r="F2999" t="s">
        <v>277</v>
      </c>
      <c r="G2999" s="7">
        <v>6</v>
      </c>
      <c r="H2999" s="3">
        <v>27147.27</v>
      </c>
      <c r="I2999" s="3">
        <v>162883.62</v>
      </c>
    </row>
    <row r="3000" spans="1:9" x14ac:dyDescent="0.3">
      <c r="A3000" s="5" t="s">
        <v>251</v>
      </c>
      <c r="B3000" t="s">
        <v>256</v>
      </c>
      <c r="C3000" t="s">
        <v>262</v>
      </c>
      <c r="D3000" t="s">
        <v>269</v>
      </c>
      <c r="E3000" t="s">
        <v>272</v>
      </c>
      <c r="F3000" t="s">
        <v>277</v>
      </c>
      <c r="G3000" s="7">
        <v>7</v>
      </c>
      <c r="H3000" s="3">
        <v>25961.42</v>
      </c>
      <c r="I3000" s="3">
        <v>181729.94</v>
      </c>
    </row>
    <row r="3001" spans="1:9" x14ac:dyDescent="0.3">
      <c r="A3001" s="5" t="s">
        <v>252</v>
      </c>
      <c r="B3001" t="s">
        <v>253</v>
      </c>
      <c r="C3001" t="s">
        <v>262</v>
      </c>
      <c r="D3001" t="s">
        <v>268</v>
      </c>
      <c r="E3001" t="s">
        <v>272</v>
      </c>
      <c r="F3001" t="s">
        <v>290</v>
      </c>
      <c r="G3001" s="7">
        <v>1</v>
      </c>
      <c r="H3001" s="3">
        <v>25101.22</v>
      </c>
      <c r="I3001" s="3">
        <v>25101.22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Vendas_Equipamentos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pamela brenda silva de queiroz</cp:lastModifiedBy>
  <dcterms:created xsi:type="dcterms:W3CDTF">2026-09-14T22:21:01Z</dcterms:created>
  <dcterms:modified xsi:type="dcterms:W3CDTF">2026-09-21T13:38:32Z</dcterms:modified>
</cp:coreProperties>
</file>